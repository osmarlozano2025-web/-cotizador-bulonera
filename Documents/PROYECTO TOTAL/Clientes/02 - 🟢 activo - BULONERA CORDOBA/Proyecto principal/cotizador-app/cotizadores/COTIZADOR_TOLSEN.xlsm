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4D1C537B-E38A-612A-F078-A93A15B4B7F4}"/>
  <workbookPr filterPrivacy="1" codeName="ThisWorkbook"/>
  <xr:revisionPtr revIDLastSave="0" documentId="13_ncr:1_{CE9319B8-6332-40F4-8953-6838F0D507A8}" xr6:coauthVersionLast="47" xr6:coauthVersionMax="47" xr10:uidLastSave="{00000000-0000-0000-0000-000000000000}"/>
  <workbookProtection workbookPassword="C949" lockStructure="1" lockWindows="1"/>
  <bookViews>
    <workbookView xWindow="-120" yWindow="-120" windowWidth="21840" windowHeight="13020" tabRatio="500" xr2:uid="{00000000-000D-0000-FFFF-FFFF00000000}"/>
  </bookViews>
  <sheets>
    <sheet name="nota de pedido" sheetId="6" r:id="rId1"/>
    <sheet name="TOLSEN" sheetId="4" r:id="rId2"/>
    <sheet name="nomina" sheetId="5" r:id="rId3"/>
  </sheets>
  <definedNames>
    <definedName name="_xlnm._FilterDatabase" localSheetId="0" hidden="1">'nota de pedido'!$A$23:$P$501</definedName>
    <definedName name="_xlnm._FilterDatabase" localSheetId="1" hidden="1">TOLSEN!$A$2:$K$1799</definedName>
    <definedName name="_xlnm.Print_Area" localSheetId="2">nomina!#REF!</definedName>
    <definedName name="_xlnm.Print_Area" localSheetId="0">'nota de pedido'!$B$1:$J$501</definedName>
    <definedName name="_xlnm.Print_Area" localSheetId="1">TOLSEN!$A$1:$K$1799</definedName>
    <definedName name="_xlnm.Print_Titles" localSheetId="0">'nota de pedido'!$1:$23</definedName>
    <definedName name="_xlnm.Print_Titles" localSheetId="1">TOLSEN!#REF!</definedName>
  </definedNames>
  <calcPr calcId="191029"/>
</workbook>
</file>

<file path=xl/calcChain.xml><?xml version="1.0" encoding="utf-8"?>
<calcChain xmlns="http://schemas.openxmlformats.org/spreadsheetml/2006/main">
  <c r="H20" i="6" l="1"/>
  <c r="G15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56" i="6"/>
  <c r="P57" i="6"/>
  <c r="P58" i="6"/>
  <c r="P59" i="6"/>
  <c r="P60" i="6"/>
  <c r="P61" i="6"/>
  <c r="P62" i="6"/>
  <c r="P63" i="6"/>
  <c r="P64" i="6"/>
  <c r="P65" i="6"/>
  <c r="P66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84" i="6"/>
  <c r="P85" i="6"/>
  <c r="P86" i="6"/>
  <c r="P87" i="6"/>
  <c r="P88" i="6"/>
  <c r="P89" i="6"/>
  <c r="P90" i="6"/>
  <c r="P91" i="6"/>
  <c r="P92" i="6"/>
  <c r="P93" i="6"/>
  <c r="P94" i="6"/>
  <c r="P95" i="6"/>
  <c r="P96" i="6"/>
  <c r="P97" i="6"/>
  <c r="P98" i="6"/>
  <c r="P99" i="6"/>
  <c r="P100" i="6"/>
  <c r="P101" i="6"/>
  <c r="P102" i="6"/>
  <c r="P103" i="6"/>
  <c r="P104" i="6"/>
  <c r="P105" i="6"/>
  <c r="P106" i="6"/>
  <c r="P107" i="6"/>
  <c r="P108" i="6"/>
  <c r="P109" i="6"/>
  <c r="P110" i="6"/>
  <c r="P111" i="6"/>
  <c r="P112" i="6"/>
  <c r="P113" i="6"/>
  <c r="P114" i="6"/>
  <c r="P115" i="6"/>
  <c r="P116" i="6"/>
  <c r="P117" i="6"/>
  <c r="P118" i="6"/>
  <c r="P119" i="6"/>
  <c r="P120" i="6"/>
  <c r="P121" i="6"/>
  <c r="P122" i="6"/>
  <c r="P123" i="6"/>
  <c r="P124" i="6"/>
  <c r="P125" i="6"/>
  <c r="P126" i="6"/>
  <c r="P127" i="6"/>
  <c r="P128" i="6"/>
  <c r="P129" i="6"/>
  <c r="P130" i="6"/>
  <c r="P131" i="6"/>
  <c r="P132" i="6"/>
  <c r="P133" i="6"/>
  <c r="P134" i="6"/>
  <c r="P135" i="6"/>
  <c r="P136" i="6"/>
  <c r="P137" i="6"/>
  <c r="P138" i="6"/>
  <c r="P139" i="6"/>
  <c r="P140" i="6"/>
  <c r="P141" i="6"/>
  <c r="P142" i="6"/>
  <c r="P143" i="6"/>
  <c r="P144" i="6"/>
  <c r="P145" i="6"/>
  <c r="P146" i="6"/>
  <c r="P147" i="6"/>
  <c r="P148" i="6"/>
  <c r="P149" i="6"/>
  <c r="P150" i="6"/>
  <c r="P151" i="6"/>
  <c r="P152" i="6"/>
  <c r="P153" i="6"/>
  <c r="P154" i="6"/>
  <c r="P155" i="6"/>
  <c r="P156" i="6"/>
  <c r="P157" i="6"/>
  <c r="P158" i="6"/>
  <c r="P159" i="6"/>
  <c r="P160" i="6"/>
  <c r="P161" i="6"/>
  <c r="P162" i="6"/>
  <c r="P163" i="6"/>
  <c r="P164" i="6"/>
  <c r="P165" i="6"/>
  <c r="P166" i="6"/>
  <c r="P167" i="6"/>
  <c r="P168" i="6"/>
  <c r="P169" i="6"/>
  <c r="P170" i="6"/>
  <c r="P171" i="6"/>
  <c r="P172" i="6"/>
  <c r="P173" i="6"/>
  <c r="P174" i="6"/>
  <c r="P175" i="6"/>
  <c r="P176" i="6"/>
  <c r="P177" i="6"/>
  <c r="P178" i="6"/>
  <c r="P179" i="6"/>
  <c r="P180" i="6"/>
  <c r="P181" i="6"/>
  <c r="P182" i="6"/>
  <c r="P183" i="6"/>
  <c r="P184" i="6"/>
  <c r="P185" i="6"/>
  <c r="P186" i="6"/>
  <c r="P187" i="6"/>
  <c r="P188" i="6"/>
  <c r="P189" i="6"/>
  <c r="P190" i="6"/>
  <c r="P191" i="6"/>
  <c r="P192" i="6"/>
  <c r="P193" i="6"/>
  <c r="P194" i="6"/>
  <c r="P195" i="6"/>
  <c r="P196" i="6"/>
  <c r="P197" i="6"/>
  <c r="P198" i="6"/>
  <c r="P199" i="6"/>
  <c r="P200" i="6"/>
  <c r="P201" i="6"/>
  <c r="P202" i="6"/>
  <c r="P203" i="6"/>
  <c r="P204" i="6"/>
  <c r="P205" i="6"/>
  <c r="P206" i="6"/>
  <c r="P207" i="6"/>
  <c r="P208" i="6"/>
  <c r="P209" i="6"/>
  <c r="P210" i="6"/>
  <c r="P211" i="6"/>
  <c r="P212" i="6"/>
  <c r="P213" i="6"/>
  <c r="P214" i="6"/>
  <c r="P215" i="6"/>
  <c r="P216" i="6"/>
  <c r="P217" i="6"/>
  <c r="P218" i="6"/>
  <c r="P219" i="6"/>
  <c r="P220" i="6"/>
  <c r="P221" i="6"/>
  <c r="P222" i="6"/>
  <c r="P223" i="6"/>
  <c r="P224" i="6"/>
  <c r="P225" i="6"/>
  <c r="P226" i="6"/>
  <c r="P227" i="6"/>
  <c r="P228" i="6"/>
  <c r="P229" i="6"/>
  <c r="P230" i="6"/>
  <c r="P231" i="6"/>
  <c r="P232" i="6"/>
  <c r="P233" i="6"/>
  <c r="P234" i="6"/>
  <c r="P235" i="6"/>
  <c r="P236" i="6"/>
  <c r="P237" i="6"/>
  <c r="P238" i="6"/>
  <c r="P239" i="6"/>
  <c r="P240" i="6"/>
  <c r="P241" i="6"/>
  <c r="P242" i="6"/>
  <c r="P243" i="6"/>
  <c r="P244" i="6"/>
  <c r="P245" i="6"/>
  <c r="P246" i="6"/>
  <c r="P247" i="6"/>
  <c r="P248" i="6"/>
  <c r="P249" i="6"/>
  <c r="P250" i="6"/>
  <c r="P251" i="6"/>
  <c r="P252" i="6"/>
  <c r="P253" i="6"/>
  <c r="P254" i="6"/>
  <c r="P255" i="6"/>
  <c r="P256" i="6"/>
  <c r="P257" i="6"/>
  <c r="P258" i="6"/>
  <c r="P259" i="6"/>
  <c r="P260" i="6"/>
  <c r="P261" i="6"/>
  <c r="P262" i="6"/>
  <c r="P263" i="6"/>
  <c r="P264" i="6"/>
  <c r="P265" i="6"/>
  <c r="P266" i="6"/>
  <c r="P267" i="6"/>
  <c r="P268" i="6"/>
  <c r="P269" i="6"/>
  <c r="P270" i="6"/>
  <c r="P271" i="6"/>
  <c r="P272" i="6"/>
  <c r="P273" i="6"/>
  <c r="P274" i="6"/>
  <c r="P275" i="6"/>
  <c r="P276" i="6"/>
  <c r="P277" i="6"/>
  <c r="P278" i="6"/>
  <c r="P279" i="6"/>
  <c r="P280" i="6"/>
  <c r="P281" i="6"/>
  <c r="P282" i="6"/>
  <c r="P283" i="6"/>
  <c r="P284" i="6"/>
  <c r="P285" i="6"/>
  <c r="P286" i="6"/>
  <c r="P287" i="6"/>
  <c r="P288" i="6"/>
  <c r="P289" i="6"/>
  <c r="P290" i="6"/>
  <c r="P291" i="6"/>
  <c r="P292" i="6"/>
  <c r="P293" i="6"/>
  <c r="P294" i="6"/>
  <c r="P295" i="6"/>
  <c r="P296" i="6"/>
  <c r="P297" i="6"/>
  <c r="P298" i="6"/>
  <c r="P299" i="6"/>
  <c r="P300" i="6"/>
  <c r="P301" i="6"/>
  <c r="P302" i="6"/>
  <c r="P303" i="6"/>
  <c r="P304" i="6"/>
  <c r="P305" i="6"/>
  <c r="P306" i="6"/>
  <c r="P307" i="6"/>
  <c r="P308" i="6"/>
  <c r="P309" i="6"/>
  <c r="P310" i="6"/>
  <c r="P311" i="6"/>
  <c r="P312" i="6"/>
  <c r="P313" i="6"/>
  <c r="P314" i="6"/>
  <c r="P315" i="6"/>
  <c r="P316" i="6"/>
  <c r="P317" i="6"/>
  <c r="P318" i="6"/>
  <c r="P319" i="6"/>
  <c r="P320" i="6"/>
  <c r="P321" i="6"/>
  <c r="P322" i="6"/>
  <c r="P323" i="6"/>
  <c r="P324" i="6"/>
  <c r="P325" i="6"/>
  <c r="P326" i="6"/>
  <c r="P327" i="6"/>
  <c r="P328" i="6"/>
  <c r="P329" i="6"/>
  <c r="P330" i="6"/>
  <c r="P331" i="6"/>
  <c r="P332" i="6"/>
  <c r="P333" i="6"/>
  <c r="P334" i="6"/>
  <c r="P335" i="6"/>
  <c r="P336" i="6"/>
  <c r="P337" i="6"/>
  <c r="P338" i="6"/>
  <c r="P339" i="6"/>
  <c r="P340" i="6"/>
  <c r="P341" i="6"/>
  <c r="P342" i="6"/>
  <c r="P343" i="6"/>
  <c r="P344" i="6"/>
  <c r="P345" i="6"/>
  <c r="P346" i="6"/>
  <c r="P347" i="6"/>
  <c r="P348" i="6"/>
  <c r="P349" i="6"/>
  <c r="P350" i="6"/>
  <c r="P351" i="6"/>
  <c r="P352" i="6"/>
  <c r="P353" i="6"/>
  <c r="P354" i="6"/>
  <c r="P355" i="6"/>
  <c r="P356" i="6"/>
  <c r="P357" i="6"/>
  <c r="P358" i="6"/>
  <c r="P359" i="6"/>
  <c r="P360" i="6"/>
  <c r="P361" i="6"/>
  <c r="P362" i="6"/>
  <c r="P363" i="6"/>
  <c r="P364" i="6"/>
  <c r="P365" i="6"/>
  <c r="P366" i="6"/>
  <c r="P367" i="6"/>
  <c r="P368" i="6"/>
  <c r="P369" i="6"/>
  <c r="P370" i="6"/>
  <c r="P371" i="6"/>
  <c r="P372" i="6"/>
  <c r="P373" i="6"/>
  <c r="P374" i="6"/>
  <c r="P375" i="6"/>
  <c r="P376" i="6"/>
  <c r="P377" i="6"/>
  <c r="P378" i="6"/>
  <c r="P379" i="6"/>
  <c r="P380" i="6"/>
  <c r="P381" i="6"/>
  <c r="P382" i="6"/>
  <c r="P383" i="6"/>
  <c r="P384" i="6"/>
  <c r="P385" i="6"/>
  <c r="P386" i="6"/>
  <c r="P387" i="6"/>
  <c r="P388" i="6"/>
  <c r="P389" i="6"/>
  <c r="P390" i="6"/>
  <c r="P391" i="6"/>
  <c r="P392" i="6"/>
  <c r="P393" i="6"/>
  <c r="P394" i="6"/>
  <c r="P395" i="6"/>
  <c r="P396" i="6"/>
  <c r="P397" i="6"/>
  <c r="P398" i="6"/>
  <c r="P399" i="6"/>
  <c r="P400" i="6"/>
  <c r="P401" i="6"/>
  <c r="P402" i="6"/>
  <c r="P403" i="6"/>
  <c r="P404" i="6"/>
  <c r="P405" i="6"/>
  <c r="P406" i="6"/>
  <c r="P407" i="6"/>
  <c r="P408" i="6"/>
  <c r="P409" i="6"/>
  <c r="P410" i="6"/>
  <c r="P411" i="6"/>
  <c r="P412" i="6"/>
  <c r="P413" i="6"/>
  <c r="P414" i="6"/>
  <c r="P415" i="6"/>
  <c r="P416" i="6"/>
  <c r="P417" i="6"/>
  <c r="P418" i="6"/>
  <c r="P419" i="6"/>
  <c r="P420" i="6"/>
  <c r="P421" i="6"/>
  <c r="P422" i="6"/>
  <c r="P423" i="6"/>
  <c r="P424" i="6"/>
  <c r="P425" i="6"/>
  <c r="P426" i="6"/>
  <c r="P427" i="6"/>
  <c r="P428" i="6"/>
  <c r="P429" i="6"/>
  <c r="P430" i="6"/>
  <c r="P431" i="6"/>
  <c r="P432" i="6"/>
  <c r="P433" i="6"/>
  <c r="P434" i="6"/>
  <c r="P435" i="6"/>
  <c r="P436" i="6"/>
  <c r="P437" i="6"/>
  <c r="P438" i="6"/>
  <c r="P439" i="6"/>
  <c r="P440" i="6"/>
  <c r="P441" i="6"/>
  <c r="P442" i="6"/>
  <c r="P443" i="6"/>
  <c r="P444" i="6"/>
  <c r="P445" i="6"/>
  <c r="P446" i="6"/>
  <c r="P447" i="6"/>
  <c r="P448" i="6"/>
  <c r="P449" i="6"/>
  <c r="P450" i="6"/>
  <c r="P451" i="6"/>
  <c r="P452" i="6"/>
  <c r="P453" i="6"/>
  <c r="P454" i="6"/>
  <c r="P455" i="6"/>
  <c r="P456" i="6"/>
  <c r="P457" i="6"/>
  <c r="P458" i="6"/>
  <c r="P459" i="6"/>
  <c r="P460" i="6"/>
  <c r="P461" i="6"/>
  <c r="P462" i="6"/>
  <c r="P463" i="6"/>
  <c r="P464" i="6"/>
  <c r="P465" i="6"/>
  <c r="P466" i="6"/>
  <c r="P467" i="6"/>
  <c r="P468" i="6"/>
  <c r="P469" i="6"/>
  <c r="P470" i="6"/>
  <c r="P471" i="6"/>
  <c r="P472" i="6"/>
  <c r="P473" i="6"/>
  <c r="P474" i="6"/>
  <c r="P475" i="6"/>
  <c r="P476" i="6"/>
  <c r="P477" i="6"/>
  <c r="P478" i="6"/>
  <c r="P479" i="6"/>
  <c r="P480" i="6"/>
  <c r="P481" i="6"/>
  <c r="P482" i="6"/>
  <c r="P483" i="6"/>
  <c r="P484" i="6"/>
  <c r="P485" i="6"/>
  <c r="P486" i="6"/>
  <c r="P487" i="6"/>
  <c r="P488" i="6"/>
  <c r="P489" i="6"/>
  <c r="P490" i="6"/>
  <c r="P491" i="6"/>
  <c r="P492" i="6"/>
  <c r="P493" i="6"/>
  <c r="P494" i="6"/>
  <c r="P495" i="6"/>
  <c r="P496" i="6"/>
  <c r="P497" i="6"/>
  <c r="P498" i="6"/>
  <c r="P499" i="6"/>
  <c r="P500" i="6"/>
  <c r="P501" i="6"/>
  <c r="P24" i="6"/>
  <c r="O25" i="6"/>
  <c r="O26" i="6"/>
  <c r="O27" i="6"/>
  <c r="O28" i="6"/>
  <c r="O29" i="6"/>
  <c r="O30" i="6"/>
  <c r="O31" i="6"/>
  <c r="O32" i="6"/>
  <c r="O33" i="6"/>
  <c r="O34" i="6"/>
  <c r="O35" i="6"/>
  <c r="O36" i="6"/>
  <c r="O37" i="6"/>
  <c r="O38" i="6"/>
  <c r="O39" i="6"/>
  <c r="O40" i="6"/>
  <c r="O41" i="6"/>
  <c r="O42" i="6"/>
  <c r="O43" i="6"/>
  <c r="O44" i="6"/>
  <c r="O45" i="6"/>
  <c r="O46" i="6"/>
  <c r="O47" i="6"/>
  <c r="O48" i="6"/>
  <c r="O49" i="6"/>
  <c r="O50" i="6"/>
  <c r="O51" i="6"/>
  <c r="O52" i="6"/>
  <c r="O53" i="6"/>
  <c r="O54" i="6"/>
  <c r="O55" i="6"/>
  <c r="O56" i="6"/>
  <c r="O57" i="6"/>
  <c r="O58" i="6"/>
  <c r="O59" i="6"/>
  <c r="O60" i="6"/>
  <c r="O61" i="6"/>
  <c r="O62" i="6"/>
  <c r="O63" i="6"/>
  <c r="O64" i="6"/>
  <c r="O65" i="6"/>
  <c r="O66" i="6"/>
  <c r="O67" i="6"/>
  <c r="O68" i="6"/>
  <c r="O69" i="6"/>
  <c r="O70" i="6"/>
  <c r="O71" i="6"/>
  <c r="O72" i="6"/>
  <c r="O73" i="6"/>
  <c r="O74" i="6"/>
  <c r="O75" i="6"/>
  <c r="O76" i="6"/>
  <c r="O77" i="6"/>
  <c r="O78" i="6"/>
  <c r="O79" i="6"/>
  <c r="O80" i="6"/>
  <c r="O81" i="6"/>
  <c r="O82" i="6"/>
  <c r="O83" i="6"/>
  <c r="O84" i="6"/>
  <c r="O85" i="6"/>
  <c r="O86" i="6"/>
  <c r="O87" i="6"/>
  <c r="O88" i="6"/>
  <c r="O89" i="6"/>
  <c r="O90" i="6"/>
  <c r="O91" i="6"/>
  <c r="O92" i="6"/>
  <c r="O93" i="6"/>
  <c r="O94" i="6"/>
  <c r="O95" i="6"/>
  <c r="O96" i="6"/>
  <c r="O97" i="6"/>
  <c r="O98" i="6"/>
  <c r="O99" i="6"/>
  <c r="O100" i="6"/>
  <c r="O101" i="6"/>
  <c r="O102" i="6"/>
  <c r="O103" i="6"/>
  <c r="O104" i="6"/>
  <c r="O105" i="6"/>
  <c r="O106" i="6"/>
  <c r="O107" i="6"/>
  <c r="O108" i="6"/>
  <c r="O109" i="6"/>
  <c r="O110" i="6"/>
  <c r="O111" i="6"/>
  <c r="O112" i="6"/>
  <c r="O113" i="6"/>
  <c r="O114" i="6"/>
  <c r="O115" i="6"/>
  <c r="O116" i="6"/>
  <c r="O117" i="6"/>
  <c r="O118" i="6"/>
  <c r="O119" i="6"/>
  <c r="O120" i="6"/>
  <c r="O121" i="6"/>
  <c r="O122" i="6"/>
  <c r="O123" i="6"/>
  <c r="O124" i="6"/>
  <c r="O125" i="6"/>
  <c r="O126" i="6"/>
  <c r="O127" i="6"/>
  <c r="O128" i="6"/>
  <c r="O129" i="6"/>
  <c r="O130" i="6"/>
  <c r="O131" i="6"/>
  <c r="O132" i="6"/>
  <c r="O133" i="6"/>
  <c r="O134" i="6"/>
  <c r="O135" i="6"/>
  <c r="O136" i="6"/>
  <c r="O137" i="6"/>
  <c r="O138" i="6"/>
  <c r="O139" i="6"/>
  <c r="O140" i="6"/>
  <c r="O141" i="6"/>
  <c r="O142" i="6"/>
  <c r="O143" i="6"/>
  <c r="O144" i="6"/>
  <c r="O145" i="6"/>
  <c r="O146" i="6"/>
  <c r="O147" i="6"/>
  <c r="O148" i="6"/>
  <c r="O149" i="6"/>
  <c r="O150" i="6"/>
  <c r="O151" i="6"/>
  <c r="O152" i="6"/>
  <c r="O153" i="6"/>
  <c r="O154" i="6"/>
  <c r="O155" i="6"/>
  <c r="O156" i="6"/>
  <c r="O157" i="6"/>
  <c r="O158" i="6"/>
  <c r="O159" i="6"/>
  <c r="O160" i="6"/>
  <c r="O161" i="6"/>
  <c r="O162" i="6"/>
  <c r="O163" i="6"/>
  <c r="O164" i="6"/>
  <c r="O165" i="6"/>
  <c r="O166" i="6"/>
  <c r="O167" i="6"/>
  <c r="O168" i="6"/>
  <c r="O169" i="6"/>
  <c r="O170" i="6"/>
  <c r="O171" i="6"/>
  <c r="O172" i="6"/>
  <c r="O173" i="6"/>
  <c r="O174" i="6"/>
  <c r="O175" i="6"/>
  <c r="O176" i="6"/>
  <c r="O177" i="6"/>
  <c r="O178" i="6"/>
  <c r="O179" i="6"/>
  <c r="O180" i="6"/>
  <c r="O181" i="6"/>
  <c r="O182" i="6"/>
  <c r="O183" i="6"/>
  <c r="O184" i="6"/>
  <c r="O185" i="6"/>
  <c r="O186" i="6"/>
  <c r="O187" i="6"/>
  <c r="O188" i="6"/>
  <c r="O189" i="6"/>
  <c r="O190" i="6"/>
  <c r="O191" i="6"/>
  <c r="O192" i="6"/>
  <c r="O193" i="6"/>
  <c r="O194" i="6"/>
  <c r="O195" i="6"/>
  <c r="O196" i="6"/>
  <c r="O197" i="6"/>
  <c r="O198" i="6"/>
  <c r="O199" i="6"/>
  <c r="O200" i="6"/>
  <c r="O201" i="6"/>
  <c r="O202" i="6"/>
  <c r="O203" i="6"/>
  <c r="O204" i="6"/>
  <c r="O205" i="6"/>
  <c r="O206" i="6"/>
  <c r="O207" i="6"/>
  <c r="O208" i="6"/>
  <c r="O209" i="6"/>
  <c r="O210" i="6"/>
  <c r="O211" i="6"/>
  <c r="O212" i="6"/>
  <c r="O213" i="6"/>
  <c r="O214" i="6"/>
  <c r="O215" i="6"/>
  <c r="O216" i="6"/>
  <c r="O217" i="6"/>
  <c r="O218" i="6"/>
  <c r="O219" i="6"/>
  <c r="O220" i="6"/>
  <c r="O221" i="6"/>
  <c r="O222" i="6"/>
  <c r="O223" i="6"/>
  <c r="O224" i="6"/>
  <c r="O225" i="6"/>
  <c r="O226" i="6"/>
  <c r="O227" i="6"/>
  <c r="O228" i="6"/>
  <c r="O229" i="6"/>
  <c r="O230" i="6"/>
  <c r="O231" i="6"/>
  <c r="O232" i="6"/>
  <c r="O233" i="6"/>
  <c r="O234" i="6"/>
  <c r="O235" i="6"/>
  <c r="O236" i="6"/>
  <c r="O237" i="6"/>
  <c r="O238" i="6"/>
  <c r="O239" i="6"/>
  <c r="O240" i="6"/>
  <c r="O241" i="6"/>
  <c r="O242" i="6"/>
  <c r="O243" i="6"/>
  <c r="O244" i="6"/>
  <c r="O245" i="6"/>
  <c r="O246" i="6"/>
  <c r="O247" i="6"/>
  <c r="O248" i="6"/>
  <c r="O249" i="6"/>
  <c r="O250" i="6"/>
  <c r="O251" i="6"/>
  <c r="O252" i="6"/>
  <c r="O253" i="6"/>
  <c r="O254" i="6"/>
  <c r="O255" i="6"/>
  <c r="O256" i="6"/>
  <c r="O257" i="6"/>
  <c r="O258" i="6"/>
  <c r="O259" i="6"/>
  <c r="O260" i="6"/>
  <c r="O261" i="6"/>
  <c r="O262" i="6"/>
  <c r="O263" i="6"/>
  <c r="O264" i="6"/>
  <c r="O265" i="6"/>
  <c r="O266" i="6"/>
  <c r="O267" i="6"/>
  <c r="O268" i="6"/>
  <c r="O269" i="6"/>
  <c r="O270" i="6"/>
  <c r="O271" i="6"/>
  <c r="O272" i="6"/>
  <c r="O273" i="6"/>
  <c r="O274" i="6"/>
  <c r="O275" i="6"/>
  <c r="O276" i="6"/>
  <c r="O277" i="6"/>
  <c r="O278" i="6"/>
  <c r="O279" i="6"/>
  <c r="O280" i="6"/>
  <c r="O281" i="6"/>
  <c r="O282" i="6"/>
  <c r="O283" i="6"/>
  <c r="O284" i="6"/>
  <c r="O285" i="6"/>
  <c r="O286" i="6"/>
  <c r="O287" i="6"/>
  <c r="O288" i="6"/>
  <c r="O289" i="6"/>
  <c r="O290" i="6"/>
  <c r="O291" i="6"/>
  <c r="O292" i="6"/>
  <c r="O293" i="6"/>
  <c r="O294" i="6"/>
  <c r="O295" i="6"/>
  <c r="O296" i="6"/>
  <c r="O297" i="6"/>
  <c r="O298" i="6"/>
  <c r="O299" i="6"/>
  <c r="O300" i="6"/>
  <c r="O301" i="6"/>
  <c r="O302" i="6"/>
  <c r="O303" i="6"/>
  <c r="O304" i="6"/>
  <c r="O305" i="6"/>
  <c r="O306" i="6"/>
  <c r="O307" i="6"/>
  <c r="O308" i="6"/>
  <c r="O309" i="6"/>
  <c r="O310" i="6"/>
  <c r="O311" i="6"/>
  <c r="O312" i="6"/>
  <c r="O313" i="6"/>
  <c r="O314" i="6"/>
  <c r="O315" i="6"/>
  <c r="O316" i="6"/>
  <c r="O317" i="6"/>
  <c r="O318" i="6"/>
  <c r="O319" i="6"/>
  <c r="O320" i="6"/>
  <c r="O321" i="6"/>
  <c r="O322" i="6"/>
  <c r="O323" i="6"/>
  <c r="O324" i="6"/>
  <c r="O325" i="6"/>
  <c r="O326" i="6"/>
  <c r="O327" i="6"/>
  <c r="O328" i="6"/>
  <c r="O329" i="6"/>
  <c r="O330" i="6"/>
  <c r="O331" i="6"/>
  <c r="O332" i="6"/>
  <c r="O333" i="6"/>
  <c r="O334" i="6"/>
  <c r="O335" i="6"/>
  <c r="O336" i="6"/>
  <c r="O337" i="6"/>
  <c r="O338" i="6"/>
  <c r="O339" i="6"/>
  <c r="O340" i="6"/>
  <c r="O341" i="6"/>
  <c r="O342" i="6"/>
  <c r="O343" i="6"/>
  <c r="O344" i="6"/>
  <c r="O345" i="6"/>
  <c r="O346" i="6"/>
  <c r="O347" i="6"/>
  <c r="O348" i="6"/>
  <c r="O349" i="6"/>
  <c r="O350" i="6"/>
  <c r="O351" i="6"/>
  <c r="O352" i="6"/>
  <c r="O353" i="6"/>
  <c r="O354" i="6"/>
  <c r="O355" i="6"/>
  <c r="O356" i="6"/>
  <c r="O357" i="6"/>
  <c r="O358" i="6"/>
  <c r="O359" i="6"/>
  <c r="O360" i="6"/>
  <c r="O361" i="6"/>
  <c r="O362" i="6"/>
  <c r="O363" i="6"/>
  <c r="O364" i="6"/>
  <c r="O365" i="6"/>
  <c r="O366" i="6"/>
  <c r="O367" i="6"/>
  <c r="O368" i="6"/>
  <c r="O369" i="6"/>
  <c r="O370" i="6"/>
  <c r="O371" i="6"/>
  <c r="O372" i="6"/>
  <c r="O373" i="6"/>
  <c r="O374" i="6"/>
  <c r="O375" i="6"/>
  <c r="O376" i="6"/>
  <c r="O377" i="6"/>
  <c r="O378" i="6"/>
  <c r="O379" i="6"/>
  <c r="O380" i="6"/>
  <c r="O381" i="6"/>
  <c r="O382" i="6"/>
  <c r="O383" i="6"/>
  <c r="O384" i="6"/>
  <c r="O385" i="6"/>
  <c r="O386" i="6"/>
  <c r="O387" i="6"/>
  <c r="O388" i="6"/>
  <c r="O389" i="6"/>
  <c r="O390" i="6"/>
  <c r="O391" i="6"/>
  <c r="O392" i="6"/>
  <c r="O393" i="6"/>
  <c r="O394" i="6"/>
  <c r="O395" i="6"/>
  <c r="O396" i="6"/>
  <c r="O397" i="6"/>
  <c r="O398" i="6"/>
  <c r="O399" i="6"/>
  <c r="O400" i="6"/>
  <c r="O401" i="6"/>
  <c r="O402" i="6"/>
  <c r="O403" i="6"/>
  <c r="O404" i="6"/>
  <c r="O405" i="6"/>
  <c r="O406" i="6"/>
  <c r="O407" i="6"/>
  <c r="O408" i="6"/>
  <c r="O409" i="6"/>
  <c r="O410" i="6"/>
  <c r="O411" i="6"/>
  <c r="O412" i="6"/>
  <c r="O413" i="6"/>
  <c r="O414" i="6"/>
  <c r="O415" i="6"/>
  <c r="O416" i="6"/>
  <c r="O417" i="6"/>
  <c r="O418" i="6"/>
  <c r="O419" i="6"/>
  <c r="O420" i="6"/>
  <c r="O421" i="6"/>
  <c r="O422" i="6"/>
  <c r="O423" i="6"/>
  <c r="O424" i="6"/>
  <c r="O425" i="6"/>
  <c r="O426" i="6"/>
  <c r="O427" i="6"/>
  <c r="O428" i="6"/>
  <c r="O429" i="6"/>
  <c r="O430" i="6"/>
  <c r="O431" i="6"/>
  <c r="O432" i="6"/>
  <c r="O433" i="6"/>
  <c r="O434" i="6"/>
  <c r="O435" i="6"/>
  <c r="O436" i="6"/>
  <c r="O437" i="6"/>
  <c r="O438" i="6"/>
  <c r="O439" i="6"/>
  <c r="O440" i="6"/>
  <c r="O441" i="6"/>
  <c r="O442" i="6"/>
  <c r="O443" i="6"/>
  <c r="O444" i="6"/>
  <c r="O445" i="6"/>
  <c r="O446" i="6"/>
  <c r="O447" i="6"/>
  <c r="O448" i="6"/>
  <c r="O449" i="6"/>
  <c r="O450" i="6"/>
  <c r="O451" i="6"/>
  <c r="O452" i="6"/>
  <c r="O453" i="6"/>
  <c r="O454" i="6"/>
  <c r="O455" i="6"/>
  <c r="O456" i="6"/>
  <c r="O457" i="6"/>
  <c r="O458" i="6"/>
  <c r="O459" i="6"/>
  <c r="O460" i="6"/>
  <c r="O461" i="6"/>
  <c r="O462" i="6"/>
  <c r="O463" i="6"/>
  <c r="O464" i="6"/>
  <c r="O465" i="6"/>
  <c r="O466" i="6"/>
  <c r="O467" i="6"/>
  <c r="O468" i="6"/>
  <c r="O469" i="6"/>
  <c r="O470" i="6"/>
  <c r="O471" i="6"/>
  <c r="O472" i="6"/>
  <c r="O473" i="6"/>
  <c r="O474" i="6"/>
  <c r="O475" i="6"/>
  <c r="O476" i="6"/>
  <c r="O477" i="6"/>
  <c r="O478" i="6"/>
  <c r="O479" i="6"/>
  <c r="O480" i="6"/>
  <c r="O481" i="6"/>
  <c r="O482" i="6"/>
  <c r="O483" i="6"/>
  <c r="O484" i="6"/>
  <c r="O485" i="6"/>
  <c r="O486" i="6"/>
  <c r="O487" i="6"/>
  <c r="O488" i="6"/>
  <c r="O489" i="6"/>
  <c r="O490" i="6"/>
  <c r="O491" i="6"/>
  <c r="O492" i="6"/>
  <c r="O493" i="6"/>
  <c r="O494" i="6"/>
  <c r="O495" i="6"/>
  <c r="O496" i="6"/>
  <c r="O497" i="6"/>
  <c r="O498" i="6"/>
  <c r="O499" i="6"/>
  <c r="O500" i="6"/>
  <c r="O501" i="6"/>
  <c r="O24" i="6"/>
  <c r="G5" i="4"/>
  <c r="G4" i="4"/>
  <c r="G3" i="4"/>
  <c r="G2" i="4"/>
  <c r="L25" i="6"/>
  <c r="M25" i="6"/>
  <c r="L26" i="6"/>
  <c r="M26" i="6"/>
  <c r="L27" i="6"/>
  <c r="M27" i="6"/>
  <c r="L28" i="6"/>
  <c r="M28" i="6"/>
  <c r="L29" i="6"/>
  <c r="M29" i="6"/>
  <c r="L30" i="6"/>
  <c r="M30" i="6"/>
  <c r="L31" i="6"/>
  <c r="M31" i="6"/>
  <c r="L32" i="6"/>
  <c r="M32" i="6"/>
  <c r="L33" i="6"/>
  <c r="M33" i="6"/>
  <c r="L34" i="6"/>
  <c r="M34" i="6"/>
  <c r="L35" i="6"/>
  <c r="M35" i="6"/>
  <c r="L36" i="6"/>
  <c r="M36" i="6"/>
  <c r="L37" i="6"/>
  <c r="M37" i="6"/>
  <c r="L38" i="6"/>
  <c r="M38" i="6"/>
  <c r="L39" i="6"/>
  <c r="M39" i="6"/>
  <c r="L40" i="6"/>
  <c r="M40" i="6"/>
  <c r="L41" i="6"/>
  <c r="M41" i="6"/>
  <c r="L42" i="6"/>
  <c r="M42" i="6"/>
  <c r="L43" i="6"/>
  <c r="M43" i="6"/>
  <c r="L44" i="6"/>
  <c r="M44" i="6"/>
  <c r="L45" i="6"/>
  <c r="M45" i="6"/>
  <c r="L46" i="6"/>
  <c r="M46" i="6"/>
  <c r="L47" i="6"/>
  <c r="M47" i="6"/>
  <c r="L48" i="6"/>
  <c r="M48" i="6"/>
  <c r="L49" i="6"/>
  <c r="M49" i="6"/>
  <c r="L50" i="6"/>
  <c r="M50" i="6"/>
  <c r="L51" i="6"/>
  <c r="M51" i="6"/>
  <c r="L52" i="6"/>
  <c r="M52" i="6"/>
  <c r="L53" i="6"/>
  <c r="M53" i="6"/>
  <c r="L54" i="6"/>
  <c r="M54" i="6"/>
  <c r="L55" i="6"/>
  <c r="M55" i="6"/>
  <c r="L56" i="6"/>
  <c r="M56" i="6"/>
  <c r="L57" i="6"/>
  <c r="M57" i="6"/>
  <c r="L58" i="6"/>
  <c r="M58" i="6"/>
  <c r="L59" i="6"/>
  <c r="M59" i="6"/>
  <c r="L60" i="6"/>
  <c r="M60" i="6"/>
  <c r="L61" i="6"/>
  <c r="M61" i="6"/>
  <c r="L62" i="6"/>
  <c r="M62" i="6"/>
  <c r="L63" i="6"/>
  <c r="M63" i="6"/>
  <c r="L64" i="6"/>
  <c r="M64" i="6"/>
  <c r="L65" i="6"/>
  <c r="M65" i="6"/>
  <c r="L66" i="6"/>
  <c r="M66" i="6"/>
  <c r="L67" i="6"/>
  <c r="M67" i="6"/>
  <c r="L68" i="6"/>
  <c r="M68" i="6"/>
  <c r="L69" i="6"/>
  <c r="M69" i="6"/>
  <c r="L70" i="6"/>
  <c r="M70" i="6"/>
  <c r="L71" i="6"/>
  <c r="M71" i="6"/>
  <c r="L72" i="6"/>
  <c r="M72" i="6"/>
  <c r="L73" i="6"/>
  <c r="M73" i="6"/>
  <c r="L74" i="6"/>
  <c r="M74" i="6"/>
  <c r="L75" i="6"/>
  <c r="M75" i="6"/>
  <c r="L76" i="6"/>
  <c r="M76" i="6"/>
  <c r="L77" i="6"/>
  <c r="M77" i="6"/>
  <c r="L78" i="6"/>
  <c r="M78" i="6"/>
  <c r="L79" i="6"/>
  <c r="M79" i="6"/>
  <c r="L80" i="6"/>
  <c r="M80" i="6"/>
  <c r="L81" i="6"/>
  <c r="M81" i="6"/>
  <c r="L82" i="6"/>
  <c r="M82" i="6"/>
  <c r="L83" i="6"/>
  <c r="M83" i="6"/>
  <c r="L84" i="6"/>
  <c r="M84" i="6"/>
  <c r="L85" i="6"/>
  <c r="M85" i="6"/>
  <c r="L86" i="6"/>
  <c r="M86" i="6"/>
  <c r="L87" i="6"/>
  <c r="M87" i="6"/>
  <c r="L88" i="6"/>
  <c r="M88" i="6"/>
  <c r="L89" i="6"/>
  <c r="M89" i="6"/>
  <c r="L90" i="6"/>
  <c r="M90" i="6"/>
  <c r="L91" i="6"/>
  <c r="M91" i="6"/>
  <c r="L92" i="6"/>
  <c r="M92" i="6"/>
  <c r="L93" i="6"/>
  <c r="M93" i="6"/>
  <c r="L94" i="6"/>
  <c r="M94" i="6"/>
  <c r="L95" i="6"/>
  <c r="M95" i="6"/>
  <c r="L96" i="6"/>
  <c r="M96" i="6"/>
  <c r="L97" i="6"/>
  <c r="M97" i="6"/>
  <c r="L98" i="6"/>
  <c r="M98" i="6"/>
  <c r="L99" i="6"/>
  <c r="M99" i="6"/>
  <c r="L100" i="6"/>
  <c r="M100" i="6"/>
  <c r="L101" i="6"/>
  <c r="M101" i="6"/>
  <c r="L102" i="6"/>
  <c r="M102" i="6"/>
  <c r="L103" i="6"/>
  <c r="M103" i="6"/>
  <c r="L104" i="6"/>
  <c r="M104" i="6"/>
  <c r="L105" i="6"/>
  <c r="M105" i="6"/>
  <c r="L106" i="6"/>
  <c r="M106" i="6"/>
  <c r="L107" i="6"/>
  <c r="M107" i="6"/>
  <c r="L108" i="6"/>
  <c r="M108" i="6"/>
  <c r="L109" i="6"/>
  <c r="M109" i="6"/>
  <c r="L110" i="6"/>
  <c r="M110" i="6"/>
  <c r="L111" i="6"/>
  <c r="M111" i="6"/>
  <c r="L112" i="6"/>
  <c r="M112" i="6"/>
  <c r="L113" i="6"/>
  <c r="M113" i="6"/>
  <c r="L114" i="6"/>
  <c r="M114" i="6"/>
  <c r="L115" i="6"/>
  <c r="M115" i="6"/>
  <c r="L116" i="6"/>
  <c r="M116" i="6"/>
  <c r="L117" i="6"/>
  <c r="M117" i="6"/>
  <c r="L118" i="6"/>
  <c r="M118" i="6"/>
  <c r="L119" i="6"/>
  <c r="M119" i="6"/>
  <c r="L120" i="6"/>
  <c r="M120" i="6"/>
  <c r="L121" i="6"/>
  <c r="M121" i="6"/>
  <c r="L122" i="6"/>
  <c r="M122" i="6"/>
  <c r="L123" i="6"/>
  <c r="M123" i="6"/>
  <c r="L124" i="6"/>
  <c r="M124" i="6"/>
  <c r="L125" i="6"/>
  <c r="M125" i="6"/>
  <c r="L126" i="6"/>
  <c r="M126" i="6"/>
  <c r="L127" i="6"/>
  <c r="M127" i="6"/>
  <c r="L128" i="6"/>
  <c r="M128" i="6"/>
  <c r="L129" i="6"/>
  <c r="M129" i="6"/>
  <c r="L130" i="6"/>
  <c r="M130" i="6"/>
  <c r="L131" i="6"/>
  <c r="M131" i="6"/>
  <c r="L132" i="6"/>
  <c r="M132" i="6"/>
  <c r="L133" i="6"/>
  <c r="M133" i="6"/>
  <c r="L134" i="6"/>
  <c r="M134" i="6"/>
  <c r="L135" i="6"/>
  <c r="M135" i="6"/>
  <c r="L136" i="6"/>
  <c r="M136" i="6"/>
  <c r="L137" i="6"/>
  <c r="M137" i="6"/>
  <c r="L138" i="6"/>
  <c r="M138" i="6"/>
  <c r="L139" i="6"/>
  <c r="M139" i="6"/>
  <c r="L140" i="6"/>
  <c r="M140" i="6"/>
  <c r="L141" i="6"/>
  <c r="M141" i="6"/>
  <c r="L142" i="6"/>
  <c r="M142" i="6"/>
  <c r="L143" i="6"/>
  <c r="M143" i="6"/>
  <c r="L144" i="6"/>
  <c r="M144" i="6"/>
  <c r="L145" i="6"/>
  <c r="M145" i="6"/>
  <c r="L146" i="6"/>
  <c r="M146" i="6"/>
  <c r="L147" i="6"/>
  <c r="M147" i="6"/>
  <c r="L148" i="6"/>
  <c r="M148" i="6"/>
  <c r="L149" i="6"/>
  <c r="M149" i="6"/>
  <c r="L150" i="6"/>
  <c r="M150" i="6"/>
  <c r="L151" i="6"/>
  <c r="M151" i="6"/>
  <c r="L152" i="6"/>
  <c r="M152" i="6"/>
  <c r="L153" i="6"/>
  <c r="M153" i="6"/>
  <c r="L154" i="6"/>
  <c r="M154" i="6"/>
  <c r="L155" i="6"/>
  <c r="M155" i="6"/>
  <c r="L156" i="6"/>
  <c r="M156" i="6"/>
  <c r="L157" i="6"/>
  <c r="M157" i="6"/>
  <c r="L158" i="6"/>
  <c r="M158" i="6"/>
  <c r="L159" i="6"/>
  <c r="M159" i="6"/>
  <c r="L160" i="6"/>
  <c r="M160" i="6"/>
  <c r="L161" i="6"/>
  <c r="M161" i="6"/>
  <c r="L162" i="6"/>
  <c r="M162" i="6"/>
  <c r="L163" i="6"/>
  <c r="M163" i="6"/>
  <c r="L164" i="6"/>
  <c r="M164" i="6"/>
  <c r="L165" i="6"/>
  <c r="M165" i="6"/>
  <c r="L166" i="6"/>
  <c r="M166" i="6"/>
  <c r="L167" i="6"/>
  <c r="M167" i="6"/>
  <c r="L168" i="6"/>
  <c r="M168" i="6"/>
  <c r="L169" i="6"/>
  <c r="M169" i="6"/>
  <c r="L170" i="6"/>
  <c r="M170" i="6"/>
  <c r="L171" i="6"/>
  <c r="M171" i="6"/>
  <c r="L172" i="6"/>
  <c r="M172" i="6"/>
  <c r="L173" i="6"/>
  <c r="M173" i="6"/>
  <c r="L174" i="6"/>
  <c r="M174" i="6"/>
  <c r="L175" i="6"/>
  <c r="M175" i="6"/>
  <c r="L176" i="6"/>
  <c r="M176" i="6"/>
  <c r="L177" i="6"/>
  <c r="M177" i="6"/>
  <c r="L178" i="6"/>
  <c r="M178" i="6"/>
  <c r="L179" i="6"/>
  <c r="M179" i="6"/>
  <c r="L180" i="6"/>
  <c r="M180" i="6"/>
  <c r="L181" i="6"/>
  <c r="M181" i="6"/>
  <c r="L182" i="6"/>
  <c r="M182" i="6"/>
  <c r="L183" i="6"/>
  <c r="M183" i="6"/>
  <c r="L184" i="6"/>
  <c r="M184" i="6"/>
  <c r="L185" i="6"/>
  <c r="M185" i="6"/>
  <c r="L186" i="6"/>
  <c r="M186" i="6"/>
  <c r="L187" i="6"/>
  <c r="M187" i="6"/>
  <c r="L188" i="6"/>
  <c r="M188" i="6"/>
  <c r="L189" i="6"/>
  <c r="M189" i="6"/>
  <c r="L190" i="6"/>
  <c r="M190" i="6"/>
  <c r="L191" i="6"/>
  <c r="M191" i="6"/>
  <c r="L192" i="6"/>
  <c r="M192" i="6"/>
  <c r="L193" i="6"/>
  <c r="M193" i="6"/>
  <c r="L194" i="6"/>
  <c r="M194" i="6"/>
  <c r="L195" i="6"/>
  <c r="M195" i="6"/>
  <c r="L196" i="6"/>
  <c r="M196" i="6"/>
  <c r="L197" i="6"/>
  <c r="M197" i="6"/>
  <c r="L198" i="6"/>
  <c r="M198" i="6"/>
  <c r="L199" i="6"/>
  <c r="M199" i="6"/>
  <c r="L200" i="6"/>
  <c r="M200" i="6"/>
  <c r="L201" i="6"/>
  <c r="M201" i="6"/>
  <c r="L202" i="6"/>
  <c r="M202" i="6"/>
  <c r="L203" i="6"/>
  <c r="M203" i="6"/>
  <c r="L204" i="6"/>
  <c r="M204" i="6"/>
  <c r="L205" i="6"/>
  <c r="M205" i="6"/>
  <c r="L206" i="6"/>
  <c r="M206" i="6"/>
  <c r="L207" i="6"/>
  <c r="M207" i="6"/>
  <c r="L208" i="6"/>
  <c r="M208" i="6"/>
  <c r="L209" i="6"/>
  <c r="M209" i="6"/>
  <c r="L210" i="6"/>
  <c r="M210" i="6"/>
  <c r="L211" i="6"/>
  <c r="M211" i="6"/>
  <c r="L212" i="6"/>
  <c r="M212" i="6"/>
  <c r="L213" i="6"/>
  <c r="M213" i="6"/>
  <c r="L214" i="6"/>
  <c r="M214" i="6"/>
  <c r="L215" i="6"/>
  <c r="M215" i="6"/>
  <c r="L216" i="6"/>
  <c r="M216" i="6"/>
  <c r="L217" i="6"/>
  <c r="M217" i="6"/>
  <c r="L218" i="6"/>
  <c r="M218" i="6"/>
  <c r="L219" i="6"/>
  <c r="M219" i="6"/>
  <c r="L220" i="6"/>
  <c r="M220" i="6"/>
  <c r="L221" i="6"/>
  <c r="M221" i="6"/>
  <c r="L222" i="6"/>
  <c r="M222" i="6"/>
  <c r="L223" i="6"/>
  <c r="M223" i="6"/>
  <c r="L224" i="6"/>
  <c r="M224" i="6"/>
  <c r="L225" i="6"/>
  <c r="M225" i="6"/>
  <c r="L226" i="6"/>
  <c r="M226" i="6"/>
  <c r="L227" i="6"/>
  <c r="M227" i="6"/>
  <c r="L228" i="6"/>
  <c r="M228" i="6"/>
  <c r="L229" i="6"/>
  <c r="M229" i="6"/>
  <c r="L230" i="6"/>
  <c r="M230" i="6"/>
  <c r="L231" i="6"/>
  <c r="M231" i="6"/>
  <c r="L232" i="6"/>
  <c r="M232" i="6"/>
  <c r="L233" i="6"/>
  <c r="M233" i="6"/>
  <c r="L234" i="6"/>
  <c r="M234" i="6"/>
  <c r="L235" i="6"/>
  <c r="M235" i="6"/>
  <c r="L236" i="6"/>
  <c r="M236" i="6"/>
  <c r="L237" i="6"/>
  <c r="M237" i="6"/>
  <c r="L238" i="6"/>
  <c r="M238" i="6"/>
  <c r="L239" i="6"/>
  <c r="M239" i="6"/>
  <c r="L240" i="6"/>
  <c r="M240" i="6"/>
  <c r="L241" i="6"/>
  <c r="M241" i="6"/>
  <c r="L242" i="6"/>
  <c r="M242" i="6"/>
  <c r="L243" i="6"/>
  <c r="M243" i="6"/>
  <c r="L244" i="6"/>
  <c r="M244" i="6"/>
  <c r="L245" i="6"/>
  <c r="M245" i="6"/>
  <c r="L246" i="6"/>
  <c r="M246" i="6"/>
  <c r="L247" i="6"/>
  <c r="M247" i="6"/>
  <c r="L248" i="6"/>
  <c r="M248" i="6"/>
  <c r="L249" i="6"/>
  <c r="M249" i="6"/>
  <c r="L250" i="6"/>
  <c r="M250" i="6"/>
  <c r="L251" i="6"/>
  <c r="M251" i="6"/>
  <c r="L252" i="6"/>
  <c r="M252" i="6"/>
  <c r="L253" i="6"/>
  <c r="M253" i="6"/>
  <c r="L254" i="6"/>
  <c r="M254" i="6"/>
  <c r="L255" i="6"/>
  <c r="M255" i="6"/>
  <c r="L256" i="6"/>
  <c r="M256" i="6"/>
  <c r="L257" i="6"/>
  <c r="M257" i="6"/>
  <c r="L258" i="6"/>
  <c r="M258" i="6"/>
  <c r="L259" i="6"/>
  <c r="M259" i="6"/>
  <c r="L260" i="6"/>
  <c r="M260" i="6"/>
  <c r="L261" i="6"/>
  <c r="M261" i="6"/>
  <c r="L262" i="6"/>
  <c r="M262" i="6"/>
  <c r="L263" i="6"/>
  <c r="M263" i="6"/>
  <c r="L264" i="6"/>
  <c r="M264" i="6"/>
  <c r="L265" i="6"/>
  <c r="M265" i="6"/>
  <c r="L266" i="6"/>
  <c r="M266" i="6"/>
  <c r="L267" i="6"/>
  <c r="M267" i="6"/>
  <c r="L268" i="6"/>
  <c r="M268" i="6"/>
  <c r="L269" i="6"/>
  <c r="M269" i="6"/>
  <c r="L270" i="6"/>
  <c r="M270" i="6"/>
  <c r="L271" i="6"/>
  <c r="M271" i="6"/>
  <c r="L272" i="6"/>
  <c r="M272" i="6"/>
  <c r="L273" i="6"/>
  <c r="M273" i="6"/>
  <c r="L274" i="6"/>
  <c r="M274" i="6"/>
  <c r="L275" i="6"/>
  <c r="M275" i="6"/>
  <c r="L276" i="6"/>
  <c r="M276" i="6"/>
  <c r="L277" i="6"/>
  <c r="M277" i="6"/>
  <c r="L278" i="6"/>
  <c r="M278" i="6"/>
  <c r="L279" i="6"/>
  <c r="M279" i="6"/>
  <c r="L280" i="6"/>
  <c r="M280" i="6"/>
  <c r="L281" i="6"/>
  <c r="M281" i="6"/>
  <c r="L282" i="6"/>
  <c r="M282" i="6"/>
  <c r="L283" i="6"/>
  <c r="M283" i="6"/>
  <c r="L284" i="6"/>
  <c r="M284" i="6"/>
  <c r="L285" i="6"/>
  <c r="M285" i="6"/>
  <c r="L286" i="6"/>
  <c r="M286" i="6"/>
  <c r="L287" i="6"/>
  <c r="M287" i="6"/>
  <c r="L288" i="6"/>
  <c r="M288" i="6"/>
  <c r="L289" i="6"/>
  <c r="M289" i="6"/>
  <c r="L290" i="6"/>
  <c r="M290" i="6"/>
  <c r="L291" i="6"/>
  <c r="M291" i="6"/>
  <c r="L292" i="6"/>
  <c r="M292" i="6"/>
  <c r="L293" i="6"/>
  <c r="M293" i="6"/>
  <c r="L294" i="6"/>
  <c r="M294" i="6"/>
  <c r="L295" i="6"/>
  <c r="M295" i="6"/>
  <c r="L296" i="6"/>
  <c r="M296" i="6"/>
  <c r="L297" i="6"/>
  <c r="M297" i="6"/>
  <c r="L298" i="6"/>
  <c r="M298" i="6"/>
  <c r="L299" i="6"/>
  <c r="M299" i="6"/>
  <c r="L300" i="6"/>
  <c r="M300" i="6"/>
  <c r="L301" i="6"/>
  <c r="M301" i="6"/>
  <c r="L302" i="6"/>
  <c r="M302" i="6"/>
  <c r="L303" i="6"/>
  <c r="M303" i="6"/>
  <c r="L304" i="6"/>
  <c r="M304" i="6"/>
  <c r="L305" i="6"/>
  <c r="M305" i="6"/>
  <c r="L306" i="6"/>
  <c r="M306" i="6"/>
  <c r="L307" i="6"/>
  <c r="M307" i="6"/>
  <c r="L308" i="6"/>
  <c r="M308" i="6"/>
  <c r="L309" i="6"/>
  <c r="M309" i="6"/>
  <c r="L310" i="6"/>
  <c r="M310" i="6"/>
  <c r="L311" i="6"/>
  <c r="M311" i="6"/>
  <c r="L312" i="6"/>
  <c r="M312" i="6"/>
  <c r="L313" i="6"/>
  <c r="M313" i="6"/>
  <c r="L314" i="6"/>
  <c r="M314" i="6"/>
  <c r="L315" i="6"/>
  <c r="M315" i="6"/>
  <c r="L316" i="6"/>
  <c r="M316" i="6"/>
  <c r="L317" i="6"/>
  <c r="M317" i="6"/>
  <c r="L318" i="6"/>
  <c r="M318" i="6"/>
  <c r="L319" i="6"/>
  <c r="M319" i="6"/>
  <c r="L320" i="6"/>
  <c r="M320" i="6"/>
  <c r="L321" i="6"/>
  <c r="M321" i="6"/>
  <c r="L322" i="6"/>
  <c r="M322" i="6"/>
  <c r="L323" i="6"/>
  <c r="M323" i="6"/>
  <c r="L324" i="6"/>
  <c r="M324" i="6"/>
  <c r="L325" i="6"/>
  <c r="M325" i="6"/>
  <c r="L326" i="6"/>
  <c r="M326" i="6"/>
  <c r="L327" i="6"/>
  <c r="M327" i="6"/>
  <c r="L328" i="6"/>
  <c r="M328" i="6"/>
  <c r="L329" i="6"/>
  <c r="M329" i="6"/>
  <c r="L330" i="6"/>
  <c r="M330" i="6"/>
  <c r="L331" i="6"/>
  <c r="M331" i="6"/>
  <c r="L332" i="6"/>
  <c r="M332" i="6"/>
  <c r="L333" i="6"/>
  <c r="M333" i="6"/>
  <c r="L334" i="6"/>
  <c r="M334" i="6"/>
  <c r="L335" i="6"/>
  <c r="M335" i="6"/>
  <c r="L336" i="6"/>
  <c r="M336" i="6"/>
  <c r="L337" i="6"/>
  <c r="M337" i="6"/>
  <c r="L338" i="6"/>
  <c r="M338" i="6"/>
  <c r="L339" i="6"/>
  <c r="M339" i="6"/>
  <c r="L340" i="6"/>
  <c r="M340" i="6"/>
  <c r="L341" i="6"/>
  <c r="M341" i="6"/>
  <c r="L342" i="6"/>
  <c r="M342" i="6"/>
  <c r="L343" i="6"/>
  <c r="M343" i="6"/>
  <c r="L344" i="6"/>
  <c r="M344" i="6"/>
  <c r="L345" i="6"/>
  <c r="M345" i="6"/>
  <c r="L346" i="6"/>
  <c r="M346" i="6"/>
  <c r="L347" i="6"/>
  <c r="M347" i="6"/>
  <c r="L348" i="6"/>
  <c r="M348" i="6"/>
  <c r="L349" i="6"/>
  <c r="M349" i="6"/>
  <c r="L350" i="6"/>
  <c r="M350" i="6"/>
  <c r="L351" i="6"/>
  <c r="M351" i="6"/>
  <c r="L352" i="6"/>
  <c r="M352" i="6"/>
  <c r="L353" i="6"/>
  <c r="M353" i="6"/>
  <c r="L354" i="6"/>
  <c r="M354" i="6"/>
  <c r="L355" i="6"/>
  <c r="M355" i="6"/>
  <c r="L356" i="6"/>
  <c r="M356" i="6"/>
  <c r="L357" i="6"/>
  <c r="M357" i="6"/>
  <c r="L358" i="6"/>
  <c r="M358" i="6"/>
  <c r="L359" i="6"/>
  <c r="M359" i="6"/>
  <c r="L360" i="6"/>
  <c r="M360" i="6"/>
  <c r="L361" i="6"/>
  <c r="M361" i="6"/>
  <c r="L362" i="6"/>
  <c r="M362" i="6"/>
  <c r="L363" i="6"/>
  <c r="M363" i="6"/>
  <c r="L364" i="6"/>
  <c r="M364" i="6"/>
  <c r="L365" i="6"/>
  <c r="M365" i="6"/>
  <c r="L366" i="6"/>
  <c r="M366" i="6"/>
  <c r="L367" i="6"/>
  <c r="M367" i="6"/>
  <c r="L368" i="6"/>
  <c r="M368" i="6"/>
  <c r="L369" i="6"/>
  <c r="M369" i="6"/>
  <c r="L370" i="6"/>
  <c r="M370" i="6"/>
  <c r="L371" i="6"/>
  <c r="M371" i="6"/>
  <c r="L372" i="6"/>
  <c r="M372" i="6"/>
  <c r="L373" i="6"/>
  <c r="M373" i="6"/>
  <c r="L374" i="6"/>
  <c r="M374" i="6"/>
  <c r="L375" i="6"/>
  <c r="M375" i="6"/>
  <c r="L376" i="6"/>
  <c r="M376" i="6"/>
  <c r="L377" i="6"/>
  <c r="M377" i="6"/>
  <c r="L378" i="6"/>
  <c r="M378" i="6"/>
  <c r="L379" i="6"/>
  <c r="M379" i="6"/>
  <c r="L380" i="6"/>
  <c r="M380" i="6"/>
  <c r="L381" i="6"/>
  <c r="M381" i="6"/>
  <c r="L382" i="6"/>
  <c r="M382" i="6"/>
  <c r="L383" i="6"/>
  <c r="M383" i="6"/>
  <c r="L384" i="6"/>
  <c r="M384" i="6"/>
  <c r="L385" i="6"/>
  <c r="M385" i="6"/>
  <c r="L386" i="6"/>
  <c r="M386" i="6"/>
  <c r="L387" i="6"/>
  <c r="M387" i="6"/>
  <c r="L388" i="6"/>
  <c r="M388" i="6"/>
  <c r="L389" i="6"/>
  <c r="M389" i="6"/>
  <c r="L390" i="6"/>
  <c r="M390" i="6"/>
  <c r="L391" i="6"/>
  <c r="M391" i="6"/>
  <c r="L392" i="6"/>
  <c r="M392" i="6"/>
  <c r="L393" i="6"/>
  <c r="M393" i="6"/>
  <c r="L394" i="6"/>
  <c r="M394" i="6"/>
  <c r="L395" i="6"/>
  <c r="M395" i="6"/>
  <c r="L396" i="6"/>
  <c r="M396" i="6"/>
  <c r="L397" i="6"/>
  <c r="M397" i="6"/>
  <c r="L398" i="6"/>
  <c r="M398" i="6"/>
  <c r="L399" i="6"/>
  <c r="M399" i="6"/>
  <c r="L400" i="6"/>
  <c r="M400" i="6"/>
  <c r="L401" i="6"/>
  <c r="M401" i="6"/>
  <c r="L402" i="6"/>
  <c r="M402" i="6"/>
  <c r="L403" i="6"/>
  <c r="M403" i="6"/>
  <c r="L404" i="6"/>
  <c r="M404" i="6"/>
  <c r="L405" i="6"/>
  <c r="M405" i="6"/>
  <c r="L406" i="6"/>
  <c r="M406" i="6"/>
  <c r="L407" i="6"/>
  <c r="M407" i="6"/>
  <c r="L408" i="6"/>
  <c r="M408" i="6"/>
  <c r="L409" i="6"/>
  <c r="M409" i="6"/>
  <c r="L410" i="6"/>
  <c r="M410" i="6"/>
  <c r="L411" i="6"/>
  <c r="M411" i="6"/>
  <c r="L412" i="6"/>
  <c r="M412" i="6"/>
  <c r="L413" i="6"/>
  <c r="M413" i="6"/>
  <c r="L414" i="6"/>
  <c r="M414" i="6"/>
  <c r="L415" i="6"/>
  <c r="M415" i="6"/>
  <c r="L416" i="6"/>
  <c r="M416" i="6"/>
  <c r="L417" i="6"/>
  <c r="M417" i="6"/>
  <c r="L418" i="6"/>
  <c r="M418" i="6"/>
  <c r="L419" i="6"/>
  <c r="M419" i="6"/>
  <c r="L420" i="6"/>
  <c r="M420" i="6"/>
  <c r="L421" i="6"/>
  <c r="M421" i="6"/>
  <c r="L422" i="6"/>
  <c r="M422" i="6"/>
  <c r="L423" i="6"/>
  <c r="M423" i="6"/>
  <c r="L424" i="6"/>
  <c r="M424" i="6"/>
  <c r="L425" i="6"/>
  <c r="M425" i="6"/>
  <c r="L426" i="6"/>
  <c r="M426" i="6"/>
  <c r="L427" i="6"/>
  <c r="M427" i="6"/>
  <c r="L428" i="6"/>
  <c r="M428" i="6"/>
  <c r="L429" i="6"/>
  <c r="M429" i="6"/>
  <c r="L430" i="6"/>
  <c r="M430" i="6"/>
  <c r="L431" i="6"/>
  <c r="M431" i="6"/>
  <c r="L432" i="6"/>
  <c r="M432" i="6"/>
  <c r="L433" i="6"/>
  <c r="M433" i="6"/>
  <c r="L434" i="6"/>
  <c r="M434" i="6"/>
  <c r="L435" i="6"/>
  <c r="M435" i="6"/>
  <c r="L436" i="6"/>
  <c r="M436" i="6"/>
  <c r="L437" i="6"/>
  <c r="M437" i="6"/>
  <c r="L438" i="6"/>
  <c r="M438" i="6"/>
  <c r="L439" i="6"/>
  <c r="M439" i="6"/>
  <c r="L440" i="6"/>
  <c r="M440" i="6"/>
  <c r="L441" i="6"/>
  <c r="M441" i="6"/>
  <c r="L442" i="6"/>
  <c r="M442" i="6"/>
  <c r="L443" i="6"/>
  <c r="M443" i="6"/>
  <c r="L444" i="6"/>
  <c r="M444" i="6"/>
  <c r="L445" i="6"/>
  <c r="M445" i="6"/>
  <c r="L446" i="6"/>
  <c r="M446" i="6"/>
  <c r="L447" i="6"/>
  <c r="M447" i="6"/>
  <c r="L448" i="6"/>
  <c r="M448" i="6"/>
  <c r="L449" i="6"/>
  <c r="M449" i="6"/>
  <c r="L450" i="6"/>
  <c r="M450" i="6"/>
  <c r="L451" i="6"/>
  <c r="M451" i="6"/>
  <c r="L452" i="6"/>
  <c r="M452" i="6"/>
  <c r="L453" i="6"/>
  <c r="M453" i="6"/>
  <c r="L454" i="6"/>
  <c r="M454" i="6"/>
  <c r="L455" i="6"/>
  <c r="M455" i="6"/>
  <c r="L456" i="6"/>
  <c r="M456" i="6"/>
  <c r="L457" i="6"/>
  <c r="M457" i="6"/>
  <c r="L458" i="6"/>
  <c r="M458" i="6"/>
  <c r="L459" i="6"/>
  <c r="M459" i="6"/>
  <c r="L460" i="6"/>
  <c r="M460" i="6"/>
  <c r="L461" i="6"/>
  <c r="M461" i="6"/>
  <c r="L462" i="6"/>
  <c r="M462" i="6"/>
  <c r="L463" i="6"/>
  <c r="M463" i="6"/>
  <c r="L464" i="6"/>
  <c r="M464" i="6"/>
  <c r="L465" i="6"/>
  <c r="M465" i="6"/>
  <c r="L466" i="6"/>
  <c r="M466" i="6"/>
  <c r="L467" i="6"/>
  <c r="M467" i="6"/>
  <c r="L468" i="6"/>
  <c r="M468" i="6"/>
  <c r="L469" i="6"/>
  <c r="M469" i="6"/>
  <c r="L470" i="6"/>
  <c r="M470" i="6"/>
  <c r="L471" i="6"/>
  <c r="M471" i="6"/>
  <c r="L472" i="6"/>
  <c r="M472" i="6"/>
  <c r="L473" i="6"/>
  <c r="M473" i="6"/>
  <c r="L474" i="6"/>
  <c r="M474" i="6"/>
  <c r="L475" i="6"/>
  <c r="M475" i="6"/>
  <c r="L476" i="6"/>
  <c r="M476" i="6"/>
  <c r="L477" i="6"/>
  <c r="M477" i="6"/>
  <c r="L478" i="6"/>
  <c r="M478" i="6"/>
  <c r="L479" i="6"/>
  <c r="M479" i="6"/>
  <c r="L480" i="6"/>
  <c r="M480" i="6"/>
  <c r="L481" i="6"/>
  <c r="M481" i="6"/>
  <c r="L482" i="6"/>
  <c r="M482" i="6"/>
  <c r="L483" i="6"/>
  <c r="M483" i="6"/>
  <c r="L484" i="6"/>
  <c r="M484" i="6"/>
  <c r="L485" i="6"/>
  <c r="M485" i="6"/>
  <c r="L486" i="6"/>
  <c r="M486" i="6"/>
  <c r="L487" i="6"/>
  <c r="M487" i="6"/>
  <c r="L488" i="6"/>
  <c r="M488" i="6"/>
  <c r="L489" i="6"/>
  <c r="M489" i="6"/>
  <c r="L490" i="6"/>
  <c r="M490" i="6"/>
  <c r="L491" i="6"/>
  <c r="M491" i="6"/>
  <c r="L492" i="6"/>
  <c r="M492" i="6"/>
  <c r="L493" i="6"/>
  <c r="M493" i="6"/>
  <c r="L494" i="6"/>
  <c r="M494" i="6"/>
  <c r="L495" i="6"/>
  <c r="M495" i="6"/>
  <c r="L496" i="6"/>
  <c r="M496" i="6"/>
  <c r="L497" i="6"/>
  <c r="M497" i="6"/>
  <c r="L498" i="6"/>
  <c r="M498" i="6"/>
  <c r="L499" i="6"/>
  <c r="M499" i="6"/>
  <c r="L500" i="6"/>
  <c r="M500" i="6"/>
  <c r="L501" i="6"/>
  <c r="M501" i="6"/>
  <c r="M24" i="6"/>
  <c r="L24" i="6"/>
  <c r="G6" i="4" l="1"/>
  <c r="G671" i="4" s="1"/>
  <c r="G1170" i="4"/>
  <c r="G1535" i="4"/>
  <c r="G488" i="4"/>
  <c r="G840" i="4"/>
  <c r="G1616" i="4"/>
  <c r="G328" i="4"/>
  <c r="G1388" i="4"/>
  <c r="G1036" i="4"/>
  <c r="G124" i="4"/>
  <c r="G1392" i="4"/>
  <c r="G460" i="4"/>
  <c r="G1393" i="4"/>
  <c r="G1533" i="4"/>
  <c r="G484" i="4"/>
  <c r="G1176" i="4"/>
  <c r="G1225" i="4"/>
  <c r="G623" i="4"/>
  <c r="G1635" i="4"/>
  <c r="G1248" i="4"/>
  <c r="G1475" i="4"/>
  <c r="G917" i="4"/>
  <c r="G329" i="4"/>
  <c r="G1449" i="4"/>
  <c r="G337" i="4"/>
  <c r="G701" i="4"/>
  <c r="G1038" i="4"/>
  <c r="G1450" i="4"/>
  <c r="G189" i="4"/>
  <c r="G541" i="4"/>
  <c r="G1042" i="4"/>
  <c r="G1307" i="4"/>
  <c r="G1531" i="4"/>
  <c r="G1779" i="4"/>
  <c r="G1719" i="4"/>
  <c r="G1619" i="4"/>
  <c r="G1579" i="4"/>
  <c r="G1359" i="4"/>
  <c r="G1159" i="4"/>
  <c r="G1139" i="4"/>
  <c r="G1119" i="4"/>
  <c r="G1019" i="4"/>
  <c r="G859" i="4"/>
  <c r="G839" i="4"/>
  <c r="G819" i="4"/>
  <c r="G779" i="4"/>
  <c r="G759" i="4"/>
  <c r="G739" i="4"/>
  <c r="G719" i="4"/>
  <c r="G679" i="4"/>
  <c r="G439" i="4"/>
  <c r="G419" i="4"/>
  <c r="G219" i="4"/>
  <c r="G199" i="4"/>
  <c r="G119" i="4"/>
  <c r="G1756" i="4"/>
  <c r="G1714" i="4"/>
  <c r="G1672" i="4"/>
  <c r="G1651" i="4"/>
  <c r="G1462" i="4"/>
  <c r="G1441" i="4"/>
  <c r="G1420" i="4"/>
  <c r="G1251" i="4"/>
  <c r="G1167" i="4"/>
  <c r="G1146" i="4"/>
  <c r="G1125" i="4"/>
  <c r="G1104" i="4"/>
  <c r="G1062" i="4"/>
  <c r="G1041" i="4"/>
  <c r="G683" i="4"/>
  <c r="G641" i="4"/>
  <c r="G577" i="4"/>
  <c r="G493" i="4"/>
  <c r="G472" i="4"/>
  <c r="G451" i="4"/>
  <c r="G409" i="4"/>
  <c r="G283" i="4"/>
  <c r="G241" i="4"/>
  <c r="G220" i="4"/>
  <c r="G198" i="4"/>
  <c r="G1797" i="4"/>
  <c r="G1776" i="4"/>
  <c r="G1755" i="4"/>
  <c r="G1650" i="4"/>
  <c r="G1461" i="4"/>
  <c r="G1440" i="4"/>
  <c r="G1418" i="4"/>
  <c r="G1376" i="4"/>
  <c r="G1355" i="4"/>
  <c r="G1334" i="4"/>
  <c r="G1292" i="4"/>
  <c r="G1124" i="4"/>
  <c r="G1040" i="4"/>
  <c r="G1018" i="4"/>
  <c r="G871" i="4"/>
  <c r="G829" i="4"/>
  <c r="G808" i="4"/>
  <c r="G787" i="4"/>
  <c r="G745" i="4"/>
  <c r="G682" i="4"/>
  <c r="G618" i="4"/>
  <c r="G597" i="4"/>
  <c r="G534" i="4"/>
  <c r="G324" i="4"/>
  <c r="G303" i="4"/>
  <c r="G155" i="4"/>
  <c r="G53" i="4"/>
  <c r="G1796" i="4"/>
  <c r="G1773" i="4"/>
  <c r="G1750" i="4"/>
  <c r="G1727" i="4"/>
  <c r="G1704" i="4"/>
  <c r="G1681" i="4"/>
  <c r="G1657" i="4"/>
  <c r="G1352" i="4"/>
  <c r="G1329" i="4"/>
  <c r="G1283" i="4"/>
  <c r="G1236" i="4"/>
  <c r="G1165" i="4"/>
  <c r="G1118" i="4"/>
  <c r="G1049" i="4"/>
  <c r="G1026" i="4"/>
  <c r="G838" i="4"/>
  <c r="G815" i="4"/>
  <c r="G792" i="4"/>
  <c r="G744" i="4"/>
  <c r="G582" i="4"/>
  <c r="G558" i="4"/>
  <c r="G533" i="4"/>
  <c r="G487" i="4"/>
  <c r="G464" i="4"/>
  <c r="G394" i="4"/>
  <c r="G207" i="4"/>
  <c r="G184" i="4"/>
  <c r="G112" i="4"/>
  <c r="G90" i="4"/>
  <c r="G68" i="4"/>
  <c r="G25" i="4"/>
  <c r="G1795" i="4"/>
  <c r="G1585" i="4"/>
  <c r="G1538" i="4"/>
  <c r="G1423" i="4"/>
  <c r="G1400" i="4"/>
  <c r="G1305" i="4"/>
  <c r="G1258" i="4"/>
  <c r="G1212" i="4"/>
  <c r="G884" i="4"/>
  <c r="G814" i="4"/>
  <c r="G791" i="4"/>
  <c r="G743" i="4"/>
  <c r="G673" i="4"/>
  <c r="G650" i="4"/>
  <c r="G604" i="4"/>
  <c r="G463" i="4"/>
  <c r="G440" i="4"/>
  <c r="G416" i="4"/>
  <c r="G322" i="4"/>
  <c r="G252" i="4"/>
  <c r="G89" i="4"/>
  <c r="G45" i="4"/>
  <c r="G1561" i="4"/>
  <c r="G1186" i="4"/>
  <c r="G1772" i="4"/>
  <c r="G1749" i="4"/>
  <c r="G1703" i="4"/>
  <c r="G1680" i="4"/>
  <c r="G1633" i="4"/>
  <c r="G1610" i="4"/>
  <c r="G1562" i="4"/>
  <c r="G1492" i="4"/>
  <c r="G1235" i="4"/>
  <c r="G1002" i="4"/>
  <c r="G837" i="4"/>
  <c r="G720" i="4"/>
  <c r="G393" i="4"/>
  <c r="G298" i="4"/>
  <c r="G111" i="4"/>
  <c r="G1771" i="4"/>
  <c r="G1725" i="4"/>
  <c r="G1632" i="4"/>
  <c r="G1607" i="4"/>
  <c r="G1468" i="4"/>
  <c r="G1422" i="4"/>
  <c r="G1327" i="4"/>
  <c r="G1304" i="4"/>
  <c r="G1257" i="4"/>
  <c r="G1211" i="4"/>
  <c r="G1163" i="4"/>
  <c r="G1116" i="4"/>
  <c r="G1047" i="4"/>
  <c r="G1001" i="4"/>
  <c r="G975" i="4"/>
  <c r="G929" i="4"/>
  <c r="G860" i="4"/>
  <c r="G649" i="4"/>
  <c r="G626" i="4"/>
  <c r="G554" i="4"/>
  <c r="G462" i="4"/>
  <c r="G415" i="4"/>
  <c r="G369" i="4"/>
  <c r="G321" i="4"/>
  <c r="G274" i="4"/>
  <c r="G251" i="4"/>
  <c r="G205" i="4"/>
  <c r="G1281" i="4"/>
  <c r="G580" i="4"/>
  <c r="G1793" i="4"/>
  <c r="G1767" i="4"/>
  <c r="G1686" i="4"/>
  <c r="G1410" i="4"/>
  <c r="G1357" i="4"/>
  <c r="G1326" i="4"/>
  <c r="G1300" i="4"/>
  <c r="G1245" i="4"/>
  <c r="G1218" i="4"/>
  <c r="G1192" i="4"/>
  <c r="G1161" i="4"/>
  <c r="G995" i="4"/>
  <c r="G969" i="4"/>
  <c r="G916" i="4"/>
  <c r="G858" i="4"/>
  <c r="G751" i="4"/>
  <c r="G723" i="4"/>
  <c r="G693" i="4"/>
  <c r="G667" i="4"/>
  <c r="G586" i="4"/>
  <c r="G447" i="4"/>
  <c r="G336" i="4"/>
  <c r="G310" i="4"/>
  <c r="G284" i="4"/>
  <c r="G226" i="4"/>
  <c r="G200" i="4"/>
  <c r="G171" i="4"/>
  <c r="G146" i="4"/>
  <c r="G44" i="4"/>
  <c r="G21" i="4"/>
  <c r="G1765" i="4"/>
  <c r="G993" i="4"/>
  <c r="G19" i="4"/>
  <c r="G1764" i="4"/>
  <c r="G1653" i="4"/>
  <c r="G1544" i="4"/>
  <c r="G1488" i="4"/>
  <c r="G1460" i="4"/>
  <c r="G1433" i="4"/>
  <c r="G1349" i="4"/>
  <c r="G1268" i="4"/>
  <c r="G1184" i="4"/>
  <c r="G1157" i="4"/>
  <c r="G1131" i="4"/>
  <c r="G1076" i="4"/>
  <c r="G992" i="4"/>
  <c r="G940" i="4"/>
  <c r="G911" i="4"/>
  <c r="G801" i="4"/>
  <c r="G690" i="4"/>
  <c r="G635" i="4"/>
  <c r="G525" i="4"/>
  <c r="G444" i="4"/>
  <c r="G386" i="4"/>
  <c r="G333" i="4"/>
  <c r="G249" i="4"/>
  <c r="G223" i="4"/>
  <c r="G194" i="4"/>
  <c r="G65" i="4"/>
  <c r="G41" i="4"/>
  <c r="G18" i="4"/>
  <c r="G1708" i="4"/>
  <c r="G1682" i="4"/>
  <c r="G1624" i="4"/>
  <c r="G1597" i="4"/>
  <c r="G1571" i="4"/>
  <c r="G1513" i="4"/>
  <c r="G1487" i="4"/>
  <c r="G1075" i="4"/>
  <c r="G1046" i="4"/>
  <c r="G1017" i="4"/>
  <c r="G965" i="4"/>
  <c r="G938" i="4"/>
  <c r="G910" i="4"/>
  <c r="G854" i="4"/>
  <c r="G826" i="4"/>
  <c r="G800" i="4"/>
  <c r="G773" i="4"/>
  <c r="G747" i="4"/>
  <c r="G715" i="4"/>
  <c r="G689" i="4"/>
  <c r="G550" i="4"/>
  <c r="G497" i="4"/>
  <c r="G413" i="4"/>
  <c r="G306" i="4"/>
  <c r="G248" i="4"/>
  <c r="G222" i="4"/>
  <c r="G142" i="4"/>
  <c r="G64" i="4"/>
  <c r="G40" i="4"/>
  <c r="G17" i="4"/>
  <c r="G1707" i="4"/>
  <c r="G1677" i="4"/>
  <c r="G1649" i="4"/>
  <c r="G1596" i="4"/>
  <c r="G1570" i="4"/>
  <c r="G1512" i="4"/>
  <c r="G1457" i="4"/>
  <c r="G1431" i="4"/>
  <c r="G1405" i="4"/>
  <c r="G1266" i="4"/>
  <c r="G1155" i="4"/>
  <c r="G1074" i="4"/>
  <c r="G1045" i="4"/>
  <c r="G1016" i="4"/>
  <c r="G964" i="4"/>
  <c r="G909" i="4"/>
  <c r="G880" i="4"/>
  <c r="G853" i="4"/>
  <c r="G741" i="4"/>
  <c r="G660" i="4"/>
  <c r="G633" i="4"/>
  <c r="G607" i="4"/>
  <c r="G575" i="4"/>
  <c r="G549" i="4"/>
  <c r="G523" i="4"/>
  <c r="G331" i="4"/>
  <c r="G221" i="4"/>
  <c r="G192" i="4"/>
  <c r="G166" i="4"/>
  <c r="G115" i="4"/>
  <c r="G87" i="4"/>
  <c r="G63" i="4"/>
  <c r="G16" i="4"/>
  <c r="G1761" i="4"/>
  <c r="G1706" i="4"/>
  <c r="G1622" i="4"/>
  <c r="G1595" i="4"/>
  <c r="G1569" i="4"/>
  <c r="G1456" i="4"/>
  <c r="G1372" i="4"/>
  <c r="G1346" i="4"/>
  <c r="G1265" i="4"/>
  <c r="G1207" i="4"/>
  <c r="G1181" i="4"/>
  <c r="G1154" i="4"/>
  <c r="G1100" i="4"/>
  <c r="G936" i="4"/>
  <c r="G905" i="4"/>
  <c r="G878" i="4"/>
  <c r="G797" i="4"/>
  <c r="G771" i="4"/>
  <c r="G740" i="4"/>
  <c r="G713" i="4"/>
  <c r="G632" i="4"/>
  <c r="G606" i="4"/>
  <c r="G574" i="4"/>
  <c r="G548" i="4"/>
  <c r="G467" i="4"/>
  <c r="G246" i="4"/>
  <c r="G165" i="4"/>
  <c r="G140" i="4"/>
  <c r="G110" i="4"/>
  <c r="G86" i="4"/>
  <c r="G62" i="4"/>
  <c r="G38" i="4"/>
  <c r="G15" i="4"/>
  <c r="G1760" i="4"/>
  <c r="G1731" i="4"/>
  <c r="G1647" i="4"/>
  <c r="G1621" i="4"/>
  <c r="G1594" i="4"/>
  <c r="G1536" i="4"/>
  <c r="G1429" i="4"/>
  <c r="G1766" i="4"/>
  <c r="G1711" i="4"/>
  <c r="G1685" i="4"/>
  <c r="G1601" i="4"/>
  <c r="G1574" i="4"/>
  <c r="G1548" i="4"/>
  <c r="G1464" i="4"/>
  <c r="G1435" i="4"/>
  <c r="G1409" i="4"/>
  <c r="G1325" i="4"/>
  <c r="G1298" i="4"/>
  <c r="G1270" i="4"/>
  <c r="G1217" i="4"/>
  <c r="G1191" i="4"/>
  <c r="G1160" i="4"/>
  <c r="G1023" i="4"/>
  <c r="G968" i="4"/>
  <c r="G857" i="4"/>
  <c r="G776" i="4"/>
  <c r="G666" i="4"/>
  <c r="G637" i="4"/>
  <c r="G611" i="4"/>
  <c r="G527" i="4"/>
  <c r="G446" i="4"/>
  <c r="G420" i="4"/>
  <c r="G390" i="4"/>
  <c r="G335" i="4"/>
  <c r="G309" i="4"/>
  <c r="G254" i="4"/>
  <c r="G196" i="4"/>
  <c r="G170" i="4"/>
  <c r="G145" i="4"/>
  <c r="G120" i="4"/>
  <c r="G1738" i="4"/>
  <c r="G1547" i="4"/>
  <c r="G1518" i="4"/>
  <c r="G1489" i="4"/>
  <c r="G1434" i="4"/>
  <c r="G1408" i="4"/>
  <c r="G1382" i="4"/>
  <c r="G1353" i="4"/>
  <c r="G1297" i="4"/>
  <c r="G1243" i="4"/>
  <c r="G1216" i="4"/>
  <c r="G1077" i="4"/>
  <c r="G1051" i="4"/>
  <c r="G967" i="4"/>
  <c r="G912" i="4"/>
  <c r="G886" i="4"/>
  <c r="G775" i="4"/>
  <c r="G717" i="4"/>
  <c r="G691" i="4"/>
  <c r="G665" i="4"/>
  <c r="G636" i="4"/>
  <c r="G610" i="4"/>
  <c r="G473" i="4"/>
  <c r="G308" i="4"/>
  <c r="G250" i="4"/>
  <c r="G224" i="4"/>
  <c r="G195" i="4"/>
  <c r="G169" i="4"/>
  <c r="G144" i="4"/>
  <c r="G92" i="4"/>
  <c r="G66" i="4"/>
  <c r="G42" i="4"/>
  <c r="G827" i="4"/>
  <c r="G143" i="4"/>
  <c r="G1543" i="4"/>
  <c r="G1214" i="4"/>
  <c r="G1696" i="4"/>
  <c r="G1646" i="4"/>
  <c r="G1606" i="4"/>
  <c r="G1557" i="4"/>
  <c r="G1509" i="4"/>
  <c r="G1370" i="4"/>
  <c r="G1201" i="4"/>
  <c r="G1162" i="4"/>
  <c r="G1115" i="4"/>
  <c r="G1069" i="4"/>
  <c r="G1033" i="4"/>
  <c r="G903" i="4"/>
  <c r="G735" i="4"/>
  <c r="G483" i="4"/>
  <c r="G436" i="4"/>
  <c r="G354" i="4"/>
  <c r="G315" i="4"/>
  <c r="G269" i="4"/>
  <c r="G233" i="4"/>
  <c r="G187" i="4"/>
  <c r="G105" i="4"/>
  <c r="G72" i="4"/>
  <c r="G1744" i="4"/>
  <c r="G1695" i="4"/>
  <c r="G1645" i="4"/>
  <c r="G1417" i="4"/>
  <c r="G1369" i="4"/>
  <c r="G1285" i="4"/>
  <c r="G1068" i="4"/>
  <c r="G987" i="4"/>
  <c r="G948" i="4"/>
  <c r="G902" i="4"/>
  <c r="G866" i="4"/>
  <c r="G567" i="4"/>
  <c r="G521" i="4"/>
  <c r="G400" i="4"/>
  <c r="G353" i="4"/>
  <c r="G314" i="4"/>
  <c r="G268" i="4"/>
  <c r="G232" i="4"/>
  <c r="G186" i="4"/>
  <c r="G148" i="4"/>
  <c r="G71" i="4"/>
  <c r="G1743" i="4"/>
  <c r="G1691" i="4"/>
  <c r="G1554" i="4"/>
  <c r="G1330" i="4"/>
  <c r="G1280" i="4"/>
  <c r="G1233" i="4"/>
  <c r="G1197" i="4"/>
  <c r="G1112" i="4"/>
  <c r="G1030" i="4"/>
  <c r="G946" i="4"/>
  <c r="G900" i="4"/>
  <c r="G817" i="4"/>
  <c r="G518" i="4"/>
  <c r="G433" i="4"/>
  <c r="G181" i="4"/>
  <c r="G138" i="4"/>
  <c r="G102" i="4"/>
  <c r="G1781" i="4"/>
  <c r="G685" i="4"/>
  <c r="G350" i="4"/>
  <c r="G1780" i="4"/>
  <c r="G1502" i="4"/>
  <c r="G1195" i="4"/>
  <c r="G730" i="4"/>
  <c r="G431" i="4"/>
  <c r="G1014" i="4"/>
  <c r="G729" i="4"/>
  <c r="G562" i="4"/>
  <c r="G515" i="4"/>
  <c r="G428" i="4"/>
  <c r="G343" i="4"/>
  <c r="G263" i="4"/>
  <c r="G57" i="4"/>
  <c r="G1275" i="4"/>
  <c r="G427" i="4"/>
  <c r="G130" i="4"/>
  <c r="G1674" i="4"/>
  <c r="G698" i="4"/>
  <c r="G694" i="4"/>
  <c r="G1782" i="4"/>
  <c r="G1367" i="4"/>
  <c r="G1066" i="4"/>
  <c r="G647" i="4"/>
  <c r="G351" i="4"/>
  <c r="G60" i="4"/>
  <c r="G1730" i="4"/>
  <c r="G1593" i="4"/>
  <c r="G1553" i="4"/>
  <c r="G1505" i="4"/>
  <c r="G1454" i="4"/>
  <c r="G1232" i="4"/>
  <c r="G816" i="4"/>
  <c r="G133" i="4"/>
  <c r="G1641" i="4"/>
  <c r="G1592" i="4"/>
  <c r="G1552" i="4"/>
  <c r="G1413" i="4"/>
  <c r="G1365" i="4"/>
  <c r="G1277" i="4"/>
  <c r="G1149" i="4"/>
  <c r="G812" i="4"/>
  <c r="G764" i="4"/>
  <c r="G684" i="4"/>
  <c r="G516" i="4"/>
  <c r="G477" i="4"/>
  <c r="G395" i="4"/>
  <c r="G132" i="4"/>
  <c r="G1778" i="4"/>
  <c r="G1148" i="4"/>
  <c r="G848" i="4"/>
  <c r="G595" i="4"/>
  <c r="G1687" i="4"/>
  <c r="G1500" i="4"/>
  <c r="G1411" i="4"/>
  <c r="G1227" i="4"/>
  <c r="G1193" i="4"/>
  <c r="G1147" i="4"/>
  <c r="G1098" i="4"/>
  <c r="G981" i="4"/>
  <c r="G932" i="4"/>
  <c r="G847" i="4"/>
  <c r="G762" i="4"/>
  <c r="G643" i="4"/>
  <c r="G98" i="4"/>
  <c r="G1783" i="4"/>
  <c r="G1694" i="4"/>
  <c r="G1604" i="4"/>
  <c r="G1507" i="4"/>
  <c r="G1467" i="4"/>
  <c r="G1416" i="4"/>
  <c r="G1368" i="4"/>
  <c r="G1331" i="4"/>
  <c r="G1152" i="4"/>
  <c r="G1113" i="4"/>
  <c r="G1067" i="4"/>
  <c r="G901" i="4"/>
  <c r="G780" i="4"/>
  <c r="G481" i="4"/>
  <c r="G398" i="4"/>
  <c r="G267" i="4"/>
  <c r="G1466" i="4"/>
  <c r="G227" i="4"/>
  <c r="G1690" i="4"/>
  <c r="G898" i="4"/>
  <c r="G770" i="4"/>
  <c r="G731" i="4"/>
  <c r="G646" i="4"/>
  <c r="G564" i="4"/>
  <c r="G478" i="4"/>
  <c r="G432" i="4"/>
  <c r="G180" i="4"/>
  <c r="G59" i="4"/>
  <c r="G1729" i="4"/>
  <c r="G1110" i="4"/>
  <c r="G349" i="4"/>
  <c r="G178" i="4"/>
  <c r="G1728" i="4"/>
  <c r="G1501" i="4"/>
  <c r="G1412" i="4"/>
  <c r="G1364" i="4"/>
  <c r="G1315" i="4"/>
  <c r="G1276" i="4"/>
  <c r="G1194" i="4"/>
  <c r="G1109" i="4"/>
  <c r="G933" i="4"/>
  <c r="G896" i="4"/>
  <c r="G476" i="4"/>
  <c r="G131" i="4"/>
  <c r="G1724" i="4"/>
  <c r="G1312" i="4"/>
  <c r="G1060" i="4"/>
  <c r="G895" i="4"/>
  <c r="G680" i="4"/>
  <c r="G466" i="4"/>
  <c r="G1589" i="4"/>
  <c r="G1698" i="4"/>
  <c r="G1615" i="4"/>
  <c r="G1530" i="4"/>
  <c r="G1169" i="4"/>
  <c r="G1088" i="4"/>
  <c r="G951" i="4"/>
  <c r="G805" i="4"/>
  <c r="G737" i="4"/>
  <c r="G669" i="4"/>
  <c r="G591" i="4"/>
  <c r="G536" i="4"/>
  <c r="G455" i="4"/>
  <c r="G377" i="4"/>
  <c r="G317" i="4"/>
  <c r="G242" i="4"/>
  <c r="G164" i="4"/>
  <c r="G1670" i="4"/>
  <c r="G794" i="4"/>
  <c r="G656" i="4"/>
  <c r="G507" i="4"/>
  <c r="G236" i="4"/>
  <c r="G85" i="4"/>
  <c r="G1757" i="4"/>
  <c r="G1583" i="4"/>
  <c r="G1438" i="4"/>
  <c r="G1288" i="4"/>
  <c r="G1138" i="4"/>
  <c r="G1006" i="4"/>
  <c r="G869" i="4"/>
  <c r="G449" i="4"/>
  <c r="G292" i="4"/>
  <c r="G84" i="4"/>
  <c r="G1582" i="4"/>
  <c r="G868" i="4"/>
  <c r="G448" i="4"/>
  <c r="G291" i="4"/>
  <c r="G154" i="4"/>
  <c r="G32" i="4"/>
  <c r="G1667" i="4"/>
  <c r="G1522" i="4"/>
  <c r="G1205" i="4"/>
  <c r="G1058" i="4"/>
  <c r="G1004" i="4"/>
  <c r="G846" i="4"/>
  <c r="G710" i="4"/>
  <c r="G642" i="4"/>
  <c r="G572" i="4"/>
  <c r="G504" i="4"/>
  <c r="G290" i="4"/>
  <c r="G153" i="4"/>
  <c r="G1580" i="4"/>
  <c r="G1135" i="4"/>
  <c r="G923" i="4"/>
  <c r="G785" i="4"/>
  <c r="G365" i="4"/>
  <c r="G81" i="4"/>
  <c r="G1769" i="4"/>
  <c r="G1697" i="4"/>
  <c r="G1614" i="4"/>
  <c r="G1529" i="4"/>
  <c r="G1444" i="4"/>
  <c r="G1385" i="4"/>
  <c r="G1168" i="4"/>
  <c r="G1087" i="4"/>
  <c r="G1009" i="4"/>
  <c r="G736" i="4"/>
  <c r="G668" i="4"/>
  <c r="G376" i="4"/>
  <c r="G238" i="4"/>
  <c r="G163" i="4"/>
  <c r="G106" i="4"/>
  <c r="G37" i="4"/>
  <c r="G1673" i="4"/>
  <c r="G1290" i="4"/>
  <c r="G1086" i="4"/>
  <c r="G873" i="4"/>
  <c r="G589" i="4"/>
  <c r="G237" i="4"/>
  <c r="G162" i="4"/>
  <c r="G1612" i="4"/>
  <c r="G1527" i="4"/>
  <c r="G1361" i="4"/>
  <c r="G1221" i="4"/>
  <c r="G1085" i="4"/>
  <c r="G726" i="4"/>
  <c r="G452" i="4"/>
  <c r="G293" i="4"/>
  <c r="G158" i="4"/>
  <c r="G35" i="4"/>
  <c r="G1669" i="4"/>
  <c r="G926" i="4"/>
  <c r="G655" i="4"/>
  <c r="G506" i="4"/>
  <c r="G235" i="4"/>
  <c r="G157" i="4"/>
  <c r="G33" i="4"/>
  <c r="G1754" i="4"/>
  <c r="G1523" i="4"/>
  <c r="G1358" i="4"/>
  <c r="G1206" i="4"/>
  <c r="G1081" i="4"/>
  <c r="G654" i="4"/>
  <c r="G83" i="4"/>
  <c r="G1753" i="4"/>
  <c r="G786" i="4"/>
  <c r="G212" i="4"/>
  <c r="G1666" i="4"/>
  <c r="G1204" i="4"/>
  <c r="G1057" i="4"/>
  <c r="G1000" i="4"/>
  <c r="G845" i="4"/>
  <c r="G709" i="4"/>
  <c r="G571" i="4"/>
  <c r="G503" i="4"/>
  <c r="G425" i="4"/>
  <c r="G289" i="4"/>
  <c r="G211" i="4"/>
  <c r="G152" i="4"/>
  <c r="G1496" i="4"/>
  <c r="G1203" i="4"/>
  <c r="G1127" i="4"/>
  <c r="G996" i="4"/>
  <c r="G922" i="4"/>
  <c r="G844" i="4"/>
  <c r="G784" i="4"/>
  <c r="G708" i="4"/>
  <c r="G570" i="4"/>
  <c r="G494" i="4"/>
  <c r="G424" i="4"/>
  <c r="G364" i="4"/>
  <c r="G288" i="4"/>
  <c r="G210" i="4"/>
  <c r="G151" i="4"/>
  <c r="G11" i="4"/>
  <c r="G1747" i="4"/>
  <c r="G1262" i="4"/>
  <c r="G1055" i="4"/>
  <c r="G991" i="4"/>
  <c r="G921" i="4"/>
  <c r="G843" i="4"/>
  <c r="G783" i="4"/>
  <c r="G707" i="4"/>
  <c r="G629" i="4"/>
  <c r="G491" i="4"/>
  <c r="G423" i="4"/>
  <c r="G355" i="4"/>
  <c r="G209" i="4"/>
  <c r="G150" i="4"/>
  <c r="G79" i="4"/>
  <c r="G1576" i="4"/>
  <c r="G1481" i="4"/>
  <c r="G1402" i="4"/>
  <c r="G1123" i="4"/>
  <c r="G974" i="4"/>
  <c r="G842" i="4"/>
  <c r="G761" i="4"/>
  <c r="G706" i="4"/>
  <c r="G625" i="4"/>
  <c r="G490" i="4"/>
  <c r="G422" i="4"/>
  <c r="G208" i="4"/>
  <c r="G1662" i="4"/>
  <c r="G841" i="4"/>
  <c r="G8" i="4"/>
  <c r="G1661" i="4"/>
  <c r="G1564" i="4"/>
  <c r="G1394" i="4"/>
  <c r="G1337" i="4"/>
  <c r="G1255" i="4"/>
  <c r="G1443" i="4"/>
  <c r="G1222" i="4"/>
  <c r="G1144" i="4"/>
  <c r="G1008" i="4"/>
  <c r="G928" i="4"/>
  <c r="G727" i="4"/>
  <c r="G453" i="4"/>
  <c r="G36" i="4"/>
  <c r="G569" i="4"/>
  <c r="G1663" i="4"/>
  <c r="G920" i="4"/>
  <c r="G341" i="4"/>
  <c r="G286" i="4"/>
  <c r="G129" i="4"/>
  <c r="G78" i="4"/>
  <c r="G9" i="4"/>
  <c r="G1722" i="4"/>
  <c r="G1395" i="4"/>
  <c r="G1256" i="4"/>
  <c r="G1178" i="4"/>
  <c r="G1122" i="4"/>
  <c r="G1043" i="4"/>
  <c r="G760" i="4"/>
  <c r="G705" i="4"/>
  <c r="G624" i="4"/>
  <c r="G410" i="4"/>
  <c r="G340" i="4"/>
  <c r="G204" i="4"/>
  <c r="G128" i="4"/>
  <c r="G77" i="4"/>
  <c r="G1721" i="4"/>
  <c r="G702" i="4"/>
  <c r="G1700" i="4"/>
  <c r="G378" i="4"/>
  <c r="G49" i="4"/>
  <c r="G894" i="4"/>
  <c r="G402" i="4"/>
  <c r="G904" i="4"/>
  <c r="G1091" i="4"/>
  <c r="G51" i="4"/>
  <c r="G403" i="4"/>
  <c r="G52" i="4"/>
  <c r="G404" i="4"/>
  <c r="G592" i="4"/>
  <c r="G55" i="4"/>
  <c r="G244" i="4"/>
  <c r="G405" i="4"/>
  <c r="G593" i="4"/>
  <c r="G756" i="4"/>
  <c r="G958" i="4"/>
  <c r="G1097" i="4"/>
  <c r="C12" i="6"/>
  <c r="G11" i="6"/>
  <c r="G10" i="6"/>
  <c r="C13" i="6"/>
  <c r="C11" i="6"/>
  <c r="C10" i="6"/>
  <c r="N499" i="6"/>
  <c r="N500" i="6"/>
  <c r="N501" i="6"/>
  <c r="H498" i="6"/>
  <c r="H499" i="6"/>
  <c r="H500" i="6"/>
  <c r="H501" i="6"/>
  <c r="F498" i="6"/>
  <c r="G498" i="6"/>
  <c r="F499" i="6"/>
  <c r="G499" i="6"/>
  <c r="F500" i="6"/>
  <c r="G500" i="6"/>
  <c r="F501" i="6"/>
  <c r="G501" i="6"/>
  <c r="H33" i="6"/>
  <c r="H34" i="6"/>
  <c r="H37" i="6"/>
  <c r="H39" i="6"/>
  <c r="H38" i="6"/>
  <c r="H25" i="6"/>
  <c r="H29" i="6"/>
  <c r="H36" i="6"/>
  <c r="H35" i="6"/>
  <c r="H28" i="6"/>
  <c r="H26" i="6"/>
  <c r="H27" i="6"/>
  <c r="H32" i="6"/>
  <c r="H24" i="6"/>
  <c r="H30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31" i="6"/>
  <c r="N33" i="6"/>
  <c r="N34" i="6"/>
  <c r="N37" i="6"/>
  <c r="N39" i="6"/>
  <c r="N38" i="6"/>
  <c r="N25" i="6"/>
  <c r="N29" i="6"/>
  <c r="N36" i="6"/>
  <c r="N35" i="6"/>
  <c r="N28" i="6"/>
  <c r="N26" i="6"/>
  <c r="N27" i="6"/>
  <c r="N32" i="6"/>
  <c r="N24" i="6"/>
  <c r="N30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73" i="6"/>
  <c r="N74" i="6"/>
  <c r="N75" i="6"/>
  <c r="N76" i="6"/>
  <c r="N77" i="6"/>
  <c r="N78" i="6"/>
  <c r="N79" i="6"/>
  <c r="N80" i="6"/>
  <c r="N81" i="6"/>
  <c r="N82" i="6"/>
  <c r="N83" i="6"/>
  <c r="N84" i="6"/>
  <c r="N85" i="6"/>
  <c r="N86" i="6"/>
  <c r="N87" i="6"/>
  <c r="N88" i="6"/>
  <c r="N89" i="6"/>
  <c r="N90" i="6"/>
  <c r="N91" i="6"/>
  <c r="N92" i="6"/>
  <c r="N93" i="6"/>
  <c r="N94" i="6"/>
  <c r="N95" i="6"/>
  <c r="N96" i="6"/>
  <c r="N97" i="6"/>
  <c r="N98" i="6"/>
  <c r="N99" i="6"/>
  <c r="N100" i="6"/>
  <c r="N101" i="6"/>
  <c r="N102" i="6"/>
  <c r="N103" i="6"/>
  <c r="N104" i="6"/>
  <c r="N105" i="6"/>
  <c r="N106" i="6"/>
  <c r="N107" i="6"/>
  <c r="N108" i="6"/>
  <c r="N109" i="6"/>
  <c r="N110" i="6"/>
  <c r="N111" i="6"/>
  <c r="N112" i="6"/>
  <c r="N113" i="6"/>
  <c r="N114" i="6"/>
  <c r="N115" i="6"/>
  <c r="N116" i="6"/>
  <c r="N117" i="6"/>
  <c r="N118" i="6"/>
  <c r="N119" i="6"/>
  <c r="N120" i="6"/>
  <c r="N121" i="6"/>
  <c r="N122" i="6"/>
  <c r="N123" i="6"/>
  <c r="N124" i="6"/>
  <c r="N125" i="6"/>
  <c r="N126" i="6"/>
  <c r="N127" i="6"/>
  <c r="N128" i="6"/>
  <c r="N129" i="6"/>
  <c r="N130" i="6"/>
  <c r="N131" i="6"/>
  <c r="N132" i="6"/>
  <c r="N133" i="6"/>
  <c r="N134" i="6"/>
  <c r="N135" i="6"/>
  <c r="N136" i="6"/>
  <c r="N137" i="6"/>
  <c r="N138" i="6"/>
  <c r="N139" i="6"/>
  <c r="N140" i="6"/>
  <c r="N141" i="6"/>
  <c r="N142" i="6"/>
  <c r="N143" i="6"/>
  <c r="N144" i="6"/>
  <c r="N145" i="6"/>
  <c r="N146" i="6"/>
  <c r="N147" i="6"/>
  <c r="N148" i="6"/>
  <c r="N149" i="6"/>
  <c r="N150" i="6"/>
  <c r="N151" i="6"/>
  <c r="N152" i="6"/>
  <c r="N153" i="6"/>
  <c r="N154" i="6"/>
  <c r="N155" i="6"/>
  <c r="N156" i="6"/>
  <c r="N157" i="6"/>
  <c r="N158" i="6"/>
  <c r="N159" i="6"/>
  <c r="N160" i="6"/>
  <c r="N161" i="6"/>
  <c r="N162" i="6"/>
  <c r="N163" i="6"/>
  <c r="N164" i="6"/>
  <c r="N165" i="6"/>
  <c r="N166" i="6"/>
  <c r="N167" i="6"/>
  <c r="N168" i="6"/>
  <c r="N169" i="6"/>
  <c r="N170" i="6"/>
  <c r="N171" i="6"/>
  <c r="N172" i="6"/>
  <c r="N173" i="6"/>
  <c r="N174" i="6"/>
  <c r="N175" i="6"/>
  <c r="N176" i="6"/>
  <c r="N177" i="6"/>
  <c r="N178" i="6"/>
  <c r="N179" i="6"/>
  <c r="N180" i="6"/>
  <c r="N181" i="6"/>
  <c r="N182" i="6"/>
  <c r="N183" i="6"/>
  <c r="N184" i="6"/>
  <c r="N185" i="6"/>
  <c r="N186" i="6"/>
  <c r="N187" i="6"/>
  <c r="N188" i="6"/>
  <c r="N189" i="6"/>
  <c r="N190" i="6"/>
  <c r="N191" i="6"/>
  <c r="N192" i="6"/>
  <c r="N193" i="6"/>
  <c r="N194" i="6"/>
  <c r="N195" i="6"/>
  <c r="N196" i="6"/>
  <c r="N197" i="6"/>
  <c r="N198" i="6"/>
  <c r="N199" i="6"/>
  <c r="N200" i="6"/>
  <c r="N201" i="6"/>
  <c r="N202" i="6"/>
  <c r="N203" i="6"/>
  <c r="N204" i="6"/>
  <c r="N205" i="6"/>
  <c r="N206" i="6"/>
  <c r="N207" i="6"/>
  <c r="N208" i="6"/>
  <c r="N209" i="6"/>
  <c r="N210" i="6"/>
  <c r="N211" i="6"/>
  <c r="N212" i="6"/>
  <c r="N213" i="6"/>
  <c r="N214" i="6"/>
  <c r="N215" i="6"/>
  <c r="N216" i="6"/>
  <c r="N217" i="6"/>
  <c r="N218" i="6"/>
  <c r="N219" i="6"/>
  <c r="N220" i="6"/>
  <c r="N221" i="6"/>
  <c r="N222" i="6"/>
  <c r="N223" i="6"/>
  <c r="N224" i="6"/>
  <c r="N225" i="6"/>
  <c r="N226" i="6"/>
  <c r="N227" i="6"/>
  <c r="N228" i="6"/>
  <c r="N229" i="6"/>
  <c r="N230" i="6"/>
  <c r="N231" i="6"/>
  <c r="N232" i="6"/>
  <c r="N233" i="6"/>
  <c r="N234" i="6"/>
  <c r="N235" i="6"/>
  <c r="N236" i="6"/>
  <c r="N237" i="6"/>
  <c r="N238" i="6"/>
  <c r="N239" i="6"/>
  <c r="N240" i="6"/>
  <c r="N241" i="6"/>
  <c r="N242" i="6"/>
  <c r="N243" i="6"/>
  <c r="N244" i="6"/>
  <c r="N245" i="6"/>
  <c r="N246" i="6"/>
  <c r="N247" i="6"/>
  <c r="N248" i="6"/>
  <c r="N249" i="6"/>
  <c r="N250" i="6"/>
  <c r="N251" i="6"/>
  <c r="N252" i="6"/>
  <c r="N253" i="6"/>
  <c r="N254" i="6"/>
  <c r="N255" i="6"/>
  <c r="N256" i="6"/>
  <c r="N257" i="6"/>
  <c r="N258" i="6"/>
  <c r="N259" i="6"/>
  <c r="N260" i="6"/>
  <c r="N261" i="6"/>
  <c r="N262" i="6"/>
  <c r="N263" i="6"/>
  <c r="N264" i="6"/>
  <c r="N265" i="6"/>
  <c r="N266" i="6"/>
  <c r="N267" i="6"/>
  <c r="N268" i="6"/>
  <c r="N269" i="6"/>
  <c r="N270" i="6"/>
  <c r="N271" i="6"/>
  <c r="N272" i="6"/>
  <c r="N273" i="6"/>
  <c r="N274" i="6"/>
  <c r="N275" i="6"/>
  <c r="N276" i="6"/>
  <c r="N277" i="6"/>
  <c r="N278" i="6"/>
  <c r="N279" i="6"/>
  <c r="N280" i="6"/>
  <c r="N281" i="6"/>
  <c r="N282" i="6"/>
  <c r="N283" i="6"/>
  <c r="N284" i="6"/>
  <c r="N285" i="6"/>
  <c r="N286" i="6"/>
  <c r="N287" i="6"/>
  <c r="N288" i="6"/>
  <c r="N289" i="6"/>
  <c r="N290" i="6"/>
  <c r="N291" i="6"/>
  <c r="N292" i="6"/>
  <c r="N293" i="6"/>
  <c r="N294" i="6"/>
  <c r="N295" i="6"/>
  <c r="N296" i="6"/>
  <c r="N297" i="6"/>
  <c r="N298" i="6"/>
  <c r="N299" i="6"/>
  <c r="N300" i="6"/>
  <c r="N301" i="6"/>
  <c r="N302" i="6"/>
  <c r="N303" i="6"/>
  <c r="N304" i="6"/>
  <c r="N305" i="6"/>
  <c r="N306" i="6"/>
  <c r="N307" i="6"/>
  <c r="N308" i="6"/>
  <c r="N309" i="6"/>
  <c r="N310" i="6"/>
  <c r="N311" i="6"/>
  <c r="N312" i="6"/>
  <c r="N313" i="6"/>
  <c r="N314" i="6"/>
  <c r="N315" i="6"/>
  <c r="N316" i="6"/>
  <c r="N317" i="6"/>
  <c r="N318" i="6"/>
  <c r="N319" i="6"/>
  <c r="N320" i="6"/>
  <c r="N321" i="6"/>
  <c r="N322" i="6"/>
  <c r="N323" i="6"/>
  <c r="N324" i="6"/>
  <c r="N325" i="6"/>
  <c r="N326" i="6"/>
  <c r="N327" i="6"/>
  <c r="N328" i="6"/>
  <c r="N329" i="6"/>
  <c r="N330" i="6"/>
  <c r="N331" i="6"/>
  <c r="N332" i="6"/>
  <c r="N333" i="6"/>
  <c r="N334" i="6"/>
  <c r="N335" i="6"/>
  <c r="N336" i="6"/>
  <c r="N337" i="6"/>
  <c r="N338" i="6"/>
  <c r="N339" i="6"/>
  <c r="N340" i="6"/>
  <c r="N341" i="6"/>
  <c r="N342" i="6"/>
  <c r="N343" i="6"/>
  <c r="N344" i="6"/>
  <c r="N345" i="6"/>
  <c r="N346" i="6"/>
  <c r="N347" i="6"/>
  <c r="N348" i="6"/>
  <c r="N349" i="6"/>
  <c r="N350" i="6"/>
  <c r="N351" i="6"/>
  <c r="N352" i="6"/>
  <c r="N353" i="6"/>
  <c r="N354" i="6"/>
  <c r="N355" i="6"/>
  <c r="N356" i="6"/>
  <c r="N357" i="6"/>
  <c r="N358" i="6"/>
  <c r="N359" i="6"/>
  <c r="N360" i="6"/>
  <c r="N361" i="6"/>
  <c r="N362" i="6"/>
  <c r="N363" i="6"/>
  <c r="N364" i="6"/>
  <c r="N365" i="6"/>
  <c r="N366" i="6"/>
  <c r="N367" i="6"/>
  <c r="N368" i="6"/>
  <c r="N369" i="6"/>
  <c r="N370" i="6"/>
  <c r="N371" i="6"/>
  <c r="N372" i="6"/>
  <c r="N373" i="6"/>
  <c r="N374" i="6"/>
  <c r="N375" i="6"/>
  <c r="N376" i="6"/>
  <c r="N377" i="6"/>
  <c r="N378" i="6"/>
  <c r="N379" i="6"/>
  <c r="N380" i="6"/>
  <c r="N381" i="6"/>
  <c r="N382" i="6"/>
  <c r="N383" i="6"/>
  <c r="N384" i="6"/>
  <c r="N385" i="6"/>
  <c r="N386" i="6"/>
  <c r="N387" i="6"/>
  <c r="N388" i="6"/>
  <c r="N389" i="6"/>
  <c r="N390" i="6"/>
  <c r="N391" i="6"/>
  <c r="N392" i="6"/>
  <c r="N393" i="6"/>
  <c r="N394" i="6"/>
  <c r="N395" i="6"/>
  <c r="N396" i="6"/>
  <c r="N397" i="6"/>
  <c r="N398" i="6"/>
  <c r="N399" i="6"/>
  <c r="N400" i="6"/>
  <c r="N401" i="6"/>
  <c r="N402" i="6"/>
  <c r="N403" i="6"/>
  <c r="N404" i="6"/>
  <c r="N405" i="6"/>
  <c r="N406" i="6"/>
  <c r="N407" i="6"/>
  <c r="N408" i="6"/>
  <c r="N409" i="6"/>
  <c r="N410" i="6"/>
  <c r="N411" i="6"/>
  <c r="N412" i="6"/>
  <c r="N413" i="6"/>
  <c r="N414" i="6"/>
  <c r="N415" i="6"/>
  <c r="N416" i="6"/>
  <c r="N417" i="6"/>
  <c r="N418" i="6"/>
  <c r="N419" i="6"/>
  <c r="N420" i="6"/>
  <c r="N421" i="6"/>
  <c r="N422" i="6"/>
  <c r="N423" i="6"/>
  <c r="N424" i="6"/>
  <c r="N425" i="6"/>
  <c r="N426" i="6"/>
  <c r="N427" i="6"/>
  <c r="N428" i="6"/>
  <c r="N429" i="6"/>
  <c r="N430" i="6"/>
  <c r="N431" i="6"/>
  <c r="N432" i="6"/>
  <c r="N433" i="6"/>
  <c r="N434" i="6"/>
  <c r="N435" i="6"/>
  <c r="N436" i="6"/>
  <c r="N437" i="6"/>
  <c r="N438" i="6"/>
  <c r="N439" i="6"/>
  <c r="N440" i="6"/>
  <c r="N441" i="6"/>
  <c r="N442" i="6"/>
  <c r="N443" i="6"/>
  <c r="N444" i="6"/>
  <c r="N445" i="6"/>
  <c r="N446" i="6"/>
  <c r="N447" i="6"/>
  <c r="N448" i="6"/>
  <c r="N449" i="6"/>
  <c r="N450" i="6"/>
  <c r="N451" i="6"/>
  <c r="N452" i="6"/>
  <c r="N453" i="6"/>
  <c r="N454" i="6"/>
  <c r="N455" i="6"/>
  <c r="N456" i="6"/>
  <c r="N457" i="6"/>
  <c r="N458" i="6"/>
  <c r="N459" i="6"/>
  <c r="N460" i="6"/>
  <c r="N461" i="6"/>
  <c r="N462" i="6"/>
  <c r="N463" i="6"/>
  <c r="N464" i="6"/>
  <c r="N465" i="6"/>
  <c r="N466" i="6"/>
  <c r="N467" i="6"/>
  <c r="N468" i="6"/>
  <c r="N469" i="6"/>
  <c r="N470" i="6"/>
  <c r="N471" i="6"/>
  <c r="N472" i="6"/>
  <c r="N473" i="6"/>
  <c r="N474" i="6"/>
  <c r="N475" i="6"/>
  <c r="N476" i="6"/>
  <c r="N477" i="6"/>
  <c r="N478" i="6"/>
  <c r="N479" i="6"/>
  <c r="N480" i="6"/>
  <c r="N481" i="6"/>
  <c r="N482" i="6"/>
  <c r="N483" i="6"/>
  <c r="N484" i="6"/>
  <c r="N485" i="6"/>
  <c r="N486" i="6"/>
  <c r="N487" i="6"/>
  <c r="N488" i="6"/>
  <c r="N489" i="6"/>
  <c r="N490" i="6"/>
  <c r="N491" i="6"/>
  <c r="N492" i="6"/>
  <c r="N493" i="6"/>
  <c r="N494" i="6"/>
  <c r="N495" i="6"/>
  <c r="N496" i="6"/>
  <c r="N497" i="6"/>
  <c r="N498" i="6"/>
  <c r="N31" i="6"/>
  <c r="G1379" i="4" l="1"/>
  <c r="G540" i="4"/>
  <c r="G126" i="4"/>
  <c r="G1399" i="4"/>
  <c r="G173" i="4"/>
  <c r="G458" i="4"/>
  <c r="G461" i="4"/>
  <c r="G704" i="4"/>
  <c r="G239" i="4"/>
  <c r="G1419" i="4"/>
  <c r="G338" i="4"/>
  <c r="G1617" i="4"/>
  <c r="G1020" i="4"/>
  <c r="G279" i="4"/>
  <c r="G1519" i="4"/>
  <c r="G1665" i="4"/>
  <c r="G876" i="4"/>
  <c r="G1316" i="4"/>
  <c r="G352" i="4"/>
  <c r="G216" i="4"/>
  <c r="G1237" i="4"/>
  <c r="G1471" i="4"/>
  <c r="G1333" i="4"/>
  <c r="G334" i="4"/>
  <c r="G1463" i="4"/>
  <c r="G803" i="4"/>
  <c r="G1455" i="4"/>
  <c r="G658" i="4"/>
  <c r="G1732" i="4"/>
  <c r="G937" i="4"/>
  <c r="G193" i="4"/>
  <c r="G1295" i="4"/>
  <c r="G774" i="4"/>
  <c r="G20" i="4"/>
  <c r="G1134" i="4"/>
  <c r="G438" i="4"/>
  <c r="G1702" i="4"/>
  <c r="G1794" i="4"/>
  <c r="G1515" i="4"/>
  <c r="G1003" i="4"/>
  <c r="G345" i="4"/>
  <c r="G1524" i="4"/>
  <c r="G1083" i="4"/>
  <c r="G459" i="4"/>
  <c r="G1639" i="4"/>
  <c r="G188" i="4"/>
  <c r="G1173" i="4"/>
  <c r="G380" i="4"/>
  <c r="G1338" i="4"/>
  <c r="G1362" i="4"/>
  <c r="G1054" i="4"/>
  <c r="G1126" i="4"/>
  <c r="G1263" i="4"/>
  <c r="G234" i="4"/>
  <c r="G588" i="4"/>
  <c r="G316" i="4"/>
  <c r="G1497" i="4"/>
  <c r="G711" i="4"/>
  <c r="G1442" i="4"/>
  <c r="G1770" i="4"/>
  <c r="G1452" i="4"/>
  <c r="G1151" i="4"/>
  <c r="G1774" i="4"/>
  <c r="G26" i="4"/>
  <c r="G945" i="4"/>
  <c r="G295" i="4"/>
  <c r="G517" i="4"/>
  <c r="G1603" i="4"/>
  <c r="G1032" i="4"/>
  <c r="G653" i="4"/>
  <c r="G470" i="4"/>
  <c r="G749" i="4"/>
  <c r="G1600" i="4"/>
  <c r="G831" i="4"/>
  <c r="G1740" i="4"/>
  <c r="G383" i="4"/>
  <c r="G1238" i="4"/>
  <c r="G305" i="4"/>
  <c r="G1210" i="4"/>
  <c r="G277" i="4"/>
  <c r="G1156" i="4"/>
  <c r="G498" i="4"/>
  <c r="G1517" i="4"/>
  <c r="G475" i="4"/>
  <c r="G1384" i="4"/>
  <c r="G813" i="4"/>
  <c r="G1748" i="4"/>
  <c r="G182" i="4"/>
  <c r="G861" i="4"/>
  <c r="G371" i="4"/>
  <c r="G1142" i="4"/>
  <c r="G93" i="4"/>
  <c r="G850" i="4"/>
  <c r="G1629" i="4"/>
  <c r="G556" i="4"/>
  <c r="G1188" i="4"/>
  <c r="G259" i="4"/>
  <c r="G979" i="4"/>
  <c r="G1659" i="4"/>
  <c r="G1037" i="4"/>
  <c r="G320" i="4"/>
  <c r="G677" i="4"/>
  <c r="G822" i="4"/>
  <c r="G1532" i="4"/>
  <c r="G1474" i="4"/>
  <c r="G1480" i="4"/>
  <c r="G1528" i="4"/>
  <c r="G1180" i="4"/>
  <c r="G1341" i="4"/>
  <c r="G1751" i="4"/>
  <c r="G789" i="4"/>
  <c r="G870" i="4"/>
  <c r="G454" i="4"/>
  <c r="G1752" i="4"/>
  <c r="G1005" i="4"/>
  <c r="G47" i="4"/>
  <c r="G1723" i="4"/>
  <c r="G1551" i="4"/>
  <c r="G1742" i="4"/>
  <c r="G260" i="4"/>
  <c r="G264" i="4"/>
  <c r="G1278" i="4"/>
  <c r="G594" i="4"/>
  <c r="G984" i="4"/>
  <c r="G947" i="4"/>
  <c r="G1114" i="4"/>
  <c r="G821" i="4"/>
  <c r="G966" i="4"/>
  <c r="G802" i="4"/>
  <c r="G1791" i="4"/>
  <c r="G887" i="4"/>
  <c r="G1318" i="4"/>
  <c r="G495" i="4"/>
  <c r="G1291" i="4"/>
  <c r="G384" i="4"/>
  <c r="G1294" i="4"/>
  <c r="G332" i="4"/>
  <c r="G1432" i="4"/>
  <c r="G551" i="4"/>
  <c r="G1572" i="4"/>
  <c r="G612" i="4"/>
  <c r="G1436" i="4"/>
  <c r="G883" i="4"/>
  <c r="G24" i="4"/>
  <c r="G1350" i="4"/>
  <c r="G907" i="4"/>
  <c r="G417" i="4"/>
  <c r="G1190" i="4"/>
  <c r="G261" i="4"/>
  <c r="G892" i="4"/>
  <c r="G1713" i="4"/>
  <c r="G598" i="4"/>
  <c r="G1293" i="4"/>
  <c r="G299" i="4"/>
  <c r="G1039" i="4"/>
  <c r="G1739" i="4"/>
  <c r="G1717" i="4"/>
  <c r="G961" i="4"/>
  <c r="G676" i="4"/>
  <c r="G125" i="4"/>
  <c r="G1308" i="4"/>
  <c r="G891" i="4"/>
  <c r="G1565" i="4"/>
  <c r="G1613" i="4"/>
  <c r="G1261" i="4"/>
  <c r="G1425" i="4"/>
  <c r="G12" i="4"/>
  <c r="G925" i="4"/>
  <c r="G927" i="4"/>
  <c r="G590" i="4"/>
  <c r="G82" i="4"/>
  <c r="G1437" i="4"/>
  <c r="G107" i="4"/>
  <c r="G213" i="4"/>
  <c r="G1591" i="4"/>
  <c r="G103" i="4"/>
  <c r="G342" i="4"/>
  <c r="G301" i="4"/>
  <c r="G1317" i="4"/>
  <c r="G810" i="4"/>
  <c r="G1196" i="4"/>
  <c r="G1031" i="4"/>
  <c r="G1200" i="4"/>
  <c r="G867" i="4"/>
  <c r="G1105" i="4"/>
  <c r="G828" i="4"/>
  <c r="G95" i="4"/>
  <c r="G915" i="4"/>
  <c r="G1403" i="4"/>
  <c r="G522" i="4"/>
  <c r="G1320" i="4"/>
  <c r="G442" i="4"/>
  <c r="G1321" i="4"/>
  <c r="G358" i="4"/>
  <c r="G1458" i="4"/>
  <c r="G609" i="4"/>
  <c r="G1625" i="4"/>
  <c r="G638" i="4"/>
  <c r="G1465" i="4"/>
  <c r="G906" i="4"/>
  <c r="G67" i="4"/>
  <c r="G1445" i="4"/>
  <c r="G953" i="4"/>
  <c r="G441" i="4"/>
  <c r="G1213" i="4"/>
  <c r="G282" i="4"/>
  <c r="G913" i="4"/>
  <c r="G1734" i="4"/>
  <c r="G620" i="4"/>
  <c r="G1314" i="4"/>
  <c r="G319" i="4"/>
  <c r="G1059" i="4"/>
  <c r="G1759" i="4"/>
  <c r="G1092" i="4"/>
  <c r="G621" i="4"/>
  <c r="G1011" i="4"/>
  <c r="G1120" i="4"/>
  <c r="G754" i="4"/>
  <c r="G258" i="4"/>
  <c r="G972" i="4"/>
  <c r="G758" i="4"/>
  <c r="G1175" i="4"/>
  <c r="G326" i="4"/>
  <c r="G1035" i="4"/>
  <c r="G366" i="4"/>
  <c r="G1145" i="4"/>
  <c r="G34" i="4"/>
  <c r="G725" i="4"/>
  <c r="G1483" i="4"/>
  <c r="G519" i="4"/>
  <c r="G1179" i="4"/>
  <c r="G1096" i="4"/>
  <c r="G1090" i="4"/>
  <c r="G615" i="4"/>
  <c r="G1631" i="4"/>
  <c r="G456" i="4"/>
  <c r="G1375" i="4"/>
  <c r="G450" i="4"/>
  <c r="G1166" i="4"/>
  <c r="G54" i="4"/>
  <c r="G767" i="4"/>
  <c r="G1567" i="4"/>
  <c r="G559" i="4"/>
  <c r="G1219" i="4"/>
  <c r="G957" i="4"/>
  <c r="G738" i="4"/>
  <c r="G1558" i="4"/>
  <c r="G1309" i="4"/>
  <c r="G122" i="4"/>
  <c r="G930" i="4"/>
  <c r="G275" i="4"/>
  <c r="G1469" i="4"/>
  <c r="G674" i="4"/>
  <c r="G1470" i="4"/>
  <c r="G471" i="4"/>
  <c r="G1229" i="4"/>
  <c r="G135" i="4"/>
  <c r="G788" i="4"/>
  <c r="G1588" i="4"/>
  <c r="G579" i="4"/>
  <c r="G1259" i="4"/>
  <c r="G755" i="4"/>
  <c r="G48" i="4"/>
  <c r="G834" i="4"/>
  <c r="G318" i="4"/>
  <c r="G1389" i="4"/>
  <c r="G697" i="4"/>
  <c r="G1493" i="4"/>
  <c r="G492" i="4"/>
  <c r="G1250" i="4"/>
  <c r="G156" i="4"/>
  <c r="G809" i="4"/>
  <c r="G1609" i="4"/>
  <c r="G599" i="4"/>
  <c r="G1319" i="4"/>
  <c r="G1254" i="4"/>
  <c r="G1473" i="4"/>
  <c r="G1172" i="4"/>
  <c r="G1620" i="4"/>
  <c r="G407" i="4"/>
  <c r="G721" i="4"/>
  <c r="G1516" i="4"/>
  <c r="G513" i="4"/>
  <c r="G1271" i="4"/>
  <c r="G177" i="4"/>
  <c r="G893" i="4"/>
  <c r="G1630" i="4"/>
  <c r="G659" i="4"/>
  <c r="G1339" i="4"/>
  <c r="G753" i="4"/>
  <c r="G890" i="4"/>
  <c r="G833" i="4"/>
  <c r="G960" i="4"/>
  <c r="G109" i="4"/>
  <c r="G565" i="4"/>
  <c r="G1555" i="4"/>
  <c r="G1451" i="4"/>
  <c r="G1231" i="4"/>
  <c r="G1642" i="4"/>
  <c r="G1775" i="4"/>
  <c r="G863" i="4"/>
  <c r="G1415" i="4"/>
  <c r="G734" i="4"/>
  <c r="G149" i="4"/>
  <c r="G1286" i="4"/>
  <c r="G118" i="4"/>
  <c r="G856" i="4"/>
  <c r="G1654" i="4"/>
  <c r="G750" i="4"/>
  <c r="G1490" i="4"/>
  <c r="G1786" i="4"/>
  <c r="G687" i="4"/>
  <c r="G1430" i="4"/>
  <c r="G412" i="4"/>
  <c r="G1182" i="4"/>
  <c r="G167" i="4"/>
  <c r="G881" i="4"/>
  <c r="G1736" i="4"/>
  <c r="G855" i="4"/>
  <c r="G1683" i="4"/>
  <c r="G560" i="4"/>
  <c r="G1273" i="4"/>
  <c r="G344" i="4"/>
  <c r="G1140" i="4"/>
  <c r="G229" i="4"/>
  <c r="G672" i="4"/>
  <c r="G696" i="4"/>
  <c r="G1656" i="4"/>
  <c r="G651" i="4"/>
  <c r="G1260" i="4"/>
  <c r="G113" i="4"/>
  <c r="G766" i="4"/>
  <c r="G1313" i="4"/>
  <c r="G74" i="4"/>
  <c r="G662" i="4"/>
  <c r="G1209" i="4"/>
  <c r="G139" i="4"/>
  <c r="G699" i="4"/>
  <c r="G1239" i="4"/>
  <c r="G1799" i="4"/>
  <c r="G678" i="4"/>
  <c r="G538" i="4"/>
  <c r="G127" i="4"/>
  <c r="G622" i="4"/>
  <c r="G1391" i="4"/>
  <c r="G733" i="4"/>
  <c r="G381" i="4"/>
  <c r="G58" i="4"/>
  <c r="G1689" i="4"/>
  <c r="G231" i="4"/>
  <c r="G811" i="4"/>
  <c r="G480" i="4"/>
  <c r="G30" i="4"/>
  <c r="G1153" i="4"/>
  <c r="G529" i="4"/>
  <c r="G1745" i="4"/>
  <c r="G361" i="4"/>
  <c r="G1269" i="4"/>
  <c r="G225" i="4"/>
  <c r="G994" i="4"/>
  <c r="G1792" i="4"/>
  <c r="G217" i="4"/>
  <c r="G1073" i="4"/>
  <c r="G1787" i="4"/>
  <c r="G714" i="4"/>
  <c r="G1486" i="4"/>
  <c r="G385" i="4"/>
  <c r="G1183" i="4"/>
  <c r="G360" i="4"/>
  <c r="G1215" i="4"/>
  <c r="G70" i="4"/>
  <c r="G777" i="4"/>
  <c r="G1521" i="4"/>
  <c r="G695" i="4"/>
  <c r="G1491" i="4"/>
  <c r="G1282" i="4"/>
  <c r="G136" i="4"/>
  <c r="G978" i="4"/>
  <c r="G253" i="4"/>
  <c r="G908" i="4"/>
  <c r="G1586" i="4"/>
  <c r="G387" i="4"/>
  <c r="G934" i="4"/>
  <c r="G1545" i="4"/>
  <c r="G304" i="4"/>
  <c r="G914" i="4"/>
  <c r="G1504" i="4"/>
  <c r="G339" i="4"/>
  <c r="G919" i="4"/>
  <c r="G1439" i="4"/>
  <c r="G202" i="4"/>
  <c r="G752" i="4"/>
  <c r="G1618" i="4"/>
  <c r="G457" i="4"/>
  <c r="G257" i="4"/>
  <c r="G406" i="4"/>
  <c r="G96" i="4"/>
  <c r="G804" i="4"/>
  <c r="G1575" i="4"/>
  <c r="G765" i="4"/>
  <c r="G1514" i="4"/>
  <c r="G1351" i="4"/>
  <c r="G183" i="4"/>
  <c r="G1048" i="4"/>
  <c r="G276" i="4"/>
  <c r="G931" i="4"/>
  <c r="G1611" i="4"/>
  <c r="G408" i="4"/>
  <c r="G955" i="4"/>
  <c r="G1566" i="4"/>
  <c r="G325" i="4"/>
  <c r="G977" i="4"/>
  <c r="G1525" i="4"/>
  <c r="G359" i="4"/>
  <c r="G939" i="4"/>
  <c r="G1479" i="4"/>
  <c r="G1089" i="4"/>
  <c r="G201" i="4"/>
  <c r="G617" i="4"/>
  <c r="G757" i="4"/>
  <c r="G1174" i="4"/>
  <c r="G1387" i="4"/>
  <c r="G865" i="4"/>
  <c r="G728" i="4"/>
  <c r="G215" i="4"/>
  <c r="G396" i="4"/>
  <c r="G520" i="4"/>
  <c r="G100" i="4"/>
  <c r="G732" i="4"/>
  <c r="G104" i="4"/>
  <c r="G1246" i="4"/>
  <c r="G700" i="4"/>
  <c r="G1406" i="4"/>
  <c r="G500" i="4"/>
  <c r="G1324" i="4"/>
  <c r="G281" i="4"/>
  <c r="G1107" i="4"/>
  <c r="G1345" i="4"/>
  <c r="G272" i="4"/>
  <c r="G1128" i="4"/>
  <c r="G39" i="4"/>
  <c r="G772" i="4"/>
  <c r="G1542" i="4"/>
  <c r="G469" i="4"/>
  <c r="G1380" i="4"/>
  <c r="G414" i="4"/>
  <c r="G1323" i="4"/>
  <c r="G121" i="4"/>
  <c r="G832" i="4"/>
  <c r="G1660" i="4"/>
  <c r="G790" i="4"/>
  <c r="G1584" i="4"/>
  <c r="G1446" i="4"/>
  <c r="G206" i="4"/>
  <c r="G1071" i="4"/>
  <c r="G300" i="4"/>
  <c r="G954" i="4"/>
  <c r="G1634" i="4"/>
  <c r="G429" i="4"/>
  <c r="G997" i="4"/>
  <c r="G1608" i="4"/>
  <c r="G388" i="4"/>
  <c r="G998" i="4"/>
  <c r="G1546" i="4"/>
  <c r="G379" i="4"/>
  <c r="G959" i="4"/>
  <c r="G1499" i="4"/>
  <c r="G1249" i="4"/>
  <c r="G1701" i="4"/>
  <c r="G270" i="4"/>
  <c r="G1034" i="4"/>
  <c r="G835" i="4"/>
  <c r="G76" i="4"/>
  <c r="G1716" i="4"/>
  <c r="G546" i="4"/>
  <c r="G547" i="4"/>
  <c r="G1478" i="4"/>
  <c r="G1340" i="4"/>
  <c r="G1202" i="4"/>
  <c r="G1056" i="4"/>
  <c r="G1427" i="4"/>
  <c r="G373" i="4"/>
  <c r="G97" i="4"/>
  <c r="G950" i="4"/>
  <c r="G13" i="4"/>
  <c r="G573" i="4"/>
  <c r="G374" i="4"/>
  <c r="G875" i="4"/>
  <c r="G296" i="4"/>
  <c r="G1453" i="4"/>
  <c r="G185" i="4"/>
  <c r="G1644" i="4"/>
  <c r="G1363" i="4"/>
  <c r="G563" i="4"/>
  <c r="G1029" i="4"/>
  <c r="G434" i="4"/>
  <c r="G681" i="4"/>
  <c r="G28" i="4"/>
  <c r="G1506" i="4"/>
  <c r="G482" i="4"/>
  <c r="G1605" i="4"/>
  <c r="G782" i="4"/>
  <c r="G1785" i="4"/>
  <c r="G280" i="4"/>
  <c r="G941" i="4"/>
  <c r="G1626" i="4"/>
  <c r="G585" i="4"/>
  <c r="G1244" i="4"/>
  <c r="G1371" i="4"/>
  <c r="G191" i="4"/>
  <c r="G824" i="4"/>
  <c r="G1485" i="4"/>
  <c r="G357" i="4"/>
  <c r="G990" i="4"/>
  <c r="G1623" i="4"/>
  <c r="G443" i="4"/>
  <c r="G1130" i="4"/>
  <c r="G168" i="4"/>
  <c r="G882" i="4"/>
  <c r="G1598" i="4"/>
  <c r="G255" i="4"/>
  <c r="G888" i="4"/>
  <c r="G1549" i="4"/>
  <c r="G603" i="4"/>
  <c r="G1234" i="4"/>
  <c r="G160" i="4"/>
  <c r="G1726" i="4"/>
  <c r="G347" i="4"/>
  <c r="G1117" i="4"/>
  <c r="G230" i="4"/>
  <c r="G769" i="4"/>
  <c r="G1306" i="4"/>
  <c r="G73" i="4"/>
  <c r="G576" i="4"/>
  <c r="G1103" i="4"/>
  <c r="G1587" i="4"/>
  <c r="G262" i="4"/>
  <c r="G746" i="4"/>
  <c r="G1230" i="4"/>
  <c r="G1735" i="4"/>
  <c r="G539" i="4"/>
  <c r="G999" i="4"/>
  <c r="G1459" i="4"/>
  <c r="G243" i="4"/>
  <c r="G1477" i="4"/>
  <c r="G1636" i="4"/>
  <c r="G245" i="4"/>
  <c r="G108" i="4"/>
  <c r="G256" i="4"/>
  <c r="G1012" i="4"/>
  <c r="G50" i="4"/>
  <c r="G918" i="4"/>
  <c r="G1664" i="4"/>
  <c r="G285" i="4"/>
  <c r="G1746" i="4"/>
  <c r="G1495" i="4"/>
  <c r="G1342" i="4"/>
  <c r="G1136" i="4"/>
  <c r="G1084" i="4"/>
  <c r="G657" i="4"/>
  <c r="G1223" i="4"/>
  <c r="G368" i="4"/>
  <c r="G1137" i="4"/>
  <c r="G1007" i="4"/>
  <c r="G1224" i="4"/>
  <c r="G982" i="4"/>
  <c r="G265" i="4"/>
  <c r="G566" i="4"/>
  <c r="G22" i="4"/>
  <c r="G1590" i="4"/>
  <c r="G1028" i="4"/>
  <c r="G1366" i="4"/>
  <c r="G1498" i="4"/>
  <c r="G1228" i="4"/>
  <c r="G266" i="4"/>
  <c r="G29" i="4"/>
  <c r="G781" i="4"/>
  <c r="G1784" i="4"/>
  <c r="G949" i="4"/>
  <c r="G1652" i="4"/>
  <c r="G389" i="4"/>
  <c r="G1106" i="4"/>
  <c r="G43" i="4"/>
  <c r="G692" i="4"/>
  <c r="G1354" i="4"/>
  <c r="G1484" i="4"/>
  <c r="G330" i="4"/>
  <c r="G1015" i="4"/>
  <c r="G1648" i="4"/>
  <c r="G468" i="4"/>
  <c r="G1101" i="4"/>
  <c r="G1733" i="4"/>
  <c r="G578" i="4"/>
  <c r="G1322" i="4"/>
  <c r="G278" i="4"/>
  <c r="G1021" i="4"/>
  <c r="G1709" i="4"/>
  <c r="G363" i="4"/>
  <c r="G1027" i="4"/>
  <c r="G1712" i="4"/>
  <c r="G718" i="4"/>
  <c r="G1373" i="4"/>
  <c r="G509" i="4"/>
  <c r="G297" i="4"/>
  <c r="G557" i="4"/>
  <c r="G1328" i="4"/>
  <c r="G323" i="4"/>
  <c r="G862" i="4"/>
  <c r="G1401" i="4"/>
  <c r="G176" i="4"/>
  <c r="G703" i="4"/>
  <c r="G1187" i="4"/>
  <c r="G1671" i="4"/>
  <c r="G346" i="4"/>
  <c r="G830" i="4"/>
  <c r="G1335" i="4"/>
  <c r="G159" i="4"/>
  <c r="G619" i="4"/>
  <c r="G1079" i="4"/>
  <c r="G1539" i="4"/>
  <c r="G543" i="4"/>
  <c r="G1476" i="4"/>
  <c r="G1310" i="4"/>
  <c r="G1534" i="4"/>
  <c r="G327" i="4"/>
  <c r="G172" i="4"/>
  <c r="G1336" i="4"/>
  <c r="G1720" i="4"/>
  <c r="G1253" i="4"/>
  <c r="G973" i="4"/>
  <c r="G630" i="4"/>
  <c r="G489" i="4"/>
  <c r="G10" i="4"/>
  <c r="G1577" i="4"/>
  <c r="G1426" i="4"/>
  <c r="G1344" i="4"/>
  <c r="G1220" i="4"/>
  <c r="G795" i="4"/>
  <c r="G1301" i="4"/>
  <c r="G426" i="4"/>
  <c r="G1287" i="4"/>
  <c r="G1289" i="4"/>
  <c r="G1448" i="4"/>
  <c r="G1063" i="4"/>
  <c r="G311" i="4"/>
  <c r="G648" i="4"/>
  <c r="G56" i="4"/>
  <c r="G1638" i="4"/>
  <c r="G1064" i="4"/>
  <c r="G1414" i="4"/>
  <c r="G1637" i="4"/>
  <c r="G1688" i="4"/>
  <c r="G312" i="4"/>
  <c r="G313" i="4"/>
  <c r="G820" i="4"/>
  <c r="G31" i="4"/>
  <c r="G988" i="4"/>
  <c r="G1763" i="4"/>
  <c r="G445" i="4"/>
  <c r="G1185" i="4"/>
  <c r="G69" i="4"/>
  <c r="G722" i="4"/>
  <c r="G1383" i="4"/>
  <c r="G1510" i="4"/>
  <c r="G356" i="4"/>
  <c r="G1044" i="4"/>
  <c r="G1676" i="4"/>
  <c r="G496" i="4"/>
  <c r="G1129" i="4"/>
  <c r="G1762" i="4"/>
  <c r="G608" i="4"/>
  <c r="G1348" i="4"/>
  <c r="G307" i="4"/>
  <c r="G1050" i="4"/>
  <c r="G1737" i="4"/>
  <c r="G421" i="4"/>
  <c r="G1108" i="4"/>
  <c r="G1741" i="4"/>
  <c r="G742" i="4"/>
  <c r="G1396" i="4"/>
  <c r="G627" i="4"/>
  <c r="G508" i="4"/>
  <c r="G581" i="4"/>
  <c r="G1374" i="4"/>
  <c r="G348" i="4"/>
  <c r="G885" i="4"/>
  <c r="G1424" i="4"/>
  <c r="G197" i="4"/>
  <c r="G724" i="4"/>
  <c r="G1208" i="4"/>
  <c r="G1692" i="4"/>
  <c r="G367" i="4"/>
  <c r="G872" i="4"/>
  <c r="G1398" i="4"/>
  <c r="G179" i="4"/>
  <c r="G639" i="4"/>
  <c r="G1099" i="4"/>
  <c r="G1559" i="4"/>
  <c r="G1252" i="4"/>
  <c r="G544" i="4"/>
  <c r="G970" i="4"/>
  <c r="G823" i="4"/>
  <c r="G1311" i="4"/>
  <c r="G1171" i="4"/>
  <c r="G1718" i="4"/>
  <c r="G971" i="4"/>
  <c r="G807" i="4"/>
  <c r="G1177" i="4"/>
  <c r="G1390" i="4"/>
  <c r="G537" i="4"/>
  <c r="G877" i="4"/>
  <c r="G203" i="4"/>
  <c r="G190" i="4"/>
  <c r="G1699" i="4"/>
  <c r="G1299" i="4"/>
  <c r="G899" i="4"/>
  <c r="G499" i="4"/>
  <c r="G1798" i="4"/>
  <c r="G1377" i="4"/>
  <c r="G956" i="4"/>
  <c r="G535" i="4"/>
  <c r="G114" i="4"/>
  <c r="G1503" i="4"/>
  <c r="G1082" i="4"/>
  <c r="G661" i="4"/>
  <c r="G240" i="4"/>
  <c r="G1563" i="4"/>
  <c r="G1095" i="4"/>
  <c r="G628" i="4"/>
  <c r="G161" i="4"/>
  <c r="G1189" i="4"/>
  <c r="G532" i="4"/>
  <c r="G1024" i="4"/>
  <c r="G1164" i="4"/>
  <c r="G1678" i="4"/>
  <c r="G1093" i="4"/>
  <c r="G531" i="4"/>
  <c r="G1628" i="4"/>
  <c r="G1080" i="4"/>
  <c r="G528" i="4"/>
  <c r="G1133" i="4"/>
  <c r="G1407" i="4"/>
  <c r="G748" i="4"/>
  <c r="G117" i="4"/>
  <c r="G1267" i="4"/>
  <c r="G663" i="4"/>
  <c r="G116" i="4"/>
  <c r="G1378" i="4"/>
  <c r="G825" i="4"/>
  <c r="G273" i="4"/>
  <c r="G1541" i="4"/>
  <c r="G989" i="4"/>
  <c r="G437" i="4"/>
  <c r="G1705" i="4"/>
  <c r="G1658" i="4"/>
  <c r="G1078" i="4"/>
  <c r="G501" i="4"/>
  <c r="G1710" i="4"/>
  <c r="G1158" i="4"/>
  <c r="G584" i="4"/>
  <c r="G1790" i="4"/>
  <c r="G1472" i="4"/>
  <c r="G614" i="4"/>
  <c r="G1556" i="4"/>
  <c r="G652" i="4"/>
  <c r="G818" i="4"/>
  <c r="G686" i="4"/>
  <c r="G101" i="4"/>
  <c r="G214" i="4"/>
  <c r="G147" i="4"/>
  <c r="G1150" i="4"/>
  <c r="G983" i="4"/>
  <c r="G382" i="4"/>
  <c r="G561" i="4"/>
  <c r="G1284" i="4"/>
  <c r="G985" i="4"/>
  <c r="G849" i="4"/>
  <c r="G763" i="4"/>
  <c r="G1386" i="4"/>
  <c r="G1768" i="4"/>
  <c r="G712" i="4"/>
  <c r="G1428" i="4"/>
  <c r="G1343" i="4"/>
  <c r="G874" i="4"/>
  <c r="G375" i="4"/>
  <c r="G1526" i="4"/>
  <c r="G505" i="4"/>
  <c r="G75" i="4"/>
  <c r="G1121" i="4"/>
  <c r="G271" i="4"/>
  <c r="G123" i="4"/>
  <c r="G1560" i="4"/>
  <c r="G1226" i="4"/>
  <c r="G545" i="4"/>
  <c r="G542" i="4"/>
  <c r="G1679" i="4"/>
  <c r="G1279" i="4"/>
  <c r="G879" i="4"/>
  <c r="G479" i="4"/>
  <c r="G1777" i="4"/>
  <c r="G1356" i="4"/>
  <c r="G935" i="4"/>
  <c r="G514" i="4"/>
  <c r="G94" i="4"/>
  <c r="G1482" i="4"/>
  <c r="G1061" i="4"/>
  <c r="G640" i="4"/>
  <c r="G218" i="4"/>
  <c r="G1540" i="4"/>
  <c r="G1072" i="4"/>
  <c r="G605" i="4"/>
  <c r="G137" i="4"/>
  <c r="G1141" i="4"/>
  <c r="G486" i="4"/>
  <c r="G836" i="4"/>
  <c r="G1094" i="4"/>
  <c r="G1655" i="4"/>
  <c r="G1070" i="4"/>
  <c r="G485" i="4"/>
  <c r="G1602" i="4"/>
  <c r="G1053" i="4"/>
  <c r="G502" i="4"/>
  <c r="G553" i="4"/>
  <c r="G1381" i="4"/>
  <c r="G716" i="4"/>
  <c r="G91" i="4"/>
  <c r="G1241" i="4"/>
  <c r="G634" i="4"/>
  <c r="G88" i="4"/>
  <c r="G1347" i="4"/>
  <c r="G798" i="4"/>
  <c r="G247" i="4"/>
  <c r="G1511" i="4"/>
  <c r="G963" i="4"/>
  <c r="G411" i="4"/>
  <c r="G1675" i="4"/>
  <c r="G1627" i="4"/>
  <c r="G1052" i="4"/>
  <c r="G474" i="4"/>
  <c r="G1684" i="4"/>
  <c r="G1132" i="4"/>
  <c r="G552" i="4"/>
  <c r="G1296" i="4"/>
  <c r="G1421" i="4"/>
  <c r="G568" i="4"/>
  <c r="G1508" i="4"/>
  <c r="G613" i="4"/>
  <c r="G602" i="4"/>
  <c r="G601" i="4"/>
  <c r="G27" i="4"/>
  <c r="G99" i="4"/>
  <c r="G61" i="4"/>
  <c r="G1065" i="4"/>
  <c r="G897" i="4"/>
  <c r="G175" i="4"/>
  <c r="G512" i="4"/>
  <c r="G1198" i="4"/>
  <c r="G778" i="4"/>
  <c r="G645" i="4"/>
  <c r="G644" i="4"/>
  <c r="G1302" i="4"/>
  <c r="G511" i="4"/>
  <c r="G587" i="4"/>
  <c r="G1274" i="4"/>
  <c r="G1264" i="4"/>
  <c r="G796" i="4"/>
  <c r="G294" i="4"/>
  <c r="G1360" i="4"/>
  <c r="G372" i="4"/>
  <c r="G675" i="4"/>
  <c r="G465" i="4"/>
  <c r="G962" i="4"/>
  <c r="G806" i="4"/>
  <c r="G616" i="4"/>
  <c r="G889" i="4"/>
  <c r="G1303" i="4"/>
  <c r="G1715" i="4"/>
  <c r="G1599" i="4"/>
  <c r="G1199" i="4"/>
  <c r="G799" i="4"/>
  <c r="G399" i="4"/>
  <c r="G1693" i="4"/>
  <c r="G1272" i="4"/>
  <c r="G851" i="4"/>
  <c r="G430" i="4"/>
  <c r="G14" i="4"/>
  <c r="G1397" i="4"/>
  <c r="G976" i="4"/>
  <c r="G555" i="4"/>
  <c r="G134" i="4"/>
  <c r="G1447" i="4"/>
  <c r="G980" i="4"/>
  <c r="G510" i="4"/>
  <c r="G46" i="4"/>
  <c r="G1025" i="4"/>
  <c r="G370" i="4"/>
  <c r="G228" i="4"/>
  <c r="G768" i="4"/>
  <c r="G1537" i="4"/>
  <c r="G952" i="4"/>
  <c r="G392" i="4"/>
  <c r="G1494" i="4"/>
  <c r="G943" i="4"/>
  <c r="G391" i="4"/>
  <c r="G526" i="4"/>
  <c r="G1242" i="4"/>
  <c r="G583" i="4"/>
  <c r="G1789" i="4"/>
  <c r="G1102" i="4"/>
  <c r="G524" i="4"/>
  <c r="G1788" i="4"/>
  <c r="G1240" i="4"/>
  <c r="G688" i="4"/>
  <c r="G141" i="4"/>
  <c r="G1404" i="4"/>
  <c r="G852" i="4"/>
  <c r="G302" i="4"/>
  <c r="G1568" i="4"/>
  <c r="G1520" i="4"/>
  <c r="G942" i="4"/>
  <c r="G362" i="4"/>
  <c r="G1573" i="4"/>
  <c r="G1022" i="4"/>
  <c r="G418" i="4"/>
  <c r="G664" i="4"/>
  <c r="G1247" i="4"/>
  <c r="G401" i="4"/>
  <c r="G1332" i="4"/>
  <c r="G435" i="4"/>
  <c r="G1643" i="4"/>
  <c r="G397" i="4"/>
  <c r="G944" i="4"/>
  <c r="G1013" i="4"/>
  <c r="G864" i="4"/>
  <c r="G600" i="4"/>
  <c r="G596" i="4"/>
  <c r="G1550" i="4"/>
  <c r="G174" i="4"/>
  <c r="G986" i="4"/>
  <c r="G1111" i="4"/>
  <c r="G1640" i="4"/>
  <c r="G23" i="4"/>
  <c r="G1010" i="4"/>
  <c r="G1143" i="4"/>
  <c r="G1668" i="4"/>
  <c r="G924" i="4"/>
  <c r="G631" i="4"/>
  <c r="G530" i="4"/>
  <c r="G1758" i="4"/>
  <c r="G793" i="4"/>
  <c r="G1581" i="4"/>
  <c r="G1578" i="4"/>
  <c r="G80" i="4"/>
  <c r="G287" i="4"/>
  <c r="G670" i="4"/>
  <c r="I271" i="6"/>
  <c r="I489" i="6"/>
  <c r="I477" i="6"/>
  <c r="I476" i="6"/>
  <c r="I129" i="6"/>
  <c r="I342" i="6"/>
  <c r="I130" i="6"/>
  <c r="I409" i="6"/>
  <c r="I131" i="6"/>
  <c r="I412" i="6"/>
  <c r="I168" i="6"/>
  <c r="I169" i="6"/>
  <c r="I170" i="6"/>
  <c r="I171" i="6"/>
  <c r="I180" i="6"/>
  <c r="I181" i="6"/>
  <c r="I182" i="6"/>
  <c r="I275" i="6"/>
  <c r="I346" i="6"/>
  <c r="I347" i="6"/>
  <c r="I59" i="6"/>
  <c r="I210" i="6"/>
  <c r="I60" i="6"/>
  <c r="I217" i="6"/>
  <c r="I219" i="6"/>
  <c r="I220" i="6"/>
  <c r="I64" i="6"/>
  <c r="I221" i="6"/>
  <c r="I222" i="6"/>
  <c r="I399" i="6"/>
  <c r="I138" i="6"/>
  <c r="I223" i="6"/>
  <c r="I400" i="6"/>
  <c r="I490" i="6"/>
  <c r="I159" i="6"/>
  <c r="I224" i="6"/>
  <c r="I401" i="6"/>
  <c r="I255" i="6"/>
  <c r="I406" i="6"/>
  <c r="I408" i="6"/>
  <c r="I270" i="6"/>
  <c r="I336" i="6"/>
  <c r="I254" i="6"/>
  <c r="I158" i="6"/>
  <c r="I53" i="6"/>
  <c r="I332" i="6"/>
  <c r="I248" i="6"/>
  <c r="I154" i="6"/>
  <c r="I377" i="6"/>
  <c r="I305" i="6"/>
  <c r="I153" i="6"/>
  <c r="I98" i="6"/>
  <c r="I25" i="6"/>
  <c r="I441" i="6"/>
  <c r="I371" i="6"/>
  <c r="I151" i="6"/>
  <c r="I97" i="6"/>
  <c r="I38" i="6"/>
  <c r="I468" i="6"/>
  <c r="I150" i="6"/>
  <c r="I96" i="6"/>
  <c r="I39" i="6"/>
  <c r="I148" i="6"/>
  <c r="I95" i="6"/>
  <c r="I33" i="6"/>
  <c r="I281" i="6"/>
  <c r="I125" i="6"/>
  <c r="I282" i="6"/>
  <c r="I126" i="6"/>
  <c r="I286" i="6"/>
  <c r="I127" i="6"/>
  <c r="I287" i="6"/>
  <c r="I378" i="6"/>
  <c r="I133" i="6"/>
  <c r="I288" i="6"/>
  <c r="I385" i="6"/>
  <c r="I452" i="6"/>
  <c r="I467" i="6"/>
  <c r="I55" i="6"/>
  <c r="I134" i="6"/>
  <c r="I392" i="6"/>
  <c r="I26" i="6"/>
  <c r="I65" i="6"/>
  <c r="I105" i="6"/>
  <c r="I132" i="6"/>
  <c r="I139" i="6"/>
  <c r="I183" i="6"/>
  <c r="I226" i="6"/>
  <c r="I291" i="6"/>
  <c r="I306" i="6"/>
  <c r="I386" i="6"/>
  <c r="I413" i="6"/>
  <c r="I483" i="6"/>
  <c r="I491" i="6"/>
  <c r="I27" i="6"/>
  <c r="I66" i="6"/>
  <c r="I79" i="6"/>
  <c r="I106" i="6"/>
  <c r="I185" i="6"/>
  <c r="I232" i="6"/>
  <c r="I292" i="6"/>
  <c r="I310" i="6"/>
  <c r="I387" i="6"/>
  <c r="I415" i="6"/>
  <c r="I32" i="6"/>
  <c r="I67" i="6"/>
  <c r="I81" i="6"/>
  <c r="I107" i="6"/>
  <c r="I188" i="6"/>
  <c r="I234" i="6"/>
  <c r="I294" i="6"/>
  <c r="I311" i="6"/>
  <c r="I388" i="6"/>
  <c r="I416" i="6"/>
  <c r="I30" i="6"/>
  <c r="I68" i="6"/>
  <c r="I82" i="6"/>
  <c r="I108" i="6"/>
  <c r="I165" i="6"/>
  <c r="I189" i="6"/>
  <c r="I241" i="6"/>
  <c r="I295" i="6"/>
  <c r="I423" i="6"/>
  <c r="I456" i="6"/>
  <c r="I42" i="6"/>
  <c r="I69" i="6"/>
  <c r="I85" i="6"/>
  <c r="I109" i="6"/>
  <c r="I166" i="6"/>
  <c r="I190" i="6"/>
  <c r="I242" i="6"/>
  <c r="I296" i="6"/>
  <c r="I320" i="6"/>
  <c r="I425" i="6"/>
  <c r="I458" i="6"/>
  <c r="I501" i="6"/>
  <c r="J501" i="6" s="1"/>
  <c r="K501" i="6" s="1"/>
  <c r="I498" i="6"/>
  <c r="I439" i="6"/>
  <c r="I432" i="6"/>
  <c r="I414" i="6"/>
  <c r="I394" i="6"/>
  <c r="I361" i="6"/>
  <c r="I349" i="6"/>
  <c r="I326" i="6"/>
  <c r="I309" i="6"/>
  <c r="I280" i="6"/>
  <c r="I260" i="6"/>
  <c r="I238" i="6"/>
  <c r="I218" i="6"/>
  <c r="I186" i="6"/>
  <c r="I152" i="6"/>
  <c r="I494" i="6"/>
  <c r="I479" i="6"/>
  <c r="I427" i="6"/>
  <c r="I407" i="6"/>
  <c r="I389" i="6"/>
  <c r="I372" i="6"/>
  <c r="I355" i="6"/>
  <c r="I339" i="6"/>
  <c r="I319" i="6"/>
  <c r="I302" i="6"/>
  <c r="I293" i="6"/>
  <c r="I273" i="6"/>
  <c r="I252" i="6"/>
  <c r="I231" i="6"/>
  <c r="I473" i="6"/>
  <c r="I457" i="6"/>
  <c r="I438" i="6"/>
  <c r="I424" i="6"/>
  <c r="I402" i="6"/>
  <c r="I380" i="6"/>
  <c r="I363" i="6"/>
  <c r="I338" i="6"/>
  <c r="I284" i="6"/>
  <c r="I262" i="6"/>
  <c r="I233" i="6"/>
  <c r="I211" i="6"/>
  <c r="I194" i="6"/>
  <c r="I173" i="6"/>
  <c r="I157" i="6"/>
  <c r="I101" i="6"/>
  <c r="I87" i="6"/>
  <c r="I54" i="6"/>
  <c r="I24" i="6"/>
  <c r="I469" i="6"/>
  <c r="I447" i="6"/>
  <c r="I417" i="6"/>
  <c r="I395" i="6"/>
  <c r="I375" i="6"/>
  <c r="I356" i="6"/>
  <c r="I331" i="6"/>
  <c r="I312" i="6"/>
  <c r="I298" i="6"/>
  <c r="I276" i="6"/>
  <c r="I250" i="6"/>
  <c r="I246" i="6"/>
  <c r="I225" i="6"/>
  <c r="I204" i="6"/>
  <c r="I187" i="6"/>
  <c r="I149" i="6"/>
  <c r="I123" i="6"/>
  <c r="I94" i="6"/>
  <c r="I80" i="6"/>
  <c r="I63" i="6"/>
  <c r="I51" i="6"/>
  <c r="I36" i="6"/>
  <c r="I497" i="6"/>
  <c r="I482" i="6"/>
  <c r="I470" i="6"/>
  <c r="I466" i="6"/>
  <c r="I451" i="6"/>
  <c r="I436" i="6"/>
  <c r="I420" i="6"/>
  <c r="I396" i="6"/>
  <c r="I370" i="6"/>
  <c r="I340" i="6"/>
  <c r="I317" i="6"/>
  <c r="I274" i="6"/>
  <c r="I239" i="6"/>
  <c r="I214" i="6"/>
  <c r="I184" i="6"/>
  <c r="I141" i="6"/>
  <c r="I135" i="6"/>
  <c r="I119" i="6"/>
  <c r="I28" i="6"/>
  <c r="I496" i="6"/>
  <c r="I481" i="6"/>
  <c r="I465" i="6"/>
  <c r="I450" i="6"/>
  <c r="I435" i="6"/>
  <c r="I419" i="6"/>
  <c r="I393" i="6"/>
  <c r="I369" i="6"/>
  <c r="I337" i="6"/>
  <c r="I316" i="6"/>
  <c r="I297" i="6"/>
  <c r="I272" i="6"/>
  <c r="I237" i="6"/>
  <c r="I213" i="6"/>
  <c r="I475" i="6"/>
  <c r="I461" i="6"/>
  <c r="I453" i="6"/>
  <c r="I449" i="6"/>
  <c r="I411" i="6"/>
  <c r="I391" i="6"/>
  <c r="I384" i="6"/>
  <c r="I365" i="6"/>
  <c r="I330" i="6"/>
  <c r="I308" i="6"/>
  <c r="I290" i="6"/>
  <c r="I266" i="6"/>
  <c r="I229" i="6"/>
  <c r="I206" i="6"/>
  <c r="I177" i="6"/>
  <c r="I156" i="6"/>
  <c r="I140" i="6"/>
  <c r="I112" i="6"/>
  <c r="I100" i="6"/>
  <c r="I84" i="6"/>
  <c r="I62" i="6"/>
  <c r="I48" i="6"/>
  <c r="I37" i="6"/>
  <c r="I474" i="6"/>
  <c r="I463" i="6"/>
  <c r="I460" i="6"/>
  <c r="I448" i="6"/>
  <c r="I442" i="6"/>
  <c r="I410" i="6"/>
  <c r="I383" i="6"/>
  <c r="I364" i="6"/>
  <c r="I348" i="6"/>
  <c r="I329" i="6"/>
  <c r="I307" i="6"/>
  <c r="I289" i="6"/>
  <c r="I265" i="6"/>
  <c r="I228" i="6"/>
  <c r="I205" i="6"/>
  <c r="I176" i="6"/>
  <c r="I155" i="6"/>
  <c r="I111" i="6"/>
  <c r="I99" i="6"/>
  <c r="I83" i="6"/>
  <c r="I61" i="6"/>
  <c r="I47" i="6"/>
  <c r="I34" i="6"/>
  <c r="I472" i="6"/>
  <c r="I500" i="6"/>
  <c r="J500" i="6" s="1"/>
  <c r="K500" i="6" s="1"/>
  <c r="I495" i="6"/>
  <c r="I488" i="6"/>
  <c r="I464" i="6"/>
  <c r="I405" i="6"/>
  <c r="I368" i="6"/>
  <c r="I341" i="6"/>
  <c r="I315" i="6"/>
  <c r="I285" i="6"/>
  <c r="I230" i="6"/>
  <c r="I200" i="6"/>
  <c r="I175" i="6"/>
  <c r="I146" i="6"/>
  <c r="I137" i="6"/>
  <c r="I124" i="6"/>
  <c r="I41" i="6"/>
  <c r="I499" i="6"/>
  <c r="J499" i="6" s="1"/>
  <c r="K499" i="6" s="1"/>
  <c r="I493" i="6"/>
  <c r="I487" i="6"/>
  <c r="I431" i="6"/>
  <c r="I404" i="6"/>
  <c r="I367" i="6"/>
  <c r="I314" i="6"/>
  <c r="I283" i="6"/>
  <c r="I227" i="6"/>
  <c r="I199" i="6"/>
  <c r="I174" i="6"/>
  <c r="I145" i="6"/>
  <c r="I136" i="6"/>
  <c r="I122" i="6"/>
  <c r="I40" i="6"/>
  <c r="I492" i="6"/>
  <c r="I486" i="6"/>
  <c r="I471" i="6"/>
  <c r="I430" i="6"/>
  <c r="I403" i="6"/>
  <c r="I390" i="6"/>
  <c r="I366" i="6"/>
  <c r="I455" i="6"/>
  <c r="I429" i="6"/>
  <c r="I398" i="6"/>
  <c r="I382" i="6"/>
  <c r="I345" i="6"/>
  <c r="I279" i="6"/>
  <c r="I247" i="6"/>
  <c r="I216" i="6"/>
  <c r="I179" i="6"/>
  <c r="I164" i="6"/>
  <c r="I142" i="6"/>
  <c r="I58" i="6"/>
  <c r="I35" i="6"/>
  <c r="I454" i="6"/>
  <c r="I428" i="6"/>
  <c r="I397" i="6"/>
  <c r="I381" i="6"/>
  <c r="I344" i="6"/>
  <c r="I318" i="6"/>
  <c r="I300" i="6"/>
  <c r="I278" i="6"/>
  <c r="I245" i="6"/>
  <c r="I215" i="6"/>
  <c r="I178" i="6"/>
  <c r="I77" i="6"/>
  <c r="I57" i="6"/>
  <c r="I379" i="6"/>
  <c r="I343" i="6"/>
  <c r="I313" i="6"/>
  <c r="I299" i="6"/>
  <c r="I277" i="6"/>
  <c r="I244" i="6"/>
  <c r="I212" i="6"/>
  <c r="I172" i="6"/>
  <c r="I163" i="6"/>
  <c r="I128" i="6"/>
  <c r="I104" i="6"/>
  <c r="I86" i="6"/>
  <c r="I76" i="6"/>
  <c r="I56" i="6"/>
  <c r="I29" i="6"/>
  <c r="I485" i="6"/>
  <c r="I480" i="6"/>
  <c r="I422" i="6"/>
  <c r="I376" i="6"/>
  <c r="I353" i="6"/>
  <c r="I335" i="6"/>
  <c r="I304" i="6"/>
  <c r="I268" i="6"/>
  <c r="I253" i="6"/>
  <c r="I240" i="6"/>
  <c r="I203" i="6"/>
  <c r="I196" i="6"/>
  <c r="I162" i="6"/>
  <c r="I120" i="6"/>
  <c r="I103" i="6"/>
  <c r="I78" i="6"/>
  <c r="I71" i="6"/>
  <c r="I484" i="6"/>
  <c r="I440" i="6"/>
  <c r="I421" i="6"/>
  <c r="I374" i="6"/>
  <c r="I352" i="6"/>
  <c r="I334" i="6"/>
  <c r="I303" i="6"/>
  <c r="I267" i="6"/>
  <c r="I251" i="6"/>
  <c r="I236" i="6"/>
  <c r="I202" i="6"/>
  <c r="I195" i="6"/>
  <c r="I161" i="6"/>
  <c r="I118" i="6"/>
  <c r="I102" i="6"/>
  <c r="I70" i="6"/>
  <c r="I52" i="6"/>
  <c r="I478" i="6"/>
  <c r="I418" i="6"/>
  <c r="I373" i="6"/>
  <c r="I351" i="6"/>
  <c r="I333" i="6"/>
  <c r="I301" i="6"/>
  <c r="I264" i="6"/>
  <c r="I249" i="6"/>
  <c r="I235" i="6"/>
  <c r="I201" i="6"/>
  <c r="I193" i="6"/>
  <c r="I160" i="6"/>
  <c r="I43" i="6"/>
  <c r="I110" i="6"/>
  <c r="I167" i="6"/>
  <c r="I191" i="6"/>
  <c r="I243" i="6"/>
  <c r="I256" i="6"/>
  <c r="I321" i="6"/>
  <c r="I354" i="6"/>
  <c r="I426" i="6"/>
  <c r="I443" i="6"/>
  <c r="I459" i="6"/>
  <c r="I31" i="6"/>
  <c r="I44" i="6"/>
  <c r="I72" i="6"/>
  <c r="I88" i="6"/>
  <c r="I113" i="6"/>
  <c r="I192" i="6"/>
  <c r="I257" i="6"/>
  <c r="I322" i="6"/>
  <c r="I350" i="6"/>
  <c r="I357" i="6"/>
  <c r="I444" i="6"/>
  <c r="I45" i="6"/>
  <c r="I73" i="6"/>
  <c r="I89" i="6"/>
  <c r="I114" i="6"/>
  <c r="I197" i="6"/>
  <c r="I258" i="6"/>
  <c r="I323" i="6"/>
  <c r="I358" i="6"/>
  <c r="I445" i="6"/>
  <c r="I462" i="6"/>
  <c r="I46" i="6"/>
  <c r="I74" i="6"/>
  <c r="I90" i="6"/>
  <c r="I115" i="6"/>
  <c r="I198" i="6"/>
  <c r="I259" i="6"/>
  <c r="I324" i="6"/>
  <c r="I359" i="6"/>
  <c r="I446" i="6"/>
  <c r="I49" i="6"/>
  <c r="I75" i="6"/>
  <c r="I91" i="6"/>
  <c r="I116" i="6"/>
  <c r="I143" i="6"/>
  <c r="I207" i="6"/>
  <c r="I261" i="6"/>
  <c r="I325" i="6"/>
  <c r="I433" i="6"/>
  <c r="I50" i="6"/>
  <c r="I92" i="6"/>
  <c r="I117" i="6"/>
  <c r="I144" i="6"/>
  <c r="I208" i="6"/>
  <c r="I263" i="6"/>
  <c r="I327" i="6"/>
  <c r="I360" i="6"/>
  <c r="I434" i="6"/>
  <c r="I93" i="6"/>
  <c r="I121" i="6"/>
  <c r="I147" i="6"/>
  <c r="I209" i="6"/>
  <c r="I269" i="6"/>
  <c r="I328" i="6"/>
  <c r="I362" i="6"/>
  <c r="I437" i="6"/>
  <c r="F9" i="6"/>
  <c r="J4" i="6"/>
  <c r="C16" i="6"/>
  <c r="J3" i="6"/>
  <c r="F33" i="6" l="1"/>
  <c r="F40" i="6" l="1"/>
  <c r="G52" i="6"/>
  <c r="G30" i="6"/>
  <c r="G40" i="6"/>
  <c r="G35" i="6"/>
  <c r="G33" i="6"/>
  <c r="G62" i="6"/>
  <c r="G37" i="6"/>
  <c r="G59" i="6"/>
  <c r="G48" i="6"/>
  <c r="G26" i="6"/>
  <c r="G61" i="6"/>
  <c r="G39" i="6"/>
  <c r="G46" i="6"/>
  <c r="G38" i="6"/>
  <c r="G28" i="6"/>
  <c r="G27" i="6"/>
  <c r="G47" i="6"/>
  <c r="G34" i="6"/>
  <c r="G42" i="6"/>
  <c r="G58" i="6"/>
  <c r="G43" i="6"/>
  <c r="G54" i="6"/>
  <c r="G55" i="6"/>
  <c r="G25" i="6"/>
  <c r="G44" i="6"/>
  <c r="G50" i="6"/>
  <c r="G49" i="6"/>
  <c r="G45" i="6"/>
  <c r="G31" i="6"/>
  <c r="G56" i="6"/>
  <c r="G24" i="6"/>
  <c r="G29" i="6"/>
  <c r="G32" i="6"/>
  <c r="G41" i="6"/>
  <c r="G36" i="6"/>
  <c r="G57" i="6"/>
  <c r="G60" i="6"/>
  <c r="G51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442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F52" i="6"/>
  <c r="F30" i="6"/>
  <c r="F35" i="6"/>
  <c r="F62" i="6"/>
  <c r="F37" i="6"/>
  <c r="F59" i="6"/>
  <c r="F48" i="6"/>
  <c r="F26" i="6"/>
  <c r="F61" i="6"/>
  <c r="F39" i="6"/>
  <c r="F46" i="6"/>
  <c r="F38" i="6"/>
  <c r="F28" i="6"/>
  <c r="F27" i="6"/>
  <c r="F47" i="6"/>
  <c r="F34" i="6"/>
  <c r="F42" i="6"/>
  <c r="F58" i="6"/>
  <c r="F43" i="6"/>
  <c r="F54" i="6"/>
  <c r="F55" i="6"/>
  <c r="F25" i="6"/>
  <c r="F44" i="6"/>
  <c r="F50" i="6"/>
  <c r="F49" i="6"/>
  <c r="F45" i="6"/>
  <c r="F31" i="6"/>
  <c r="F56" i="6"/>
  <c r="F24" i="6"/>
  <c r="F29" i="6"/>
  <c r="F32" i="6"/>
  <c r="F41" i="6"/>
  <c r="F36" i="6"/>
  <c r="F57" i="6"/>
  <c r="F60" i="6"/>
  <c r="F51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442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G53" i="6"/>
  <c r="F53" i="6"/>
  <c r="J497" i="6"/>
  <c r="K497" i="6" s="1"/>
  <c r="J498" i="6"/>
  <c r="K498" i="6" l="1"/>
  <c r="J414" i="6"/>
  <c r="K414" i="6" s="1"/>
  <c r="J326" i="6"/>
  <c r="K326" i="6" s="1"/>
  <c r="J362" i="6"/>
  <c r="K362" i="6" s="1"/>
  <c r="J428" i="6"/>
  <c r="K428" i="6" s="1"/>
  <c r="J402" i="6"/>
  <c r="K402" i="6" s="1"/>
  <c r="J376" i="6"/>
  <c r="K376" i="6" s="1"/>
  <c r="J372" i="6"/>
  <c r="K372" i="6" s="1"/>
  <c r="J354" i="6"/>
  <c r="K354" i="6" s="1"/>
  <c r="J455" i="6"/>
  <c r="K455" i="6" s="1"/>
  <c r="J486" i="6"/>
  <c r="K486" i="6" s="1"/>
  <c r="J426" i="6"/>
  <c r="K426" i="6" s="1"/>
  <c r="J412" i="6"/>
  <c r="K412" i="6" s="1"/>
  <c r="J334" i="6"/>
  <c r="K334" i="6" s="1"/>
  <c r="J420" i="6"/>
  <c r="K420" i="6" s="1"/>
  <c r="J374" i="6"/>
  <c r="K374" i="6" s="1"/>
  <c r="J370" i="6"/>
  <c r="K370" i="6" s="1"/>
  <c r="J389" i="6"/>
  <c r="K389" i="6" s="1"/>
  <c r="J492" i="6"/>
  <c r="K492" i="6" s="1"/>
  <c r="J489" i="6"/>
  <c r="K489" i="6" s="1"/>
  <c r="J479" i="6"/>
  <c r="K479" i="6" s="1"/>
  <c r="J470" i="6"/>
  <c r="K470" i="6" s="1"/>
  <c r="J467" i="6"/>
  <c r="K467" i="6" s="1"/>
  <c r="J410" i="6"/>
  <c r="K410" i="6" s="1"/>
  <c r="J332" i="6"/>
  <c r="K332" i="6" s="1"/>
  <c r="J324" i="6"/>
  <c r="K324" i="6" s="1"/>
  <c r="J468" i="6"/>
  <c r="K468" i="6" s="1"/>
  <c r="J477" i="6"/>
  <c r="K477" i="6" s="1"/>
  <c r="J431" i="6"/>
  <c r="K431" i="6" s="1"/>
  <c r="J390" i="6"/>
  <c r="K390" i="6" s="1"/>
  <c r="J485" i="6"/>
  <c r="K485" i="6" s="1"/>
  <c r="J343" i="6"/>
  <c r="K343" i="6" s="1"/>
  <c r="J353" i="6"/>
  <c r="K353" i="6" s="1"/>
  <c r="J371" i="6"/>
  <c r="K371" i="6" s="1"/>
  <c r="J384" i="6"/>
  <c r="K384" i="6" s="1"/>
  <c r="J322" i="6"/>
  <c r="K322" i="6" s="1"/>
  <c r="J403" i="6"/>
  <c r="K403" i="6" s="1"/>
  <c r="J440" i="6" l="1"/>
  <c r="K440" i="6" s="1"/>
  <c r="J457" i="6"/>
  <c r="K457" i="6" s="1"/>
  <c r="J432" i="6"/>
  <c r="K432" i="6" s="1"/>
  <c r="J444" i="6"/>
  <c r="K444" i="6" s="1"/>
  <c r="J452" i="6"/>
  <c r="K452" i="6" s="1"/>
  <c r="J319" i="6"/>
  <c r="K319" i="6" s="1"/>
  <c r="J398" i="6"/>
  <c r="K398" i="6" s="1"/>
  <c r="J411" i="6"/>
  <c r="K411" i="6" s="1"/>
  <c r="J325" i="6"/>
  <c r="K325" i="6" s="1"/>
  <c r="J335" i="6"/>
  <c r="K335" i="6" s="1"/>
  <c r="J352" i="6"/>
  <c r="K352" i="6" s="1"/>
  <c r="J357" i="6"/>
  <c r="K357" i="6" s="1"/>
  <c r="J386" i="6"/>
  <c r="K386" i="6" s="1"/>
  <c r="J340" i="6"/>
  <c r="K340" i="6" s="1"/>
  <c r="J404" i="6"/>
  <c r="K404" i="6" s="1"/>
  <c r="J379" i="6"/>
  <c r="K379" i="6" s="1"/>
  <c r="J483" i="6"/>
  <c r="K483" i="6" s="1"/>
  <c r="J346" i="6"/>
  <c r="K346" i="6" s="1"/>
  <c r="J351" i="6"/>
  <c r="K351" i="6" s="1"/>
  <c r="J419" i="6"/>
  <c r="K419" i="6" s="1"/>
  <c r="J422" i="6"/>
  <c r="K422" i="6" s="1"/>
  <c r="J348" i="6"/>
  <c r="K348" i="6" s="1"/>
  <c r="J406" i="6"/>
  <c r="K406" i="6" s="1"/>
  <c r="J368" i="6"/>
  <c r="K368" i="6" s="1"/>
  <c r="J329" i="6"/>
  <c r="K329" i="6" s="1"/>
  <c r="J328" i="6"/>
  <c r="K328" i="6" s="1"/>
  <c r="J366" i="6"/>
  <c r="K366" i="6" s="1"/>
  <c r="J377" i="6"/>
  <c r="K377" i="6" s="1"/>
  <c r="J413" i="6"/>
  <c r="K413" i="6" s="1"/>
  <c r="J369" i="6"/>
  <c r="K369" i="6" s="1"/>
  <c r="J360" i="6"/>
  <c r="K360" i="6" s="1"/>
  <c r="J327" i="6"/>
  <c r="K327" i="6" s="1"/>
  <c r="J345" i="6"/>
  <c r="K345" i="6" s="1"/>
  <c r="J359" i="6"/>
  <c r="K359" i="6" s="1"/>
  <c r="J383" i="6"/>
  <c r="K383" i="6" s="1"/>
  <c r="J484" i="6"/>
  <c r="K484" i="6" s="1"/>
  <c r="J355" i="6"/>
  <c r="K355" i="6" s="1"/>
  <c r="J385" i="6"/>
  <c r="K385" i="6" s="1"/>
  <c r="J364" i="6"/>
  <c r="K364" i="6" s="1"/>
  <c r="J418" i="6"/>
  <c r="K418" i="6" s="1"/>
  <c r="J399" i="6"/>
  <c r="K399" i="6" s="1"/>
  <c r="J342" i="6"/>
  <c r="K342" i="6" s="1"/>
  <c r="J333" i="6"/>
  <c r="K333" i="6" s="1"/>
  <c r="J392" i="6"/>
  <c r="J408" i="6"/>
  <c r="K408" i="6" s="1"/>
  <c r="J382" i="6"/>
  <c r="K382" i="6" s="1"/>
  <c r="J449" i="6"/>
  <c r="K449" i="6" s="1"/>
  <c r="J453" i="6"/>
  <c r="K453" i="6" s="1"/>
  <c r="J407" i="6"/>
  <c r="K407" i="6" s="1"/>
  <c r="J471" i="6"/>
  <c r="K471" i="6" s="1"/>
  <c r="J448" i="6"/>
  <c r="K448" i="6" s="1"/>
  <c r="J493" i="6"/>
  <c r="K493" i="6" s="1"/>
  <c r="J373" i="6"/>
  <c r="K373" i="6" s="1"/>
  <c r="J339" i="6"/>
  <c r="K339" i="6" s="1"/>
  <c r="J393" i="6"/>
  <c r="K393" i="6" s="1"/>
  <c r="J361" i="6"/>
  <c r="K361" i="6" s="1"/>
  <c r="J439" i="6"/>
  <c r="K439" i="6" s="1"/>
  <c r="J466" i="6"/>
  <c r="K466" i="6" s="1"/>
  <c r="J475" i="6"/>
  <c r="K475" i="6" s="1"/>
  <c r="J421" i="6"/>
  <c r="K421" i="6" s="1"/>
  <c r="J396" i="6"/>
  <c r="K396" i="6" s="1"/>
  <c r="J425" i="6"/>
  <c r="K425" i="6" s="1"/>
  <c r="J347" i="6"/>
  <c r="K347" i="6" s="1"/>
  <c r="J459" i="6"/>
  <c r="K459" i="6" s="1"/>
  <c r="J435" i="6"/>
  <c r="K435" i="6" s="1"/>
  <c r="J320" i="6"/>
  <c r="K320" i="6" s="1"/>
  <c r="J350" i="6"/>
  <c r="K350" i="6" s="1"/>
  <c r="J400" i="6"/>
  <c r="K400" i="6" s="1"/>
  <c r="J473" i="6"/>
  <c r="K473" i="6" s="1"/>
  <c r="J380" i="6"/>
  <c r="K380" i="6" s="1"/>
  <c r="J450" i="6"/>
  <c r="K450" i="6" s="1"/>
  <c r="J391" i="6"/>
  <c r="K391" i="6" s="1"/>
  <c r="J451" i="6"/>
  <c r="K451" i="6" s="1"/>
  <c r="J401" i="6"/>
  <c r="K401" i="6" s="1"/>
  <c r="J367" i="6"/>
  <c r="K367" i="6" s="1"/>
  <c r="J427" i="6"/>
  <c r="K427" i="6" s="1"/>
  <c r="J387" i="6"/>
  <c r="K387" i="6" s="1"/>
  <c r="J375" i="6"/>
  <c r="K375" i="6" s="1"/>
  <c r="J331" i="6"/>
  <c r="K331" i="6" s="1"/>
  <c r="J476" i="6"/>
  <c r="K476" i="6" s="1"/>
  <c r="J487" i="6"/>
  <c r="K487" i="6" s="1"/>
  <c r="J441" i="6"/>
  <c r="K441" i="6" s="1"/>
  <c r="J341" i="6"/>
  <c r="K341" i="6" s="1"/>
  <c r="J381" i="6"/>
  <c r="K381" i="6" s="1"/>
  <c r="J336" i="6"/>
  <c r="K336" i="6" s="1"/>
  <c r="J480" i="6"/>
  <c r="K480" i="6" s="1"/>
  <c r="J429" i="6"/>
  <c r="K429" i="6" s="1"/>
  <c r="J321" i="6"/>
  <c r="K321" i="6" s="1"/>
  <c r="J394" i="6"/>
  <c r="K394" i="6" s="1"/>
  <c r="J491" i="6"/>
  <c r="K491" i="6" s="1"/>
  <c r="J482" i="6"/>
  <c r="K482" i="6" s="1"/>
  <c r="J454" i="6"/>
  <c r="K454" i="6" s="1"/>
  <c r="J365" i="6"/>
  <c r="K365" i="6" s="1"/>
  <c r="J417" i="6"/>
  <c r="K417" i="6" s="1"/>
  <c r="J424" i="6"/>
  <c r="K424" i="6" s="1"/>
  <c r="J436" i="6"/>
  <c r="K436" i="6" s="1"/>
  <c r="J356" i="6"/>
  <c r="K356" i="6" s="1"/>
  <c r="J478" i="6"/>
  <c r="K478" i="6" s="1"/>
  <c r="J488" i="6"/>
  <c r="K488" i="6" s="1"/>
  <c r="J443" i="6"/>
  <c r="K443" i="6" s="1"/>
  <c r="J415" i="6"/>
  <c r="K415" i="6" s="1"/>
  <c r="J344" i="6"/>
  <c r="K344" i="6" s="1"/>
  <c r="J378" i="6"/>
  <c r="K378" i="6" s="1"/>
  <c r="J438" i="6"/>
  <c r="K438" i="6" s="1"/>
  <c r="J469" i="6"/>
  <c r="K469" i="6" s="1"/>
  <c r="J416" i="6"/>
  <c r="K416" i="6" s="1"/>
  <c r="J338" i="6"/>
  <c r="K338" i="6" s="1"/>
  <c r="J330" i="6"/>
  <c r="K330" i="6" s="1"/>
  <c r="J423" i="6"/>
  <c r="K423" i="6" s="1"/>
  <c r="J481" i="6"/>
  <c r="K481" i="6" s="1"/>
  <c r="J430" i="6"/>
  <c r="K430" i="6" s="1"/>
  <c r="J465" i="6"/>
  <c r="K465" i="6" s="1"/>
  <c r="J447" i="6"/>
  <c r="K447" i="6" s="1"/>
  <c r="J363" i="6"/>
  <c r="K363" i="6" s="1"/>
  <c r="J409" i="6"/>
  <c r="K409" i="6" s="1"/>
  <c r="J437" i="6"/>
  <c r="K437" i="6" s="1"/>
  <c r="J358" i="6"/>
  <c r="K358" i="6" s="1"/>
  <c r="J337" i="6"/>
  <c r="K337" i="6" s="1"/>
  <c r="J405" i="6"/>
  <c r="K405" i="6" s="1"/>
  <c r="J494" i="6"/>
  <c r="K494" i="6" s="1"/>
  <c r="J445" i="6"/>
  <c r="K445" i="6" s="1"/>
  <c r="J434" i="6"/>
  <c r="K434" i="6" s="1"/>
  <c r="J323" i="6"/>
  <c r="K323" i="6" s="1"/>
  <c r="J462" i="6"/>
  <c r="K462" i="6" s="1"/>
  <c r="J318" i="6"/>
  <c r="K318" i="6" s="1"/>
  <c r="J490" i="6"/>
  <c r="K490" i="6" s="1"/>
  <c r="J464" i="6"/>
  <c r="K464" i="6" s="1"/>
  <c r="J397" i="6"/>
  <c r="K397" i="6" s="1"/>
  <c r="J472" i="6"/>
  <c r="K472" i="6" s="1"/>
  <c r="J456" i="6"/>
  <c r="K456" i="6" s="1"/>
  <c r="J474" i="6"/>
  <c r="K474" i="6" s="1"/>
  <c r="J395" i="6"/>
  <c r="K395" i="6" s="1"/>
  <c r="J463" i="6"/>
  <c r="K463" i="6" s="1"/>
  <c r="J458" i="6"/>
  <c r="K458" i="6" s="1"/>
  <c r="J460" i="6"/>
  <c r="K460" i="6" s="1"/>
  <c r="J388" i="6"/>
  <c r="K388" i="6" s="1"/>
  <c r="J446" i="6"/>
  <c r="K446" i="6" s="1"/>
  <c r="J349" i="6"/>
  <c r="K349" i="6" s="1"/>
  <c r="J461" i="6"/>
  <c r="K461" i="6" s="1"/>
  <c r="J433" i="6"/>
  <c r="K433" i="6" s="1"/>
  <c r="J52" i="6"/>
  <c r="K52" i="6" s="1"/>
  <c r="J30" i="6"/>
  <c r="K30" i="6" s="1"/>
  <c r="J40" i="6"/>
  <c r="K40" i="6" s="1"/>
  <c r="J35" i="6"/>
  <c r="K35" i="6" s="1"/>
  <c r="J62" i="6"/>
  <c r="K62" i="6" s="1"/>
  <c r="J59" i="6"/>
  <c r="K59" i="6" s="1"/>
  <c r="J48" i="6"/>
  <c r="K48" i="6" s="1"/>
  <c r="J26" i="6"/>
  <c r="K26" i="6" s="1"/>
  <c r="J61" i="6"/>
  <c r="K61" i="6" s="1"/>
  <c r="J46" i="6"/>
  <c r="K46" i="6" s="1"/>
  <c r="J28" i="6"/>
  <c r="K28" i="6" s="1"/>
  <c r="J27" i="6"/>
  <c r="K27" i="6" s="1"/>
  <c r="J47" i="6"/>
  <c r="K47" i="6" s="1"/>
  <c r="J42" i="6"/>
  <c r="K42" i="6" s="1"/>
  <c r="J58" i="6"/>
  <c r="K58" i="6" s="1"/>
  <c r="J43" i="6"/>
  <c r="K43" i="6" s="1"/>
  <c r="J54" i="6"/>
  <c r="K54" i="6" s="1"/>
  <c r="J55" i="6"/>
  <c r="K55" i="6" s="1"/>
  <c r="J44" i="6"/>
  <c r="K44" i="6" s="1"/>
  <c r="J50" i="6"/>
  <c r="K50" i="6" s="1"/>
  <c r="J49" i="6"/>
  <c r="K49" i="6" s="1"/>
  <c r="J45" i="6"/>
  <c r="K45" i="6" s="1"/>
  <c r="J56" i="6"/>
  <c r="K56" i="6" s="1"/>
  <c r="J24" i="6"/>
  <c r="J32" i="6"/>
  <c r="K32" i="6" s="1"/>
  <c r="J41" i="6"/>
  <c r="K41" i="6" s="1"/>
  <c r="J36" i="6"/>
  <c r="K36" i="6" s="1"/>
  <c r="J57" i="6"/>
  <c r="K57" i="6" s="1"/>
  <c r="J60" i="6"/>
  <c r="K60" i="6" s="1"/>
  <c r="J51" i="6"/>
  <c r="K51" i="6" s="1"/>
  <c r="J63" i="6"/>
  <c r="K63" i="6" s="1"/>
  <c r="J64" i="6"/>
  <c r="K64" i="6" s="1"/>
  <c r="J65" i="6"/>
  <c r="K65" i="6" s="1"/>
  <c r="J66" i="6"/>
  <c r="K66" i="6" s="1"/>
  <c r="J67" i="6"/>
  <c r="K67" i="6" s="1"/>
  <c r="J68" i="6"/>
  <c r="K68" i="6" s="1"/>
  <c r="J69" i="6"/>
  <c r="K69" i="6" s="1"/>
  <c r="J70" i="6"/>
  <c r="K70" i="6" s="1"/>
  <c r="J71" i="6"/>
  <c r="K71" i="6" s="1"/>
  <c r="J72" i="6"/>
  <c r="K72" i="6" s="1"/>
  <c r="J73" i="6"/>
  <c r="K73" i="6" s="1"/>
  <c r="J74" i="6"/>
  <c r="K74" i="6" s="1"/>
  <c r="J75" i="6"/>
  <c r="K75" i="6" s="1"/>
  <c r="J76" i="6"/>
  <c r="K76" i="6" s="1"/>
  <c r="J77" i="6"/>
  <c r="K77" i="6" s="1"/>
  <c r="J78" i="6"/>
  <c r="K78" i="6" s="1"/>
  <c r="J79" i="6"/>
  <c r="K79" i="6" s="1"/>
  <c r="J80" i="6"/>
  <c r="K80" i="6" s="1"/>
  <c r="J81" i="6"/>
  <c r="K81" i="6" s="1"/>
  <c r="J82" i="6"/>
  <c r="K82" i="6" s="1"/>
  <c r="J83" i="6"/>
  <c r="K83" i="6" s="1"/>
  <c r="J84" i="6"/>
  <c r="K84" i="6" s="1"/>
  <c r="J85" i="6"/>
  <c r="K85" i="6" s="1"/>
  <c r="J86" i="6"/>
  <c r="K86" i="6" s="1"/>
  <c r="J87" i="6"/>
  <c r="K87" i="6" s="1"/>
  <c r="J88" i="6"/>
  <c r="K88" i="6" s="1"/>
  <c r="J89" i="6"/>
  <c r="K89" i="6" s="1"/>
  <c r="J90" i="6"/>
  <c r="K90" i="6" s="1"/>
  <c r="J91" i="6"/>
  <c r="K91" i="6" s="1"/>
  <c r="J92" i="6"/>
  <c r="K92" i="6" s="1"/>
  <c r="J93" i="6"/>
  <c r="K93" i="6" s="1"/>
  <c r="J94" i="6"/>
  <c r="K94" i="6" s="1"/>
  <c r="J95" i="6"/>
  <c r="K95" i="6" s="1"/>
  <c r="J96" i="6"/>
  <c r="K96" i="6" s="1"/>
  <c r="J97" i="6"/>
  <c r="K97" i="6" s="1"/>
  <c r="J98" i="6"/>
  <c r="K98" i="6" s="1"/>
  <c r="J99" i="6"/>
  <c r="K99" i="6" s="1"/>
  <c r="J100" i="6"/>
  <c r="K100" i="6" s="1"/>
  <c r="J101" i="6"/>
  <c r="K101" i="6" s="1"/>
  <c r="J102" i="6"/>
  <c r="K102" i="6" s="1"/>
  <c r="J103" i="6"/>
  <c r="K103" i="6" s="1"/>
  <c r="J104" i="6"/>
  <c r="K104" i="6" s="1"/>
  <c r="J105" i="6"/>
  <c r="K105" i="6" s="1"/>
  <c r="J106" i="6"/>
  <c r="K106" i="6" s="1"/>
  <c r="J107" i="6"/>
  <c r="K107" i="6" s="1"/>
  <c r="J108" i="6"/>
  <c r="K108" i="6" s="1"/>
  <c r="J109" i="6"/>
  <c r="K109" i="6" s="1"/>
  <c r="J110" i="6"/>
  <c r="K110" i="6" s="1"/>
  <c r="J111" i="6"/>
  <c r="K111" i="6" s="1"/>
  <c r="J112" i="6"/>
  <c r="K112" i="6" s="1"/>
  <c r="J114" i="6"/>
  <c r="K114" i="6" s="1"/>
  <c r="J115" i="6"/>
  <c r="K115" i="6" s="1"/>
  <c r="J116" i="6"/>
  <c r="K116" i="6" s="1"/>
  <c r="J117" i="6"/>
  <c r="K117" i="6" s="1"/>
  <c r="J118" i="6"/>
  <c r="K118" i="6" s="1"/>
  <c r="J124" i="6"/>
  <c r="K124" i="6" s="1"/>
  <c r="J125" i="6"/>
  <c r="K125" i="6" s="1"/>
  <c r="J119" i="6"/>
  <c r="K119" i="6" s="1"/>
  <c r="J120" i="6"/>
  <c r="K120" i="6" s="1"/>
  <c r="J121" i="6"/>
  <c r="K121" i="6" s="1"/>
  <c r="J126" i="6"/>
  <c r="K126" i="6" s="1"/>
  <c r="J127" i="6"/>
  <c r="K127" i="6" s="1"/>
  <c r="J122" i="6"/>
  <c r="K122" i="6" s="1"/>
  <c r="J123" i="6"/>
  <c r="K123" i="6" s="1"/>
  <c r="J128" i="6"/>
  <c r="K128" i="6" s="1"/>
  <c r="J129" i="6"/>
  <c r="K129" i="6" s="1"/>
  <c r="J130" i="6"/>
  <c r="K130" i="6" s="1"/>
  <c r="J131" i="6"/>
  <c r="K131" i="6" s="1"/>
  <c r="J132" i="6"/>
  <c r="K132" i="6" s="1"/>
  <c r="J133" i="6"/>
  <c r="K133" i="6" s="1"/>
  <c r="J134" i="6"/>
  <c r="K134" i="6" s="1"/>
  <c r="J135" i="6"/>
  <c r="K135" i="6" s="1"/>
  <c r="J136" i="6"/>
  <c r="K136" i="6" s="1"/>
  <c r="J137" i="6"/>
  <c r="K137" i="6" s="1"/>
  <c r="J138" i="6"/>
  <c r="K138" i="6" s="1"/>
  <c r="J139" i="6"/>
  <c r="K139" i="6" s="1"/>
  <c r="J140" i="6"/>
  <c r="K140" i="6" s="1"/>
  <c r="J141" i="6"/>
  <c r="K141" i="6" s="1"/>
  <c r="J142" i="6"/>
  <c r="K142" i="6" s="1"/>
  <c r="J143" i="6"/>
  <c r="K143" i="6" s="1"/>
  <c r="J144" i="6"/>
  <c r="K144" i="6" s="1"/>
  <c r="J145" i="6"/>
  <c r="K145" i="6" s="1"/>
  <c r="J146" i="6"/>
  <c r="K146" i="6" s="1"/>
  <c r="J147" i="6"/>
  <c r="K147" i="6" s="1"/>
  <c r="J148" i="6"/>
  <c r="K148" i="6" s="1"/>
  <c r="J149" i="6"/>
  <c r="K149" i="6" s="1"/>
  <c r="J150" i="6"/>
  <c r="K150" i="6" s="1"/>
  <c r="J151" i="6"/>
  <c r="K151" i="6" s="1"/>
  <c r="J152" i="6"/>
  <c r="K152" i="6" s="1"/>
  <c r="J153" i="6"/>
  <c r="K153" i="6" s="1"/>
  <c r="J154" i="6"/>
  <c r="K154" i="6" s="1"/>
  <c r="J113" i="6"/>
  <c r="K113" i="6" s="1"/>
  <c r="J155" i="6"/>
  <c r="K155" i="6" s="1"/>
  <c r="J156" i="6"/>
  <c r="K156" i="6" s="1"/>
  <c r="J157" i="6"/>
  <c r="K157" i="6" s="1"/>
  <c r="J158" i="6"/>
  <c r="K158" i="6" s="1"/>
  <c r="J159" i="6"/>
  <c r="K159" i="6" s="1"/>
  <c r="J160" i="6"/>
  <c r="K160" i="6" s="1"/>
  <c r="J161" i="6"/>
  <c r="K161" i="6" s="1"/>
  <c r="J162" i="6"/>
  <c r="K162" i="6" s="1"/>
  <c r="J163" i="6"/>
  <c r="K163" i="6" s="1"/>
  <c r="J164" i="6"/>
  <c r="K164" i="6" s="1"/>
  <c r="J165" i="6"/>
  <c r="K165" i="6" s="1"/>
  <c r="J166" i="6"/>
  <c r="K166" i="6" s="1"/>
  <c r="J167" i="6"/>
  <c r="K167" i="6" s="1"/>
  <c r="J168" i="6"/>
  <c r="K168" i="6" s="1"/>
  <c r="J169" i="6"/>
  <c r="K169" i="6" s="1"/>
  <c r="J170" i="6"/>
  <c r="K170" i="6" s="1"/>
  <c r="J171" i="6"/>
  <c r="K171" i="6" s="1"/>
  <c r="J172" i="6"/>
  <c r="K172" i="6" s="1"/>
  <c r="J173" i="6"/>
  <c r="K173" i="6" s="1"/>
  <c r="J174" i="6"/>
  <c r="K174" i="6" s="1"/>
  <c r="J175" i="6"/>
  <c r="K175" i="6" s="1"/>
  <c r="J176" i="6"/>
  <c r="K176" i="6" s="1"/>
  <c r="J177" i="6"/>
  <c r="K177" i="6" s="1"/>
  <c r="J178" i="6"/>
  <c r="K178" i="6" s="1"/>
  <c r="J179" i="6"/>
  <c r="K179" i="6" s="1"/>
  <c r="J180" i="6"/>
  <c r="K180" i="6" s="1"/>
  <c r="J181" i="6"/>
  <c r="K181" i="6" s="1"/>
  <c r="J182" i="6"/>
  <c r="K182" i="6" s="1"/>
  <c r="J183" i="6"/>
  <c r="K183" i="6" s="1"/>
  <c r="J184" i="6"/>
  <c r="K184" i="6" s="1"/>
  <c r="J185" i="6"/>
  <c r="K185" i="6" s="1"/>
  <c r="J186" i="6"/>
  <c r="K186" i="6" s="1"/>
  <c r="J187" i="6"/>
  <c r="K187" i="6" s="1"/>
  <c r="J188" i="6"/>
  <c r="K188" i="6" s="1"/>
  <c r="J189" i="6"/>
  <c r="K189" i="6" s="1"/>
  <c r="J190" i="6"/>
  <c r="K190" i="6" s="1"/>
  <c r="J191" i="6"/>
  <c r="K191" i="6" s="1"/>
  <c r="J442" i="6"/>
  <c r="K442" i="6" s="1"/>
  <c r="J192" i="6"/>
  <c r="K192" i="6" s="1"/>
  <c r="J193" i="6"/>
  <c r="K193" i="6" s="1"/>
  <c r="J194" i="6"/>
  <c r="K194" i="6" s="1"/>
  <c r="J195" i="6"/>
  <c r="K195" i="6" s="1"/>
  <c r="J196" i="6"/>
  <c r="K196" i="6" s="1"/>
  <c r="J197" i="6"/>
  <c r="K197" i="6" s="1"/>
  <c r="J198" i="6"/>
  <c r="K198" i="6" s="1"/>
  <c r="J199" i="6"/>
  <c r="K199" i="6" s="1"/>
  <c r="J200" i="6"/>
  <c r="K200" i="6" s="1"/>
  <c r="J201" i="6"/>
  <c r="K201" i="6" s="1"/>
  <c r="J202" i="6"/>
  <c r="K202" i="6" s="1"/>
  <c r="J203" i="6"/>
  <c r="K203" i="6" s="1"/>
  <c r="J495" i="6"/>
  <c r="K495" i="6" s="1"/>
  <c r="J204" i="6"/>
  <c r="K204" i="6" s="1"/>
  <c r="J205" i="6"/>
  <c r="K205" i="6" s="1"/>
  <c r="J206" i="6"/>
  <c r="K206" i="6" s="1"/>
  <c r="J207" i="6"/>
  <c r="K207" i="6" s="1"/>
  <c r="J208" i="6"/>
  <c r="K208" i="6" s="1"/>
  <c r="J209" i="6"/>
  <c r="K209" i="6" s="1"/>
  <c r="J210" i="6"/>
  <c r="K210" i="6" s="1"/>
  <c r="J211" i="6"/>
  <c r="K211" i="6" s="1"/>
  <c r="J212" i="6"/>
  <c r="K212" i="6" s="1"/>
  <c r="J213" i="6"/>
  <c r="K213" i="6" s="1"/>
  <c r="J214" i="6"/>
  <c r="K214" i="6" s="1"/>
  <c r="J215" i="6"/>
  <c r="K215" i="6" s="1"/>
  <c r="J216" i="6"/>
  <c r="K216" i="6" s="1"/>
  <c r="J217" i="6"/>
  <c r="K217" i="6" s="1"/>
  <c r="J218" i="6"/>
  <c r="K218" i="6" s="1"/>
  <c r="J219" i="6"/>
  <c r="K219" i="6" s="1"/>
  <c r="J220" i="6"/>
  <c r="K220" i="6" s="1"/>
  <c r="J221" i="6"/>
  <c r="K221" i="6" s="1"/>
  <c r="J222" i="6"/>
  <c r="K222" i="6" s="1"/>
  <c r="J223" i="6"/>
  <c r="K223" i="6" s="1"/>
  <c r="J224" i="6"/>
  <c r="K224" i="6" s="1"/>
  <c r="J225" i="6"/>
  <c r="K225" i="6" s="1"/>
  <c r="J226" i="6"/>
  <c r="K226" i="6" s="1"/>
  <c r="J227" i="6"/>
  <c r="K227" i="6" s="1"/>
  <c r="J228" i="6"/>
  <c r="K228" i="6" s="1"/>
  <c r="J229" i="6"/>
  <c r="K229" i="6" s="1"/>
  <c r="J230" i="6"/>
  <c r="K230" i="6" s="1"/>
  <c r="J231" i="6"/>
  <c r="K231" i="6" s="1"/>
  <c r="J232" i="6"/>
  <c r="K232" i="6" s="1"/>
  <c r="J233" i="6"/>
  <c r="K233" i="6" s="1"/>
  <c r="J234" i="6"/>
  <c r="K234" i="6" s="1"/>
  <c r="J235" i="6"/>
  <c r="K235" i="6" s="1"/>
  <c r="J236" i="6"/>
  <c r="K236" i="6" s="1"/>
  <c r="J237" i="6"/>
  <c r="K237" i="6" s="1"/>
  <c r="J238" i="6"/>
  <c r="K238" i="6" s="1"/>
  <c r="J239" i="6"/>
  <c r="K239" i="6" s="1"/>
  <c r="J240" i="6"/>
  <c r="K240" i="6" s="1"/>
  <c r="J241" i="6"/>
  <c r="K241" i="6" s="1"/>
  <c r="J242" i="6"/>
  <c r="K242" i="6" s="1"/>
  <c r="J243" i="6"/>
  <c r="K243" i="6" s="1"/>
  <c r="J244" i="6"/>
  <c r="K244" i="6" s="1"/>
  <c r="J245" i="6"/>
  <c r="K245" i="6" s="1"/>
  <c r="J246" i="6"/>
  <c r="K246" i="6" s="1"/>
  <c r="J247" i="6"/>
  <c r="K247" i="6" s="1"/>
  <c r="J248" i="6"/>
  <c r="K248" i="6" s="1"/>
  <c r="J249" i="6"/>
  <c r="K249" i="6" s="1"/>
  <c r="J250" i="6"/>
  <c r="K250" i="6" s="1"/>
  <c r="J251" i="6"/>
  <c r="K251" i="6" s="1"/>
  <c r="J252" i="6"/>
  <c r="K252" i="6" s="1"/>
  <c r="J253" i="6"/>
  <c r="K253" i="6" s="1"/>
  <c r="J254" i="6"/>
  <c r="K254" i="6" s="1"/>
  <c r="J255" i="6"/>
  <c r="K255" i="6" s="1"/>
  <c r="J256" i="6"/>
  <c r="K256" i="6" s="1"/>
  <c r="J257" i="6"/>
  <c r="K257" i="6" s="1"/>
  <c r="J258" i="6"/>
  <c r="K258" i="6" s="1"/>
  <c r="J259" i="6"/>
  <c r="K259" i="6" s="1"/>
  <c r="J260" i="6"/>
  <c r="K260" i="6" s="1"/>
  <c r="J261" i="6"/>
  <c r="K261" i="6" s="1"/>
  <c r="J262" i="6"/>
  <c r="K262" i="6" s="1"/>
  <c r="J263" i="6"/>
  <c r="K263" i="6" s="1"/>
  <c r="J264" i="6"/>
  <c r="K264" i="6" s="1"/>
  <c r="J265" i="6"/>
  <c r="K265" i="6" s="1"/>
  <c r="J266" i="6"/>
  <c r="K266" i="6" s="1"/>
  <c r="J267" i="6"/>
  <c r="K267" i="6" s="1"/>
  <c r="J268" i="6"/>
  <c r="K268" i="6" s="1"/>
  <c r="J269" i="6"/>
  <c r="K269" i="6" s="1"/>
  <c r="J270" i="6"/>
  <c r="K270" i="6" s="1"/>
  <c r="J271" i="6"/>
  <c r="K271" i="6" s="1"/>
  <c r="J272" i="6"/>
  <c r="K272" i="6" s="1"/>
  <c r="J273" i="6"/>
  <c r="K273" i="6" s="1"/>
  <c r="J274" i="6"/>
  <c r="K274" i="6" s="1"/>
  <c r="J275" i="6"/>
  <c r="K275" i="6" s="1"/>
  <c r="J276" i="6"/>
  <c r="K276" i="6" s="1"/>
  <c r="J277" i="6"/>
  <c r="K277" i="6" s="1"/>
  <c r="J278" i="6"/>
  <c r="K278" i="6" s="1"/>
  <c r="J279" i="6"/>
  <c r="K279" i="6" s="1"/>
  <c r="J280" i="6"/>
  <c r="K280" i="6" s="1"/>
  <c r="J496" i="6"/>
  <c r="K496" i="6" s="1"/>
  <c r="J281" i="6"/>
  <c r="K281" i="6" s="1"/>
  <c r="J282" i="6"/>
  <c r="K282" i="6" s="1"/>
  <c r="J283" i="6"/>
  <c r="K283" i="6" s="1"/>
  <c r="J284" i="6"/>
  <c r="K284" i="6" s="1"/>
  <c r="J285" i="6"/>
  <c r="K285" i="6" s="1"/>
  <c r="J286" i="6"/>
  <c r="K286" i="6" s="1"/>
  <c r="J287" i="6"/>
  <c r="K287" i="6" s="1"/>
  <c r="J288" i="6"/>
  <c r="K288" i="6" s="1"/>
  <c r="J289" i="6"/>
  <c r="K289" i="6" s="1"/>
  <c r="J290" i="6"/>
  <c r="K290" i="6" s="1"/>
  <c r="J291" i="6"/>
  <c r="K291" i="6" s="1"/>
  <c r="J292" i="6"/>
  <c r="K292" i="6" s="1"/>
  <c r="J293" i="6"/>
  <c r="K293" i="6" s="1"/>
  <c r="J294" i="6"/>
  <c r="K294" i="6" s="1"/>
  <c r="J295" i="6"/>
  <c r="K295" i="6" s="1"/>
  <c r="J296" i="6"/>
  <c r="K296" i="6" s="1"/>
  <c r="J297" i="6"/>
  <c r="K297" i="6" s="1"/>
  <c r="J298" i="6"/>
  <c r="K298" i="6" s="1"/>
  <c r="J299" i="6"/>
  <c r="K299" i="6" s="1"/>
  <c r="J300" i="6"/>
  <c r="K300" i="6" s="1"/>
  <c r="J301" i="6"/>
  <c r="K301" i="6" s="1"/>
  <c r="J302" i="6"/>
  <c r="K302" i="6" s="1"/>
  <c r="J303" i="6"/>
  <c r="K303" i="6" s="1"/>
  <c r="J304" i="6"/>
  <c r="K304" i="6" s="1"/>
  <c r="J305" i="6"/>
  <c r="K305" i="6" s="1"/>
  <c r="J306" i="6"/>
  <c r="K306" i="6" s="1"/>
  <c r="J307" i="6"/>
  <c r="K307" i="6" s="1"/>
  <c r="J308" i="6"/>
  <c r="K308" i="6" s="1"/>
  <c r="J309" i="6"/>
  <c r="K309" i="6" s="1"/>
  <c r="J310" i="6"/>
  <c r="K310" i="6" s="1"/>
  <c r="J311" i="6"/>
  <c r="K311" i="6" s="1"/>
  <c r="J312" i="6"/>
  <c r="K312" i="6" s="1"/>
  <c r="J313" i="6"/>
  <c r="K313" i="6" s="1"/>
  <c r="J314" i="6"/>
  <c r="K314" i="6" s="1"/>
  <c r="J315" i="6"/>
  <c r="K315" i="6" s="1"/>
  <c r="J316" i="6"/>
  <c r="K316" i="6" s="1"/>
  <c r="J317" i="6"/>
  <c r="K317" i="6" s="1"/>
  <c r="K24" i="6" l="1"/>
  <c r="J10" i="6"/>
  <c r="J12" i="6" s="1"/>
  <c r="K392" i="6"/>
  <c r="J53" i="6"/>
  <c r="K53" i="6" s="1"/>
  <c r="J25" i="6" l="1"/>
  <c r="J34" i="6"/>
  <c r="K34" i="6" s="1"/>
  <c r="J37" i="6"/>
  <c r="K37" i="6" s="1"/>
  <c r="J38" i="6"/>
  <c r="K38" i="6" s="1"/>
  <c r="J29" i="6"/>
  <c r="K29" i="6" s="1"/>
  <c r="J39" i="6"/>
  <c r="K39" i="6" s="1"/>
  <c r="J33" i="6"/>
  <c r="K33" i="6" s="1"/>
  <c r="J31" i="6"/>
  <c r="K25" i="6" l="1"/>
  <c r="J9" i="6"/>
  <c r="J11" i="6" s="1"/>
  <c r="J13" i="6" s="1"/>
  <c r="K31" i="6"/>
</calcChain>
</file>

<file path=xl/sharedStrings.xml><?xml version="1.0" encoding="utf-8"?>
<sst xmlns="http://schemas.openxmlformats.org/spreadsheetml/2006/main" count="10008" uniqueCount="4457">
  <si>
    <t>Calle Mabel Alicia de Risler 91 y</t>
  </si>
  <si>
    <t>Ntra. Sra. De los Milagros - Bº Guiñazu.</t>
  </si>
  <si>
    <t xml:space="preserve">Altura Av. Juan B. Justo 9300 </t>
  </si>
  <si>
    <t>Córdoba. Capital.</t>
  </si>
  <si>
    <t xml:space="preserve">CODIGO CLIENTE </t>
  </si>
  <si>
    <t>COD</t>
  </si>
  <si>
    <t>FAMILIA</t>
  </si>
  <si>
    <t>PRODUCTO</t>
  </si>
  <si>
    <t>DESCRIPCION ADICIONAL</t>
  </si>
  <si>
    <t>PINZA UNIVERSAL INDUSTRIAL</t>
  </si>
  <si>
    <t>160mm,6"</t>
  </si>
  <si>
    <t>180mm,7"</t>
  </si>
  <si>
    <t>200mm,8"</t>
  </si>
  <si>
    <t>ALICATE DE CORTE DIAGONAL IND</t>
  </si>
  <si>
    <t>PINZA DE PUNTA MEDIA CAÑA IND</t>
  </si>
  <si>
    <t>PINZA PUNTA 1/2 CAÑA CURVA IND</t>
  </si>
  <si>
    <t>PINZA P/MOLDURA PELACABLE IND</t>
  </si>
  <si>
    <t>250mm,10"</t>
  </si>
  <si>
    <t>MINI PINZA UNIVERSAL</t>
  </si>
  <si>
    <t>115mm,4.5"</t>
  </si>
  <si>
    <t>MINI PINZA DE PUNTA MEDIA CAÑA</t>
  </si>
  <si>
    <t>MINI ALICATE DE CORTE DIAGONAL</t>
  </si>
  <si>
    <t>JUEGO DE MINI PINZAS- 3PIEZAS</t>
  </si>
  <si>
    <t>230mm,9"</t>
  </si>
  <si>
    <t>TENAZA INDUSTRIAL</t>
  </si>
  <si>
    <t>TENAZA CARPINTERO INDUSTRIAL</t>
  </si>
  <si>
    <t>PINZA PRESION MORDAZA RECT IND</t>
  </si>
  <si>
    <t>PINZA PRESION MORDAZA CURV IND</t>
  </si>
  <si>
    <t>PINZA DE PRESION MORDAZA CURVA</t>
  </si>
  <si>
    <t>PINZA PRESION MORDAZA LARG IND</t>
  </si>
  <si>
    <t>PINZA PRESION CHAPISTA IND</t>
  </si>
  <si>
    <t>280mm,11"</t>
  </si>
  <si>
    <t>ALICATE CORTAPERNOS IND</t>
  </si>
  <si>
    <t>300mm,12"</t>
  </si>
  <si>
    <t>350mm,14"</t>
  </si>
  <si>
    <t>450mm,18"</t>
  </si>
  <si>
    <t>600mm,24"</t>
  </si>
  <si>
    <t>750mm,30"</t>
  </si>
  <si>
    <t>900mm,36"</t>
  </si>
  <si>
    <t>MINI CORTA PERNOS</t>
  </si>
  <si>
    <t>LLAVE P/CAÑO TIP AMERICANA IND</t>
  </si>
  <si>
    <t>JUEGO DE PINZAS SEEGER</t>
  </si>
  <si>
    <t>JUEGO DE PINZAS 4 EN 1</t>
  </si>
  <si>
    <t>PINZA SACABOCADO</t>
  </si>
  <si>
    <t>220mm,9"</t>
  </si>
  <si>
    <t>100mm,4"</t>
  </si>
  <si>
    <t>125mm,5"</t>
  </si>
  <si>
    <t>150mm,6"</t>
  </si>
  <si>
    <t>MORSA DE MESA HOBBISTA</t>
  </si>
  <si>
    <t>50mm,2"</t>
  </si>
  <si>
    <t>PRENSA TIPO G</t>
  </si>
  <si>
    <t>75mm,3"</t>
  </si>
  <si>
    <t>PRENSA TIPO F P/CARPINTERO IND</t>
  </si>
  <si>
    <t>50X150mm</t>
  </si>
  <si>
    <t>50X250mm</t>
  </si>
  <si>
    <t>120X300mm</t>
  </si>
  <si>
    <t>120X500mm</t>
  </si>
  <si>
    <t>120X800mm</t>
  </si>
  <si>
    <t>120X1000mm</t>
  </si>
  <si>
    <t>PRENSA TIP F LIBERACION RAPIDA</t>
  </si>
  <si>
    <t>PRENSA ESQUINA</t>
  </si>
  <si>
    <t>LLAVE PARA CAÑO 90º INDUSTRIAL</t>
  </si>
  <si>
    <t>1"</t>
  </si>
  <si>
    <t>1.5"</t>
  </si>
  <si>
    <t>2"</t>
  </si>
  <si>
    <t>3"</t>
  </si>
  <si>
    <t>LLAVE PARA CAÑO 45º INDUSTRIAL</t>
  </si>
  <si>
    <t>ALICATE ESGRIMA</t>
  </si>
  <si>
    <t>PINZA CORTE ALTO APALANCAM IND</t>
  </si>
  <si>
    <t>240mm,9.5"</t>
  </si>
  <si>
    <t>PINZA COMBINACION TIPO FORD</t>
  </si>
  <si>
    <t>PINZA PICO DE LORO CURVO IND</t>
  </si>
  <si>
    <t>10"</t>
  </si>
  <si>
    <t>12"</t>
  </si>
  <si>
    <t>SET DE PINZAS-3 PIEZAS IND</t>
  </si>
  <si>
    <t>HERRAMIENTAS MECANICAS</t>
  </si>
  <si>
    <t>LLAVE AJUSTABLE</t>
  </si>
  <si>
    <t>375mm,15"</t>
  </si>
  <si>
    <t>14"17x19x21x23mm</t>
  </si>
  <si>
    <t>LLAVE ACODADA</t>
  </si>
  <si>
    <t>8mm</t>
  </si>
  <si>
    <t>10mm</t>
  </si>
  <si>
    <t>12mm</t>
  </si>
  <si>
    <t>13mm</t>
  </si>
  <si>
    <t>14mm</t>
  </si>
  <si>
    <t>17mm</t>
  </si>
  <si>
    <t>19mm</t>
  </si>
  <si>
    <t>8X180X280mm</t>
  </si>
  <si>
    <t>9x180x280mm</t>
  </si>
  <si>
    <t>10x180x280mm</t>
  </si>
  <si>
    <t>12x180x280mm</t>
  </si>
  <si>
    <t>13x180x280mm</t>
  </si>
  <si>
    <t>14x180x280mm</t>
  </si>
  <si>
    <t>17x180x280mm</t>
  </si>
  <si>
    <t>19x180x280mm</t>
  </si>
  <si>
    <t>LLAVE CRIQUE CON EXPULSOR IND</t>
  </si>
  <si>
    <t>1/4"</t>
  </si>
  <si>
    <t>3/8"</t>
  </si>
  <si>
    <t>1/2"</t>
  </si>
  <si>
    <t>BARRA DE EXTENSION INDUSTRIAL</t>
  </si>
  <si>
    <t>1/4"x50mm(2")</t>
  </si>
  <si>
    <t>1/4"x100mm(4")</t>
  </si>
  <si>
    <t>3/8"x75mm(3")</t>
  </si>
  <si>
    <t>3/8"x150mm(6")</t>
  </si>
  <si>
    <t>1/2"x125mm(5")</t>
  </si>
  <si>
    <t>1/2"x250mm(10")</t>
  </si>
  <si>
    <t>MANGO DESLIZANTE T</t>
  </si>
  <si>
    <t>1/4"x115mm(4.5")</t>
  </si>
  <si>
    <t>3/8"x160mm(6")</t>
  </si>
  <si>
    <t>MOVIMIENTO UNIVERSAL IND</t>
  </si>
  <si>
    <t>1/4"x40mm</t>
  </si>
  <si>
    <t>3/8"x56mm</t>
  </si>
  <si>
    <t>1/2"x75mm</t>
  </si>
  <si>
    <t>JGO BOCALLAVE 1/4" 46 PZAS IND</t>
  </si>
  <si>
    <t>JGO BOCALLAVE 1/2" 22 PZAS IND</t>
  </si>
  <si>
    <t>JGO BOCALLAVE 1/2" 24 PZAS IND</t>
  </si>
  <si>
    <t>JGO BOCALLAVE 1/4" 14 PZAS IND</t>
  </si>
  <si>
    <t>JGO BOCALLAVE 3/8" 12 PZAS IND</t>
  </si>
  <si>
    <t>JGO BOCALLAVE 1/2" 12 PZAS IND</t>
  </si>
  <si>
    <t>LLAVE COMB. CON CRIQUE METRICA</t>
  </si>
  <si>
    <t>9mm</t>
  </si>
  <si>
    <t>11mm</t>
  </si>
  <si>
    <t>15mm</t>
  </si>
  <si>
    <t>16mm</t>
  </si>
  <si>
    <t>18mm</t>
  </si>
  <si>
    <t>20mm</t>
  </si>
  <si>
    <t>21mm</t>
  </si>
  <si>
    <t>22mm</t>
  </si>
  <si>
    <t>23mm</t>
  </si>
  <si>
    <t>24mm</t>
  </si>
  <si>
    <t>25mm</t>
  </si>
  <si>
    <t>27mm</t>
  </si>
  <si>
    <t>30mm</t>
  </si>
  <si>
    <t>32mm</t>
  </si>
  <si>
    <t>JGOLLAVE COMB C/CRIQ MET 7PZAS</t>
  </si>
  <si>
    <t>8,10,12,13,17,19 mm</t>
  </si>
  <si>
    <t>LLAVE COMB C/CRIQUE ARTICU MET</t>
  </si>
  <si>
    <t>JGOLLAVECOMB C/CRIQ ARTICU MET</t>
  </si>
  <si>
    <t>RANGO 8-19mm (7PZAS)</t>
  </si>
  <si>
    <t>MINI LLAVE AJUSTABLE IND</t>
  </si>
  <si>
    <t>165mm,6.5"</t>
  </si>
  <si>
    <t>JGO DE LLAVE UNIVERSAL 2 PZAS</t>
  </si>
  <si>
    <t>9-32mm</t>
  </si>
  <si>
    <t>JGO B/LLAVE 65PZA MET PULG IND</t>
  </si>
  <si>
    <t>1/4",3/8",1/2"</t>
  </si>
  <si>
    <t>5/16"</t>
  </si>
  <si>
    <t>7/16"</t>
  </si>
  <si>
    <t>9/16"</t>
  </si>
  <si>
    <t>5/8"</t>
  </si>
  <si>
    <t>11/16"</t>
  </si>
  <si>
    <t>3/4"</t>
  </si>
  <si>
    <t>13/16"</t>
  </si>
  <si>
    <t>7/8"</t>
  </si>
  <si>
    <t>BOCALLAVE PARA BUJIAS IND</t>
  </si>
  <si>
    <t>3/8"x5/8"</t>
  </si>
  <si>
    <t>3/8"x13/16"</t>
  </si>
  <si>
    <t>1/2"x5/8"</t>
  </si>
  <si>
    <t>1/2"x13/16"</t>
  </si>
  <si>
    <t>BOCALLAVE PUNTA HEXAGONAL</t>
  </si>
  <si>
    <t>1/2"x3/16"</t>
  </si>
  <si>
    <t>1/2"x1/4"</t>
  </si>
  <si>
    <t>1/2"x5/16"</t>
  </si>
  <si>
    <t>1/2"x3/8"</t>
  </si>
  <si>
    <t>1/2"x1/2"</t>
  </si>
  <si>
    <t>TORQUIMETRO INDUSTRIAL</t>
  </si>
  <si>
    <t>B/LLAVE HEXA ENCAST1/2 MET IND</t>
  </si>
  <si>
    <t>B/LLAVEHEXA ENCAST1/2 PULG IND</t>
  </si>
  <si>
    <t>15/16"</t>
  </si>
  <si>
    <t>1-1/8"</t>
  </si>
  <si>
    <t>1-3/16"</t>
  </si>
  <si>
    <t>1-1/4"</t>
  </si>
  <si>
    <t>B/LLAVEHEX LARGA 1/2 MET IND</t>
  </si>
  <si>
    <t>8x9mm</t>
  </si>
  <si>
    <t>10x11mm</t>
  </si>
  <si>
    <t>12x13mm</t>
  </si>
  <si>
    <t>14x15mm</t>
  </si>
  <si>
    <t>16x18mm</t>
  </si>
  <si>
    <t>17x19mm</t>
  </si>
  <si>
    <t>HERRAMIENTAS DE FIJACION</t>
  </si>
  <si>
    <t>3.0x75mm</t>
  </si>
  <si>
    <t>4.0x100mm</t>
  </si>
  <si>
    <t>5.5x100mm</t>
  </si>
  <si>
    <t>6.5x150mm</t>
  </si>
  <si>
    <t>8.0x150mm</t>
  </si>
  <si>
    <t>PH0x75mm</t>
  </si>
  <si>
    <t>PH1x100mm</t>
  </si>
  <si>
    <t>PH2x150mm</t>
  </si>
  <si>
    <t>PH3x150mm</t>
  </si>
  <si>
    <t>DESTORNILLADOR PLANO</t>
  </si>
  <si>
    <t>5.0x100mm</t>
  </si>
  <si>
    <t>JGO DESTOR. PRECISION 6 PZAS</t>
  </si>
  <si>
    <t>1,4-2,2-2,4-3,0PH0/1</t>
  </si>
  <si>
    <t>MAGNETIZADOR/DESMAGNETIZADOR</t>
  </si>
  <si>
    <t>DESTOR. C/ PUNTAS MIXTA 7 EN 1</t>
  </si>
  <si>
    <t>JUEGO DE PUNTAS 26 PIEZAS</t>
  </si>
  <si>
    <t>JGO DE PUNTAS Y TUBOS 38 PZAS</t>
  </si>
  <si>
    <t>DESTOR. FLEX C/PUN MIXTA 14EN1</t>
  </si>
  <si>
    <t>JGO DE PUNTAS Y TUBOS 42 PZAS</t>
  </si>
  <si>
    <t>JGO LLAVES ALLEN HEXA C/ANILLO</t>
  </si>
  <si>
    <t>RANGO 1.5-10mm</t>
  </si>
  <si>
    <t>RANGO T10-T50 (9PZA)</t>
  </si>
  <si>
    <t>RANGO1.5- 8mm</t>
  </si>
  <si>
    <t>RANGO T9-T40</t>
  </si>
  <si>
    <t>JUEGO LLAVES TIPO T TORX 8PZAS</t>
  </si>
  <si>
    <t>RANGO T10-T50</t>
  </si>
  <si>
    <t>JGOLLAVEHEX C/MGO TIPO T 8PZAS</t>
  </si>
  <si>
    <t>RANGO H2.0 - H10.0</t>
  </si>
  <si>
    <t>RANGO 0.05-3/8 13PZA</t>
  </si>
  <si>
    <t>JGOL/ALLEN HEX PULG MET 36PZA</t>
  </si>
  <si>
    <t>DESTOR. PLANO DE IMPACTO</t>
  </si>
  <si>
    <t>1.0x5.5x75mm</t>
  </si>
  <si>
    <t>1.0x5.5x100mm</t>
  </si>
  <si>
    <t>1.2x6.5x100mm</t>
  </si>
  <si>
    <t>1.2x6.5x150mm</t>
  </si>
  <si>
    <t>1.6x8x150mm</t>
  </si>
  <si>
    <t>1.6x10x200mm</t>
  </si>
  <si>
    <t>DESTOR. PHILLIPS DE IMPACTO</t>
  </si>
  <si>
    <t>PH1x75mm</t>
  </si>
  <si>
    <t>PH2x100mm</t>
  </si>
  <si>
    <t>PH4x200mm</t>
  </si>
  <si>
    <t>5.5x38mm</t>
  </si>
  <si>
    <t>6.5x38mm</t>
  </si>
  <si>
    <t>DESTORNILLADOR PHILLIPS CORTO</t>
  </si>
  <si>
    <t>PH1x38mm</t>
  </si>
  <si>
    <t>PH2x38mm</t>
  </si>
  <si>
    <t>DESTOR. PLANO DE IMPACTO CORTO</t>
  </si>
  <si>
    <t>1.2x6x38mm</t>
  </si>
  <si>
    <t>DESTOR. PH DE IMPACTO CORTO</t>
  </si>
  <si>
    <t>6.5x100mm</t>
  </si>
  <si>
    <t>DESTORNILLADOR TORX</t>
  </si>
  <si>
    <t>T5x3.0x75mm</t>
  </si>
  <si>
    <t>T6x3.0x75mm</t>
  </si>
  <si>
    <t>T7x3.0x75mm</t>
  </si>
  <si>
    <t>T8x3.0x75mm</t>
  </si>
  <si>
    <t>T9x3.0x75mm</t>
  </si>
  <si>
    <t>T10x3.0x75mm</t>
  </si>
  <si>
    <t>T15x3.5x100mm</t>
  </si>
  <si>
    <t>T20x4.0x100mm</t>
  </si>
  <si>
    <t>T25x4.5x100mm</t>
  </si>
  <si>
    <t>T27x5.0x100mm</t>
  </si>
  <si>
    <t>T30x5.5x125mm</t>
  </si>
  <si>
    <t>T40x7.0x125mm</t>
  </si>
  <si>
    <t>JUEGO DE DESTOR. 4 PIEZAS</t>
  </si>
  <si>
    <t>6.5/PZ1/PZ2/S2x100</t>
  </si>
  <si>
    <t>JUEGO DE DESTOR. CORTOS 2 PZAS</t>
  </si>
  <si>
    <t>6.5x38mm  PH2x38mm</t>
  </si>
  <si>
    <t>JUEGO DE DESTOR. 2 PIEZAS</t>
  </si>
  <si>
    <t>6.5x100mm  PH2x100mm</t>
  </si>
  <si>
    <t>PUNTAS PLANAS 2 PIEZAS IND</t>
  </si>
  <si>
    <t>SLO.6x4.5x25mm</t>
  </si>
  <si>
    <t>SLO.8x5.5x25mm</t>
  </si>
  <si>
    <t>PUNTAS PHILLIPS 2 PIEZAS IND</t>
  </si>
  <si>
    <t>PH2x25mm</t>
  </si>
  <si>
    <t>PUNTAS POZI DRIVE 2 PIEZAS IND</t>
  </si>
  <si>
    <t>PZ2x25mm</t>
  </si>
  <si>
    <t>PUNTAS PHILLIPS 5 PIEZAS IND</t>
  </si>
  <si>
    <t>PUNTAS POZI DRIVE 5 PIEZAS IND</t>
  </si>
  <si>
    <t>PUNTAS PLANAS 5 PIEZAS IND</t>
  </si>
  <si>
    <t>RANGO SL3.0/6.5x25mm</t>
  </si>
  <si>
    <t>RANGO PH0/PH3x25mm</t>
  </si>
  <si>
    <t>SL0.6x4.5x50mm</t>
  </si>
  <si>
    <t>SL0.8x5.5x50mm</t>
  </si>
  <si>
    <t>PH2x50mm</t>
  </si>
  <si>
    <t>PZ2x50mm</t>
  </si>
  <si>
    <t>PUNTAS PHILLIPS 10 PIEZAS IND</t>
  </si>
  <si>
    <t>PH2/PH2x65mm</t>
  </si>
  <si>
    <t>PUNTAS PH Y PLANAS 10 PZAS IND</t>
  </si>
  <si>
    <t>PH2/SL5.5x65mm</t>
  </si>
  <si>
    <t>JGO DE PUNTA C/SUJETADOR 32PZA</t>
  </si>
  <si>
    <t>HERRAMIENTAS DE GOLPE</t>
  </si>
  <si>
    <t>200g</t>
  </si>
  <si>
    <t>300g</t>
  </si>
  <si>
    <t>500g</t>
  </si>
  <si>
    <t>1000g</t>
  </si>
  <si>
    <t>1500g</t>
  </si>
  <si>
    <t>2000g</t>
  </si>
  <si>
    <t>5kgs</t>
  </si>
  <si>
    <t>16oz-455g</t>
  </si>
  <si>
    <t>32oz-900g</t>
  </si>
  <si>
    <t>MARTILLO TIPO GALPONERO</t>
  </si>
  <si>
    <t>8oz-225g</t>
  </si>
  <si>
    <t>16oz-450g</t>
  </si>
  <si>
    <t>20oz-567g</t>
  </si>
  <si>
    <t>225g-8oz</t>
  </si>
  <si>
    <t>450g-16oz</t>
  </si>
  <si>
    <t>675g-24oz</t>
  </si>
  <si>
    <t>900g-32oz</t>
  </si>
  <si>
    <t>MAZA DE GOLPE SECO PVC</t>
  </si>
  <si>
    <t>900g/2LBS</t>
  </si>
  <si>
    <t>MARTILLO CABEZA DE PVC</t>
  </si>
  <si>
    <t>35mm</t>
  </si>
  <si>
    <t>900g</t>
  </si>
  <si>
    <t>1800g</t>
  </si>
  <si>
    <t>HACHA</t>
  </si>
  <si>
    <t>600g</t>
  </si>
  <si>
    <t>CINCEL PARA MADERA INDUSTRIAL</t>
  </si>
  <si>
    <t>6mm(1/4")</t>
  </si>
  <si>
    <t>10mm(3/8")</t>
  </si>
  <si>
    <t>13mm(1/2")</t>
  </si>
  <si>
    <t>16mm(5/8")</t>
  </si>
  <si>
    <t>19mm(3/4")</t>
  </si>
  <si>
    <t>22mm(7/8")</t>
  </si>
  <si>
    <t>25mm(1")</t>
  </si>
  <si>
    <t>32mm(1-1/4")</t>
  </si>
  <si>
    <t>38mm(1-1/2")</t>
  </si>
  <si>
    <t>51mm(2")</t>
  </si>
  <si>
    <t>4x16x250mm</t>
  </si>
  <si>
    <t>4x18x300mm</t>
  </si>
  <si>
    <t>22x16x250mm</t>
  </si>
  <si>
    <t>24x18x300mm</t>
  </si>
  <si>
    <t>JUEGO DE PUNTAS 6 PIEZAS IND</t>
  </si>
  <si>
    <t>1,5-3-4-5-6-8</t>
  </si>
  <si>
    <t>JUEGO DE PUNTAS 5 PIEZAS IND</t>
  </si>
  <si>
    <t>13/5/8/2/3x10x150mm</t>
  </si>
  <si>
    <t>JUEGO DE SACABOCADOS 9 PIEZAS</t>
  </si>
  <si>
    <t>RANGO  2.5 - 10mm</t>
  </si>
  <si>
    <t>JGO DE NUMEROS DE GOLPE 9 PZAS</t>
  </si>
  <si>
    <t>3mm</t>
  </si>
  <si>
    <t>6mm</t>
  </si>
  <si>
    <t>JGO DE LETRAS DE GOLPE 27 PZAS</t>
  </si>
  <si>
    <t>PALANCA</t>
  </si>
  <si>
    <t>600x16mm</t>
  </si>
  <si>
    <t>750x18mm</t>
  </si>
  <si>
    <t>375x35x6mm</t>
  </si>
  <si>
    <t>MARTILLO GALPONERO EST.BRITANC</t>
  </si>
  <si>
    <t>MARTILLO PARA TECHO INDUSTRIAL</t>
  </si>
  <si>
    <t>MARTILLO GALPO. FORJ 1PZA PREM</t>
  </si>
  <si>
    <t>PREMIUM-16oz-455g</t>
  </si>
  <si>
    <t>MARTILL P/TECHO FORJ 1PZA PREM</t>
  </si>
  <si>
    <t>PREMIUM-600g</t>
  </si>
  <si>
    <t>MARTILLO PARA CHAPISTA</t>
  </si>
  <si>
    <t>800g</t>
  </si>
  <si>
    <t>1250g</t>
  </si>
  <si>
    <t>HERRAMIENTAS PARA ELECTRICIDAD</t>
  </si>
  <si>
    <t>TIJERA ELECTRICISTA INDUSTRIAL</t>
  </si>
  <si>
    <t>140mm,5.5"</t>
  </si>
  <si>
    <t>LIMA PARA METAL CUADRADA</t>
  </si>
  <si>
    <t>150x50x25mm</t>
  </si>
  <si>
    <t>PIEDRA PARA AFILAR OVAL</t>
  </si>
  <si>
    <t>230x33x13mm</t>
  </si>
  <si>
    <t>JGO CEPILLOS DE ACERO 3 PZAS</t>
  </si>
  <si>
    <t>3 lineas</t>
  </si>
  <si>
    <t>CEPILLO DE ACERO</t>
  </si>
  <si>
    <t>4 lineas</t>
  </si>
  <si>
    <t>5 lineas</t>
  </si>
  <si>
    <t>CEPILLO DE BRONCE</t>
  </si>
  <si>
    <t>5.5x125mm</t>
  </si>
  <si>
    <t>PH1x80mm</t>
  </si>
  <si>
    <t>3,4/5.5/PH2/PH1/3</t>
  </si>
  <si>
    <t>3x140mm</t>
  </si>
  <si>
    <t>4x190mm</t>
  </si>
  <si>
    <t>JGODESTOR.1000V VDE 13PZAS IND</t>
  </si>
  <si>
    <t>PL,PH,PZ,TX,B/POLO</t>
  </si>
  <si>
    <t>CORTA CABLE</t>
  </si>
  <si>
    <t>CUCHILLO ELECTRICISTA IND</t>
  </si>
  <si>
    <t>205mm</t>
  </si>
  <si>
    <t>195mm</t>
  </si>
  <si>
    <t>PELACABLES AUTOMATICO IND</t>
  </si>
  <si>
    <t>200mm</t>
  </si>
  <si>
    <t>0.5-6mm2</t>
  </si>
  <si>
    <t>PELACABLES INDUSTRIAL</t>
  </si>
  <si>
    <t>PELACABLES-CRIMPEADORA IND</t>
  </si>
  <si>
    <t>215mm,8.5"</t>
  </si>
  <si>
    <t>185mm 7.3" 8P/6P</t>
  </si>
  <si>
    <t>220mm8.7 DIN0.5-6mm2</t>
  </si>
  <si>
    <t>REMACHADORA</t>
  </si>
  <si>
    <t>REMACHADORA INDUSTRIAL</t>
  </si>
  <si>
    <t>10.5"</t>
  </si>
  <si>
    <t>PISTOLA PARA SILICONA</t>
  </si>
  <si>
    <t>225mm,9"</t>
  </si>
  <si>
    <t>PISTOLA P/SILICONA PROFESI IND</t>
  </si>
  <si>
    <t>PIST P/SILICON P/TRABPESAD IND</t>
  </si>
  <si>
    <t>190mm,8"</t>
  </si>
  <si>
    <t>REMACHADORA POP FUELLE IND</t>
  </si>
  <si>
    <t>32"</t>
  </si>
  <si>
    <t>HERRAMIENTAS DE SOLDADURA</t>
  </si>
  <si>
    <t>25 LBS</t>
  </si>
  <si>
    <t>50 LBS</t>
  </si>
  <si>
    <t>75 LBS</t>
  </si>
  <si>
    <t>260mm-500A</t>
  </si>
  <si>
    <t>PINZA MAZA</t>
  </si>
  <si>
    <t>170mm-0.7mm-300A</t>
  </si>
  <si>
    <t>210mm-0.8mm-500A</t>
  </si>
  <si>
    <t>HERRAMIENTAS DE AUTOMOTOR</t>
  </si>
  <si>
    <t>TECLE PALANCA</t>
  </si>
  <si>
    <t>2 toneladas-5.0mmx3M</t>
  </si>
  <si>
    <t>EXTRACTOR DE POLEA 2 PATAS IND</t>
  </si>
  <si>
    <t>4"</t>
  </si>
  <si>
    <t>6"</t>
  </si>
  <si>
    <t>8"</t>
  </si>
  <si>
    <t>EXTRACTOR DE POLEA 3 PATAS IND</t>
  </si>
  <si>
    <t>ENGRASADORA NEUMATICA IND</t>
  </si>
  <si>
    <t>400cc</t>
  </si>
  <si>
    <t>8x300mm</t>
  </si>
  <si>
    <t>ENGRASADORA EN BARRIL</t>
  </si>
  <si>
    <t>16kg</t>
  </si>
  <si>
    <t>300ml</t>
  </si>
  <si>
    <t>500ml</t>
  </si>
  <si>
    <t>EMBUDO CON FILTRO</t>
  </si>
  <si>
    <t>145mm</t>
  </si>
  <si>
    <t>CAP:2ton-PESO2.35kgs</t>
  </si>
  <si>
    <t>CAP:6 ton-PESO3.7kgs</t>
  </si>
  <si>
    <t>JGOTRIPODE CABALLETEP/AUTO IND</t>
  </si>
  <si>
    <t>CAP:2 ton-PESO:5.1kg</t>
  </si>
  <si>
    <t>CAP:3 ton-PESO:6.6kg</t>
  </si>
  <si>
    <t>38x485mm</t>
  </si>
  <si>
    <t>ACCESORIOS HERRAMIENTAS ELECTRICAS</t>
  </si>
  <si>
    <t>DISCO DE CORTE RECTO</t>
  </si>
  <si>
    <t>180x1.6x22.2mm</t>
  </si>
  <si>
    <t>230x2.0x22.2mm</t>
  </si>
  <si>
    <t>115x1.0x22.2mm</t>
  </si>
  <si>
    <t>115x1.6x22.2mm</t>
  </si>
  <si>
    <t>180x3.0x22.2mm</t>
  </si>
  <si>
    <t>230x3.0x22.2mm</t>
  </si>
  <si>
    <t>115x6.0x22.2mm</t>
  </si>
  <si>
    <t>180x6.0x22.2mm</t>
  </si>
  <si>
    <t>230x6.0x22.2mm</t>
  </si>
  <si>
    <t>SIERRAS CIRCULARES</t>
  </si>
  <si>
    <t>115(41/2)x40Tx22.2mm</t>
  </si>
  <si>
    <t>185(7-1/4)x24Tx30mm</t>
  </si>
  <si>
    <t>185(7-1/4)x40Tx30mm</t>
  </si>
  <si>
    <t>DISCO CORTE DIAMAN SEGMENT IND</t>
  </si>
  <si>
    <t>115x22.2mm 4-1/2x7/8</t>
  </si>
  <si>
    <t xml:space="preserve">180x22.2mm 7"x7/8" </t>
  </si>
  <si>
    <t xml:space="preserve">230x22.2mm 9"x7/8" </t>
  </si>
  <si>
    <t>DISCO CORTE DIAMAN CONTINU IND</t>
  </si>
  <si>
    <t>DISCO CORTE DIAMANTA TURBO IND</t>
  </si>
  <si>
    <t>JGO DE PUNTAS MONTADAS 5 PZAS</t>
  </si>
  <si>
    <t>6x27mm</t>
  </si>
  <si>
    <t>GRANO:40#-115x22.2cm</t>
  </si>
  <si>
    <t>GRANO:60#115x22.2cm</t>
  </si>
  <si>
    <t>GRANO:80#115x22.2cm</t>
  </si>
  <si>
    <t>GRANO:120#115x22.2cm</t>
  </si>
  <si>
    <t>75mm</t>
  </si>
  <si>
    <t>100mm</t>
  </si>
  <si>
    <t>125mm</t>
  </si>
  <si>
    <t>150mm</t>
  </si>
  <si>
    <t>180mm</t>
  </si>
  <si>
    <t>50mm</t>
  </si>
  <si>
    <t>BOQUILLAS MAGNETICAS 3 PIEZAS</t>
  </si>
  <si>
    <t>LONGITUD:48mm-8mm</t>
  </si>
  <si>
    <t>LONGITUD:48mm-10mm</t>
  </si>
  <si>
    <t>LONGITUD:48mm-1/4"</t>
  </si>
  <si>
    <t>LONGITUD:48mm-5/16"</t>
  </si>
  <si>
    <t>LONGITUD:48mm-3/8"</t>
  </si>
  <si>
    <t>LONG48mm1/4+5/16+3/8</t>
  </si>
  <si>
    <t>LONGITUD:65mm-8mm</t>
  </si>
  <si>
    <t>LONGITUD:65mm-10mm</t>
  </si>
  <si>
    <t>LONGITUD:65mm-12mm</t>
  </si>
  <si>
    <t>LONG65mm1/4+5/16+3/8</t>
  </si>
  <si>
    <t>BOQUILLA HEX 1/4" 2 PIEZAS</t>
  </si>
  <si>
    <t>60mm</t>
  </si>
  <si>
    <t>SUJ P/PTA ATORNI.C/MANDRIL IND</t>
  </si>
  <si>
    <t>ADAPTADOR HEXAGONAL 3 PIEZAS</t>
  </si>
  <si>
    <t>1/4-3/8x65mm1/2x70mm</t>
  </si>
  <si>
    <t>V38116</t>
  </si>
  <si>
    <t>160mm,6"DIN EN60900</t>
  </si>
  <si>
    <t>180mm,7"DIN EN60900</t>
  </si>
  <si>
    <t>200mm,8"DIN EN60900</t>
  </si>
  <si>
    <t>V38138</t>
  </si>
  <si>
    <t>V38146</t>
  </si>
  <si>
    <t>V38148</t>
  </si>
  <si>
    <t>V38156</t>
  </si>
  <si>
    <t>* Inserte descuento</t>
  </si>
  <si>
    <t>Tel.: +54 - 0351-4994173/76/96</t>
  </si>
  <si>
    <t>http://cordobabulonessa.com.ar/</t>
  </si>
  <si>
    <t>email:. administracion@cordobabulonessa.com.ar</t>
  </si>
  <si>
    <t>Vendedor:</t>
  </si>
  <si>
    <t>Zona:</t>
  </si>
  <si>
    <t>CINCEL PUNTA SDS-PLUS IND</t>
  </si>
  <si>
    <t>14x250mm</t>
  </si>
  <si>
    <t>CINCEL PLANO SDS-PLUS IND</t>
  </si>
  <si>
    <t>14x250x20mm</t>
  </si>
  <si>
    <t>14x250x40mm</t>
  </si>
  <si>
    <t>14x250x22mm</t>
  </si>
  <si>
    <t>CINCEL PUNTA SDS-MAX IND</t>
  </si>
  <si>
    <t>18x400mm</t>
  </si>
  <si>
    <t>CINCEL PUNTA HEXAGONAL IND</t>
  </si>
  <si>
    <t>17x280mm</t>
  </si>
  <si>
    <t>JGO SIERRA COPA BI-METAL 9PZAS</t>
  </si>
  <si>
    <t>14mm,9/16"</t>
  </si>
  <si>
    <t>16mm,5/8"</t>
  </si>
  <si>
    <t>17mm,11/16"</t>
  </si>
  <si>
    <t>19mm,3/4"</t>
  </si>
  <si>
    <t>20mm,25/32"</t>
  </si>
  <si>
    <t>21mm,13/16"</t>
  </si>
  <si>
    <t>22mm,7/8"</t>
  </si>
  <si>
    <t>24mm,15/16"</t>
  </si>
  <si>
    <t>25mm,1"</t>
  </si>
  <si>
    <t>27mm,1-1/16"</t>
  </si>
  <si>
    <t>29mm,1-1/8"</t>
  </si>
  <si>
    <t>30mm,1-3/16"</t>
  </si>
  <si>
    <t>32mm,1-1/4"</t>
  </si>
  <si>
    <t>33mm,1-5/16"</t>
  </si>
  <si>
    <t>35mm,1-3/8"</t>
  </si>
  <si>
    <t>37mm,1-7/16"</t>
  </si>
  <si>
    <t>38mm,1-1/2"</t>
  </si>
  <si>
    <t>40mm,1-9/16"</t>
  </si>
  <si>
    <t>41mm,1-5/8"</t>
  </si>
  <si>
    <t>43mm,1-11/16"</t>
  </si>
  <si>
    <t>44mm,1-3/4"</t>
  </si>
  <si>
    <t>46mm,1-13/16"</t>
  </si>
  <si>
    <t>48mm,1-27/32"</t>
  </si>
  <si>
    <t>51mm,2"</t>
  </si>
  <si>
    <t>52mm,2-1/16"</t>
  </si>
  <si>
    <t>54mm,2-1/8"</t>
  </si>
  <si>
    <t>57mm,2-1/4"</t>
  </si>
  <si>
    <t>59mm,2-5/16"</t>
  </si>
  <si>
    <t>60mm,2-3/8"</t>
  </si>
  <si>
    <t>64mm,2-1/2"</t>
  </si>
  <si>
    <t>65mm,2-9/16"</t>
  </si>
  <si>
    <t>67mm,2-5/8"</t>
  </si>
  <si>
    <t>68mm,2-11/16"</t>
  </si>
  <si>
    <t>70mm,2-3/4"</t>
  </si>
  <si>
    <t>73mm,2-7/8"</t>
  </si>
  <si>
    <t>76mm,3"</t>
  </si>
  <si>
    <t>79mm,3-1/8"</t>
  </si>
  <si>
    <t>83mm,3-1/4"</t>
  </si>
  <si>
    <t>86mm,3-3/8"</t>
  </si>
  <si>
    <t>89mm,3-1/2"</t>
  </si>
  <si>
    <t>92mm,3-5/8"</t>
  </si>
  <si>
    <t>95mm,3-3/4"</t>
  </si>
  <si>
    <t>98mm,3-7/8"</t>
  </si>
  <si>
    <t>102mm,4"</t>
  </si>
  <si>
    <t>VASTAGO SDS-PLUS P/SIERRA COPA</t>
  </si>
  <si>
    <t>14-30mm</t>
  </si>
  <si>
    <t>32-152mm</t>
  </si>
  <si>
    <t>MECHA ESCALONADA</t>
  </si>
  <si>
    <t>4-12x2mm</t>
  </si>
  <si>
    <t>4-20x2mm</t>
  </si>
  <si>
    <t>4-32x2mm</t>
  </si>
  <si>
    <t>JUEGO DE MECHAS ESCALONADAS</t>
  </si>
  <si>
    <t>4-12/ 4-20 /4-32x2mm</t>
  </si>
  <si>
    <t>HOJAS DE CALAR 5 PIEZAS</t>
  </si>
  <si>
    <t>115X22.2 (20)mm 4-1/2"x7/8"</t>
  </si>
  <si>
    <t>180X22.2 (20)mm 7"x7/8"</t>
  </si>
  <si>
    <t>230X22.2 (20)mm 9"x7/8"</t>
  </si>
  <si>
    <t>CINCEL PUNTA HEXA PLANO IND</t>
  </si>
  <si>
    <t>17x280x25mm</t>
  </si>
  <si>
    <t>CINCEL PLANO SDS-MAX IND</t>
  </si>
  <si>
    <t>18x400x25mm</t>
  </si>
  <si>
    <t>105mm,4-1/8"</t>
  </si>
  <si>
    <t>108mm,4-1/4"</t>
  </si>
  <si>
    <t>111mm,4-3/8"</t>
  </si>
  <si>
    <t>114mm,4-1/2"</t>
  </si>
  <si>
    <t>121mm,4-3/4"</t>
  </si>
  <si>
    <t>127mm,5"</t>
  </si>
  <si>
    <t>133,5-1/4"</t>
  </si>
  <si>
    <t>140mm,5-1/2"</t>
  </si>
  <si>
    <t>146mm,5-3/4"</t>
  </si>
  <si>
    <t>152mm,6"</t>
  </si>
  <si>
    <t>200mm,7-7/8"</t>
  </si>
  <si>
    <t>1/8"-1/2"x13</t>
  </si>
  <si>
    <t>1/4"-3/4"x9</t>
  </si>
  <si>
    <t>JGOMECHAS ESCALONADA NYD 5PZAS</t>
  </si>
  <si>
    <t>5 PIEZAS</t>
  </si>
  <si>
    <t>V30204</t>
  </si>
  <si>
    <t>DESTOR. AISLADO P. PLANA PREM</t>
  </si>
  <si>
    <t>0.4x2.5x75 DIN60900</t>
  </si>
  <si>
    <t>V30205</t>
  </si>
  <si>
    <t>0.5x3.0x100 DIN60900</t>
  </si>
  <si>
    <t>V30206</t>
  </si>
  <si>
    <t>0.6x3.5x100 DIN60900</t>
  </si>
  <si>
    <t>V30208</t>
  </si>
  <si>
    <t>0.8x4.0x100 DIN60900</t>
  </si>
  <si>
    <t>V30210</t>
  </si>
  <si>
    <t>1.0x5.5x125 DIN60900</t>
  </si>
  <si>
    <t>V30212</t>
  </si>
  <si>
    <t>1.2x6.5x150 DIN60900</t>
  </si>
  <si>
    <t>V30400</t>
  </si>
  <si>
    <t>DESTOR. AISLADO PUNTA PH PREM</t>
  </si>
  <si>
    <t>PH0x60 (DIN EN60900)</t>
  </si>
  <si>
    <t>V30401</t>
  </si>
  <si>
    <t>PH1x80 (DIN EN60900)</t>
  </si>
  <si>
    <t>V30402</t>
  </si>
  <si>
    <t>PH2x100(DIN EN60900)</t>
  </si>
  <si>
    <t>V30403</t>
  </si>
  <si>
    <t>PH3x150(DIN EN60900)</t>
  </si>
  <si>
    <t>V38166</t>
  </si>
  <si>
    <t>V38176</t>
  </si>
  <si>
    <t>V70670</t>
  </si>
  <si>
    <t>BUSCAPOLO 1000V VDE/GS PREMIUM</t>
  </si>
  <si>
    <t>3.0x70mm DIN VDE0680</t>
  </si>
  <si>
    <t>V83103</t>
  </si>
  <si>
    <t>JGO PINZAS AISLADAS 3PZAS PREM</t>
  </si>
  <si>
    <t>(DIN EN60900)</t>
  </si>
  <si>
    <t>V83204</t>
  </si>
  <si>
    <t>JGO PINZAS AISLADAS 4PZAS PREM</t>
  </si>
  <si>
    <t>V83306</t>
  </si>
  <si>
    <t>JGO HERRA. AISLANTE 6PZAS PREM</t>
  </si>
  <si>
    <t>V83411</t>
  </si>
  <si>
    <t>JGOHERRA.AISLANTE 11PZAS PREM.</t>
  </si>
  <si>
    <t>EXTRACTOR DE POLEA 2 PATAS</t>
  </si>
  <si>
    <t>EXTRACTOR DE POLEA 3 PATAS</t>
  </si>
  <si>
    <t>PESCADORA DE TORNILLOS</t>
  </si>
  <si>
    <t>610mm,41"</t>
  </si>
  <si>
    <t>PESCADORATORNILLO C/LUZLED IND</t>
  </si>
  <si>
    <t>3M</t>
  </si>
  <si>
    <t>HERRAMIENTAS DE CORTE</t>
  </si>
  <si>
    <t>CUTTER DE ALUMINIO</t>
  </si>
  <si>
    <t>18x100mm</t>
  </si>
  <si>
    <t>CUTTER INDUSTRIAL</t>
  </si>
  <si>
    <t>25x140mm</t>
  </si>
  <si>
    <t>61x19mm</t>
  </si>
  <si>
    <t>CUTTER</t>
  </si>
  <si>
    <t>REPUESTO DE CUTTER</t>
  </si>
  <si>
    <t>TIJERA AVIACION IZQUIERDA IND</t>
  </si>
  <si>
    <t>TIJERA AVIACION RECTA IND</t>
  </si>
  <si>
    <t>TIJERA DE AVIACION DERECHA IND</t>
  </si>
  <si>
    <t>TIJERA HOJALATERA</t>
  </si>
  <si>
    <t>TIJERA HOJALATERA T. AMERICANA</t>
  </si>
  <si>
    <t>TIJERA MULTIUSO</t>
  </si>
  <si>
    <t>TIJERA</t>
  </si>
  <si>
    <t>TIJERA DE COCINA</t>
  </si>
  <si>
    <t>TIJERA MULTIUSO INDUSTRIAL</t>
  </si>
  <si>
    <t>220mm,8-3/4"</t>
  </si>
  <si>
    <t>RASCADOR</t>
  </si>
  <si>
    <t>100x18.5x0.4mm</t>
  </si>
  <si>
    <t>ALICATE MULTIUSO</t>
  </si>
  <si>
    <t>102x46x23mm</t>
  </si>
  <si>
    <t>ARCO DE SIERRA</t>
  </si>
  <si>
    <t>ARCO DE SIERRA INDUSTRIAL</t>
  </si>
  <si>
    <t>JGO DE PUNTAS Y TUBOS 41 PZAS</t>
  </si>
  <si>
    <t>SLO.5x4.0x25mm</t>
  </si>
  <si>
    <t>SL1.2x6.5x25mm</t>
  </si>
  <si>
    <t>PH1x25mm</t>
  </si>
  <si>
    <t>PH3x25mm</t>
  </si>
  <si>
    <t>PZ1x25mm</t>
  </si>
  <si>
    <t>PZ3x25mm</t>
  </si>
  <si>
    <t>PUNTAS TORX 2 PIEZAS IND</t>
  </si>
  <si>
    <t>T10x25mm</t>
  </si>
  <si>
    <t>T15x25mm</t>
  </si>
  <si>
    <t>T20x25mm</t>
  </si>
  <si>
    <t>T25x25mm</t>
  </si>
  <si>
    <t>T27x25mm</t>
  </si>
  <si>
    <t>T30x25mm</t>
  </si>
  <si>
    <t>T40x25mm</t>
  </si>
  <si>
    <t>PUNTAS HEXAGONALES 2 PZAS IND</t>
  </si>
  <si>
    <t>H3x25mm</t>
  </si>
  <si>
    <t>H4x25mm</t>
  </si>
  <si>
    <t>H5x25mm</t>
  </si>
  <si>
    <t>H6x25mm</t>
  </si>
  <si>
    <t>SL0.5x4.0x50mm</t>
  </si>
  <si>
    <t>SL1.2x6.5x50mm</t>
  </si>
  <si>
    <t>PH1x50mm</t>
  </si>
  <si>
    <t>PH3x50mm</t>
  </si>
  <si>
    <t>PZ1x50mm</t>
  </si>
  <si>
    <t>PZ3x50mm</t>
  </si>
  <si>
    <t>T10x50mm</t>
  </si>
  <si>
    <t>T15x50mm</t>
  </si>
  <si>
    <t>T20x50mm</t>
  </si>
  <si>
    <t>T25x50mm</t>
  </si>
  <si>
    <t>T27x50mm</t>
  </si>
  <si>
    <t>T30x50mm</t>
  </si>
  <si>
    <t>T40x50mm</t>
  </si>
  <si>
    <t>LONGITUD:65mm-6mm</t>
  </si>
  <si>
    <t>LONGITUD:65mm-7mm</t>
  </si>
  <si>
    <t>LONGITUD:65mm-11mm</t>
  </si>
  <si>
    <t>LONGITUD:65mm-13mm</t>
  </si>
  <si>
    <t>ENGRANPADORA 3 USOS IND</t>
  </si>
  <si>
    <t>4-14mm (5/32"-9/16")</t>
  </si>
  <si>
    <t>4-8mm (5/32"-5/16")</t>
  </si>
  <si>
    <t>HERRAMIENTAS DE JARDINERIA</t>
  </si>
  <si>
    <t>TANZA</t>
  </si>
  <si>
    <t>SERRUCHO UNIVERSAL</t>
  </si>
  <si>
    <t>TIJERA DE PODAR</t>
  </si>
  <si>
    <t>TIJERA DE PODAR RECTA IND</t>
  </si>
  <si>
    <t>TIJERA PODAR BYPASS CURVA IND</t>
  </si>
  <si>
    <t>TIJERA DE PODA BYPASS CURVA</t>
  </si>
  <si>
    <t>TIJERA DE PODA DE ALUMINIO</t>
  </si>
  <si>
    <t>TIJERA CORTACERCO</t>
  </si>
  <si>
    <t>26"-36"</t>
  </si>
  <si>
    <t>TIJERA DE PODA</t>
  </si>
  <si>
    <t>24"-36"</t>
  </si>
  <si>
    <t>REGADOR MULTIFUNCION</t>
  </si>
  <si>
    <t>8 POSICIONES</t>
  </si>
  <si>
    <t>REGADOR REGULABLE</t>
  </si>
  <si>
    <t>15mx1/2"</t>
  </si>
  <si>
    <t>2L</t>
  </si>
  <si>
    <t>SERRUCHO PLEGABLE</t>
  </si>
  <si>
    <t>180mm,7" 1.2</t>
  </si>
  <si>
    <t>SERRUCHO CARPINTERO</t>
  </si>
  <si>
    <t>400mm,16"</t>
  </si>
  <si>
    <t>500mm,20"</t>
  </si>
  <si>
    <t>550mm,22"</t>
  </si>
  <si>
    <t>TRIPLEACOPLA C/GIROEINTERRUPTO</t>
  </si>
  <si>
    <t>CONECTOR DE MANGUERA DE 1/2</t>
  </si>
  <si>
    <t>JGO CONECTOR DE MANGUERA 3PZAS</t>
  </si>
  <si>
    <t>JGO CONECTOR DE MANGUERA 4PZAS</t>
  </si>
  <si>
    <t>MANGUERA REFORZADA 30M</t>
  </si>
  <si>
    <t>PULVERIZADOR DE JARDIN 5L</t>
  </si>
  <si>
    <t>5L</t>
  </si>
  <si>
    <t>PALA DE MANO PARA JARDIN</t>
  </si>
  <si>
    <t>80x152mm</t>
  </si>
  <si>
    <t>PALA DE MANO PARA TRASPLANTAR</t>
  </si>
  <si>
    <t>55x152mm</t>
  </si>
  <si>
    <t>CULTIVADORA</t>
  </si>
  <si>
    <t>55x90mm</t>
  </si>
  <si>
    <t>HORQUILLA</t>
  </si>
  <si>
    <t>76x120mm</t>
  </si>
  <si>
    <t>76x120mm 90x92mm</t>
  </si>
  <si>
    <t>155mm</t>
  </si>
  <si>
    <t xml:space="preserve">HERRAMIENTAS DE MANO </t>
  </si>
  <si>
    <t>PINZA PRESION A CADENA</t>
  </si>
  <si>
    <t>HERRAMIENTAS DE PLOMERIA</t>
  </si>
  <si>
    <t>3-22mm</t>
  </si>
  <si>
    <t>3-28mm</t>
  </si>
  <si>
    <t>3-32mm</t>
  </si>
  <si>
    <t>6-64mm</t>
  </si>
  <si>
    <t>CORTA CAÑO P/ TRAB PESADOS IND</t>
  </si>
  <si>
    <t>10-40mm 1/8"-1-1/4"</t>
  </si>
  <si>
    <t>JUEGO DE TERRAJAS 9 PIEZAS IND</t>
  </si>
  <si>
    <t>RANGO 1/4"- 1-1/4"</t>
  </si>
  <si>
    <t>CINTA DE TEFLON</t>
  </si>
  <si>
    <t>12x0.0075x10m</t>
  </si>
  <si>
    <t>EXTRACTOR DE TORNILLOS</t>
  </si>
  <si>
    <t>1#,2#,3#,4#,5#</t>
  </si>
  <si>
    <t>CORTA CAÑO DE PVC (INDUSTRIAL)</t>
  </si>
  <si>
    <t>270mm-800A</t>
  </si>
  <si>
    <t>7mm</t>
  </si>
  <si>
    <t>26mm</t>
  </si>
  <si>
    <t>28mm</t>
  </si>
  <si>
    <t>29mm</t>
  </si>
  <si>
    <t>36mm</t>
  </si>
  <si>
    <t>38mm</t>
  </si>
  <si>
    <t>41mm</t>
  </si>
  <si>
    <t>1-1/16"</t>
  </si>
  <si>
    <t>1-3/8"</t>
  </si>
  <si>
    <t>1-1/2"</t>
  </si>
  <si>
    <t>1-5/8"</t>
  </si>
  <si>
    <t>HERRAMIENTAS NEUMATICAS</t>
  </si>
  <si>
    <t>PISTOLA DE AIRE 600ML</t>
  </si>
  <si>
    <t>CAPACIDAD 600ML</t>
  </si>
  <si>
    <t>PISTOLA DE AIRE 1000ML</t>
  </si>
  <si>
    <t>CAPACIDAD 1000ML</t>
  </si>
  <si>
    <t>PISTOLA DE AIRE INDUSTRIAL</t>
  </si>
  <si>
    <t>CAPACIDAD 100ML, BOQUILLA 0,8MM</t>
  </si>
  <si>
    <t>CAPACIDAD 600ML, BOQUILLA 1,4MM</t>
  </si>
  <si>
    <t>CAPACIDAD 1000ML, BOQUILLA 1,4MM</t>
  </si>
  <si>
    <t xml:space="preserve"> Longitud: 40 cm</t>
  </si>
  <si>
    <t>PISTOLA DE AIRE</t>
  </si>
  <si>
    <t xml:space="preserve"> Longitud de la boquilla 25 mm</t>
  </si>
  <si>
    <t xml:space="preserve">KIT DE 4 PISTOLAS MAS MANGUERA </t>
  </si>
  <si>
    <t>LONGITUD 10M</t>
  </si>
  <si>
    <t>LONGITUD 15M</t>
  </si>
  <si>
    <t>JUEGO DE ESCOFONAS (3 PIEZAS)</t>
  </si>
  <si>
    <t>LINTERNA PARA CABEZA CON LED</t>
  </si>
  <si>
    <t>LUZ DE TRABAJO LED</t>
  </si>
  <si>
    <t>210x58x30mm</t>
  </si>
  <si>
    <t>LINTERNA LED</t>
  </si>
  <si>
    <t>40x148mm</t>
  </si>
  <si>
    <t>70x208mm</t>
  </si>
  <si>
    <t>20x97.5mm</t>
  </si>
  <si>
    <t>LINTERNALED C/FUNCION ZOOM IND</t>
  </si>
  <si>
    <t>34x110mm</t>
  </si>
  <si>
    <t>38.5x212mm</t>
  </si>
  <si>
    <t>AMPERIMETRO DIGIT C/GANCHO IND</t>
  </si>
  <si>
    <t>210x75.6x30mm</t>
  </si>
  <si>
    <t>HERRAMIENTAS PARA MEDICION</t>
  </si>
  <si>
    <t>REGLA ESCUADRA DE ALUMINIO IND</t>
  </si>
  <si>
    <t>REGLA ESCUADRA</t>
  </si>
  <si>
    <t>200x300mm 8"x12"</t>
  </si>
  <si>
    <t>GALGA DE ACERO</t>
  </si>
  <si>
    <t>0.05-1.00mm</t>
  </si>
  <si>
    <t>CALIBRE</t>
  </si>
  <si>
    <t>CALIBRE DIGITAL</t>
  </si>
  <si>
    <t>MICROMETRO</t>
  </si>
  <si>
    <t>0-25mm</t>
  </si>
  <si>
    <t>NIVELADOR DE ALUMINIO MINI IND</t>
  </si>
  <si>
    <t>22.5cm</t>
  </si>
  <si>
    <t>NIVELADOR DE ALUMINIO IND</t>
  </si>
  <si>
    <t>40cm</t>
  </si>
  <si>
    <t>50cm</t>
  </si>
  <si>
    <t>60cm</t>
  </si>
  <si>
    <t>40cm,16"</t>
  </si>
  <si>
    <t>60cm,24"</t>
  </si>
  <si>
    <t>80cm,32"</t>
  </si>
  <si>
    <t>100cm,40"</t>
  </si>
  <si>
    <t>120cm,48"</t>
  </si>
  <si>
    <t>150cm,60"</t>
  </si>
  <si>
    <t>200cm,80"</t>
  </si>
  <si>
    <t>NIVELADOR D ALUMINIO MAG. IND</t>
  </si>
  <si>
    <t>REGLA NIVEL FALSA ESCUADRA</t>
  </si>
  <si>
    <t>0.2-80m, 0.65-262ft</t>
  </si>
  <si>
    <t>JUEGO DE ESPATULAS 4 PIEZAS</t>
  </si>
  <si>
    <t>ESPATULA INDUSTRIAL</t>
  </si>
  <si>
    <t>30mm,1.2"</t>
  </si>
  <si>
    <t>40mm,1.5mm"</t>
  </si>
  <si>
    <t>60mm,2.5"</t>
  </si>
  <si>
    <t>80mm,3"</t>
  </si>
  <si>
    <t>2.5"</t>
  </si>
  <si>
    <t>PINCEL PARA TECHO</t>
  </si>
  <si>
    <t>30x100x44mm</t>
  </si>
  <si>
    <t>40x140x51mm</t>
  </si>
  <si>
    <t>PINCEL PARA PINTURA</t>
  </si>
  <si>
    <t>RODILLO</t>
  </si>
  <si>
    <t>RODILLO DE RECAMBIO</t>
  </si>
  <si>
    <t>2M</t>
  </si>
  <si>
    <t>ADAPT P/ALARGADOR MANGO EXTENS</t>
  </si>
  <si>
    <t>360x285x75mm</t>
  </si>
  <si>
    <t>400x80x8mm</t>
  </si>
  <si>
    <t>600x100x10mm</t>
  </si>
  <si>
    <t>MEZCLADOR DE PINTURA SDS-PLUS</t>
  </si>
  <si>
    <t>400x80x10mm</t>
  </si>
  <si>
    <t>CUCHARA DE ALBAÑIL</t>
  </si>
  <si>
    <t>130mm,5"</t>
  </si>
  <si>
    <t>175mm,7"</t>
  </si>
  <si>
    <t>140x85x105mm</t>
  </si>
  <si>
    <t>160x85x110mm</t>
  </si>
  <si>
    <t>180x90x115mm</t>
  </si>
  <si>
    <t>200x90x120mm</t>
  </si>
  <si>
    <t>LLANA LISA</t>
  </si>
  <si>
    <t>280x120mm</t>
  </si>
  <si>
    <t>LLANA DENTADA</t>
  </si>
  <si>
    <t>230x100x10mm</t>
  </si>
  <si>
    <t>240x100x19mm</t>
  </si>
  <si>
    <t>250x95x13mm</t>
  </si>
  <si>
    <t>CORTADOR DE VIDRIO</t>
  </si>
  <si>
    <t>130mm</t>
  </si>
  <si>
    <t>CORTADOR VIDRIO TRABPESADO IND</t>
  </si>
  <si>
    <t>178mm</t>
  </si>
  <si>
    <t>800mm</t>
  </si>
  <si>
    <t>REPUESTO DE CORTA CERAMICO IND</t>
  </si>
  <si>
    <t>22x10.5x2mm</t>
  </si>
  <si>
    <t>AZUL</t>
  </si>
  <si>
    <t>LAPICES PARA CARPINTERO</t>
  </si>
  <si>
    <t>12x7.4x176mm</t>
  </si>
  <si>
    <t>LAPICES P/ CARPINTERO BI-COLOR</t>
  </si>
  <si>
    <t>10x7.5x176mm</t>
  </si>
  <si>
    <t>MARCO DE RODILLO</t>
  </si>
  <si>
    <t>600mm</t>
  </si>
  <si>
    <t>15x6x1.5mm</t>
  </si>
  <si>
    <t>400mm</t>
  </si>
  <si>
    <t>OTROS</t>
  </si>
  <si>
    <t>70mm</t>
  </si>
  <si>
    <t>80mm</t>
  </si>
  <si>
    <t>90mm</t>
  </si>
  <si>
    <t>40mm</t>
  </si>
  <si>
    <t>12X800mm</t>
  </si>
  <si>
    <t>PRECINTO BLANCO</t>
  </si>
  <si>
    <t>2.5x100mm</t>
  </si>
  <si>
    <t>3.6x200mm</t>
  </si>
  <si>
    <t>4.8x300mm</t>
  </si>
  <si>
    <t>PRECINTO NEGRO</t>
  </si>
  <si>
    <t>25kgs</t>
  </si>
  <si>
    <t>50kgs</t>
  </si>
  <si>
    <t>75kgs</t>
  </si>
  <si>
    <t>TENSOR ELASTICO 2 PIEZAS</t>
  </si>
  <si>
    <t>25mm x 2.5M</t>
  </si>
  <si>
    <t>25mm x 5M</t>
  </si>
  <si>
    <t>38mm x 6M</t>
  </si>
  <si>
    <t>50mm x 9M</t>
  </si>
  <si>
    <t>BROCHA PARA TECHO</t>
  </si>
  <si>
    <t>LIMPIA CAÑERIAS</t>
  </si>
  <si>
    <t>5.5mmX3M</t>
  </si>
  <si>
    <t>9mmx5M</t>
  </si>
  <si>
    <t>9mmx10M</t>
  </si>
  <si>
    <t>Cód. cliente</t>
  </si>
  <si>
    <t>Razón social</t>
  </si>
  <si>
    <t>Domicilio</t>
  </si>
  <si>
    <t>Localidad</t>
  </si>
  <si>
    <t>Página web</t>
  </si>
  <si>
    <t>Vendedor</t>
  </si>
  <si>
    <t>TUCUMAN</t>
  </si>
  <si>
    <t>CTA CTE</t>
  </si>
  <si>
    <t>A.CTA CTE</t>
  </si>
  <si>
    <t>0AA017</t>
  </si>
  <si>
    <t>BV LAS HERAS 590</t>
  </si>
  <si>
    <t>CORDOBA</t>
  </si>
  <si>
    <t>AGUSTIN GARZON 2084</t>
  </si>
  <si>
    <t>0AA062</t>
  </si>
  <si>
    <t>BORASIO LEONARDO OSCAR</t>
  </si>
  <si>
    <t>CALLE 9 NRO 1430</t>
  </si>
  <si>
    <t>GENERAL PICO</t>
  </si>
  <si>
    <t>B.FABIAN</t>
  </si>
  <si>
    <t>CHARCAS 1536</t>
  </si>
  <si>
    <t>0AA072</t>
  </si>
  <si>
    <t>BULONERA ROVI (VILLASANA ROBERTO)</t>
  </si>
  <si>
    <t>CORNELIO SAAVEDRA 2592</t>
  </si>
  <si>
    <t>AV. ALEM 2652</t>
  </si>
  <si>
    <t>0AA082</t>
  </si>
  <si>
    <t>CLABUTOR S.C.</t>
  </si>
  <si>
    <t>SARMIENTO 365</t>
  </si>
  <si>
    <t>0AA083</t>
  </si>
  <si>
    <t>PIRO S.A.</t>
  </si>
  <si>
    <t>CALLE PUBLICA SN B°EUCARISTICA</t>
  </si>
  <si>
    <t>E.DANIEL</t>
  </si>
  <si>
    <t>0AA107</t>
  </si>
  <si>
    <t>CONSTRULUZ S.A</t>
  </si>
  <si>
    <t>FRAY LUIS BELTRAN ESQ MANUEL C</t>
  </si>
  <si>
    <t>JESUS MARIA</t>
  </si>
  <si>
    <t>0AA109</t>
  </si>
  <si>
    <t>CIMA S.R.L.</t>
  </si>
  <si>
    <t>P. J. FRIAS ESQ. N.GONZALEZ</t>
  </si>
  <si>
    <t>0AA111</t>
  </si>
  <si>
    <t>LUCERO MAXIMILIANO MARCOS</t>
  </si>
  <si>
    <t>VICENTE LOPEZ 550</t>
  </si>
  <si>
    <t>ALTA GRACIA</t>
  </si>
  <si>
    <t>0AA112</t>
  </si>
  <si>
    <t>POLI FABIAN NELSO</t>
  </si>
  <si>
    <t>RUTA 9 KM. 784</t>
  </si>
  <si>
    <t>VILLA DEL TOTORAL</t>
  </si>
  <si>
    <t>0AA113</t>
  </si>
  <si>
    <t>MIRETTO OMAR ADRIAN JOSE</t>
  </si>
  <si>
    <t>BS AS 0</t>
  </si>
  <si>
    <t>0AA114</t>
  </si>
  <si>
    <t>MARCUZZI NELSON OMAR</t>
  </si>
  <si>
    <t>AV. SAN MARTIN 3325</t>
  </si>
  <si>
    <t>COLONIA CAROYA</t>
  </si>
  <si>
    <t>0AA115</t>
  </si>
  <si>
    <t>CAMPANA ROSA DEL ROSARIO</t>
  </si>
  <si>
    <t>FERNANDEZ y F.QUIROGA</t>
  </si>
  <si>
    <t>S.JOSE DE LA DORMIDA</t>
  </si>
  <si>
    <t>0AA116</t>
  </si>
  <si>
    <t>VEGA YAMILA FABIANA</t>
  </si>
  <si>
    <t>DON BOSCO 2587</t>
  </si>
  <si>
    <t>0AA117</t>
  </si>
  <si>
    <t>RASELLI HECTOR ATILIO</t>
  </si>
  <si>
    <t>PEDRO J.FRIAS 444</t>
  </si>
  <si>
    <t>0AA119</t>
  </si>
  <si>
    <t>AGROMAX S.R.L</t>
  </si>
  <si>
    <t>BORDI 250  B GUIÑAZU</t>
  </si>
  <si>
    <t>0AA120</t>
  </si>
  <si>
    <t>CAMPANA CRISTIAN ANDRES</t>
  </si>
  <si>
    <t>AV. JUAN B. JUSTO 753</t>
  </si>
  <si>
    <t>0AA121</t>
  </si>
  <si>
    <t>A GRIN S.A</t>
  </si>
  <si>
    <t>PEDRO J. FRIAS 58</t>
  </si>
  <si>
    <t>MATEO BERES 372</t>
  </si>
  <si>
    <t>0AA125</t>
  </si>
  <si>
    <t>PEREZ ROSSI JAVIER</t>
  </si>
  <si>
    <t>AV.LIBERTADOR 701</t>
  </si>
  <si>
    <t>0AA127</t>
  </si>
  <si>
    <t>PASCUTTI J.E Y PASCUTTI M.C S.H</t>
  </si>
  <si>
    <t>AV J.CARCANO 347</t>
  </si>
  <si>
    <t>VILLA CARLOS PAZ</t>
  </si>
  <si>
    <t>CARLOS PAZ</t>
  </si>
  <si>
    <t>0AA129</t>
  </si>
  <si>
    <t>CAFARO MARIA MARCELA</t>
  </si>
  <si>
    <t>AV. ARGENTINA 0.</t>
  </si>
  <si>
    <t>VILLA DEL LAGO</t>
  </si>
  <si>
    <t>0AA131</t>
  </si>
  <si>
    <t>CABO ALBERTO ENRIQUE</t>
  </si>
  <si>
    <t>AVDA. SAVIO 1097</t>
  </si>
  <si>
    <t>RIO TERCERO</t>
  </si>
  <si>
    <t>SANTA ROSA DE CALAMU</t>
  </si>
  <si>
    <t>0AA133</t>
  </si>
  <si>
    <t>ZUNINO LEONARDO HERNAN</t>
  </si>
  <si>
    <t>HIPOLITO IRIGOYEN 448  PB DTO.</t>
  </si>
  <si>
    <t>0AA135</t>
  </si>
  <si>
    <t>CATTANEO HNOS  S.R.L</t>
  </si>
  <si>
    <t>AV. BELGRANO 99</t>
  </si>
  <si>
    <t>MONTE CRISTO</t>
  </si>
  <si>
    <t>ARROYITO-V.MARIA-MONTE</t>
  </si>
  <si>
    <t>0AA136</t>
  </si>
  <si>
    <t>SUMANDO HVG S.A.</t>
  </si>
  <si>
    <t>CASTULO PEÑA 370</t>
  </si>
  <si>
    <t>0AA139</t>
  </si>
  <si>
    <t>ALMADA JUAN CARLOS</t>
  </si>
  <si>
    <t>LA FALDA</t>
  </si>
  <si>
    <t>0AA140</t>
  </si>
  <si>
    <t>LA CASA DEL HERRAJE SAS</t>
  </si>
  <si>
    <t>FLORIDA E ISLAS MALVINAS O</t>
  </si>
  <si>
    <t>0AA143</t>
  </si>
  <si>
    <t>SABRE ALMADA OCTAVIO WALDEMAR</t>
  </si>
  <si>
    <t>CARLOS GARDEL 481</t>
  </si>
  <si>
    <t>RIVADAVIA 209</t>
  </si>
  <si>
    <t>0AA147</t>
  </si>
  <si>
    <t>MENDIO SA</t>
  </si>
  <si>
    <t>MALVINAS 865</t>
  </si>
  <si>
    <t>MENDIOLAZA</t>
  </si>
  <si>
    <t>0AA148</t>
  </si>
  <si>
    <t>LUQUE CONSTRUCCIONES S.R.L</t>
  </si>
  <si>
    <t>FAUSTINO TORNGE 976</t>
  </si>
  <si>
    <t>VILLA PAEZ</t>
  </si>
  <si>
    <t>0AA149</t>
  </si>
  <si>
    <t>HERRA-METAL S.R.L</t>
  </si>
  <si>
    <t>CLODULFA OZAN ESQ OLSACHER</t>
  </si>
  <si>
    <t>LA RIOJA</t>
  </si>
  <si>
    <t>VILLA ALLENDE</t>
  </si>
  <si>
    <t>0AA151</t>
  </si>
  <si>
    <t>GUSTAVO CLARA MAQUINARIAS S.A.S</t>
  </si>
  <si>
    <t>ARMANDO CRUCIANELLI 120</t>
  </si>
  <si>
    <t>SINSACATE</t>
  </si>
  <si>
    <t>0AA152</t>
  </si>
  <si>
    <t>MADERERA GUARAPA</t>
  </si>
  <si>
    <t>DE LAS CORTADERAS 3666</t>
  </si>
  <si>
    <t>0AA154</t>
  </si>
  <si>
    <t>F&amp;B GASES Y SOLDADURA S.A.S</t>
  </si>
  <si>
    <t>DOCTOR AMADEO SABATTINI 6035</t>
  </si>
  <si>
    <t>0AA156</t>
  </si>
  <si>
    <t>ARTICULOS DE FIJACION SANGALO SRL</t>
  </si>
  <si>
    <t>CALLE 24 N 3060 ESQ VERGARA</t>
  </si>
  <si>
    <t>BERAZATEGUI</t>
  </si>
  <si>
    <t>0AA157</t>
  </si>
  <si>
    <t>GASES ARGENTINOS S.R.L</t>
  </si>
  <si>
    <t>AV SABATTINI 6035</t>
  </si>
  <si>
    <t>0AA158</t>
  </si>
  <si>
    <t>WELDER SRL</t>
  </si>
  <si>
    <t>0AA159</t>
  </si>
  <si>
    <t>ELECTROLIDER SRL</t>
  </si>
  <si>
    <t>DON BOSCO 2460</t>
  </si>
  <si>
    <t>0AA161</t>
  </si>
  <si>
    <t>BOSIO ALBERTO JOSE</t>
  </si>
  <si>
    <t>BV. MORENO 25</t>
  </si>
  <si>
    <t>HERNANDO</t>
  </si>
  <si>
    <t>0AA164</t>
  </si>
  <si>
    <t>CUCHERO SERGIO</t>
  </si>
  <si>
    <t>AV SAN MARTIN 4498</t>
  </si>
  <si>
    <t>0AA166</t>
  </si>
  <si>
    <t>CORRALON SAN MIGUEL S.R.L</t>
  </si>
  <si>
    <t>DONATO ALVAREZ 8509</t>
  </si>
  <si>
    <t>ARGUELLO</t>
  </si>
  <si>
    <t>0AA168</t>
  </si>
  <si>
    <t>CRUZ LUCAS MAXIMILIANO</t>
  </si>
  <si>
    <t>CAPITÁN PEDRO GIACHINO 473</t>
  </si>
  <si>
    <t>POTOLICCHIO MATIAS ANDRES</t>
  </si>
  <si>
    <t>GUEMES 8536</t>
  </si>
  <si>
    <t>SANTA FE</t>
  </si>
  <si>
    <t>0AA170</t>
  </si>
  <si>
    <t>VENDRAME SEBASTIAN PABLO</t>
  </si>
  <si>
    <t>CAMINO LOS TIMONES S/N</t>
  </si>
  <si>
    <t>0AA171</t>
  </si>
  <si>
    <t>VIGNATI EDUARDO DANIEL Y SOMALE IRIS</t>
  </si>
  <si>
    <t>BV 25 DE MAYO 666</t>
  </si>
  <si>
    <t>GENERAL DEHEZA</t>
  </si>
  <si>
    <t>0AA172</t>
  </si>
  <si>
    <t>ADMA HNOS SRL</t>
  </si>
  <si>
    <t>MAIPU Y AV DE LOS AGRICULTORES</t>
  </si>
  <si>
    <t>BANDERA</t>
  </si>
  <si>
    <t>GRENON SAIC</t>
  </si>
  <si>
    <t>PARQUE INDUSTRIAL</t>
  </si>
  <si>
    <t>RECONQUISTA..STA FE</t>
  </si>
  <si>
    <t>CALCAGNI SILVIO JAVIER</t>
  </si>
  <si>
    <t>MORENO 1245</t>
  </si>
  <si>
    <t>CONCEPCION</t>
  </si>
  <si>
    <t>0AA178</t>
  </si>
  <si>
    <t>COMERCIAL FEYRO S.A</t>
  </si>
  <si>
    <t>BV RIVADAVIA 3052</t>
  </si>
  <si>
    <t>0AA179</t>
  </si>
  <si>
    <t>CINCORBA SRL</t>
  </si>
  <si>
    <t>DAVID LUQUE 1400</t>
  </si>
  <si>
    <t>0AA180</t>
  </si>
  <si>
    <t>FATEL COMUNICACIONES</t>
  </si>
  <si>
    <t>BALTAZAR GALLEGOS 711</t>
  </si>
  <si>
    <t>1DA001</t>
  </si>
  <si>
    <t>DOPAZO, NAVEIRA Y CIA S.R.L.</t>
  </si>
  <si>
    <t>25 DE MAYO 99</t>
  </si>
  <si>
    <t>DEAN FUNES</t>
  </si>
  <si>
    <t>1DA003</t>
  </si>
  <si>
    <t>RIZZI EDGARDO DANTE HUGO</t>
  </si>
  <si>
    <t>ESPAÑA 416</t>
  </si>
  <si>
    <t>1DB001</t>
  </si>
  <si>
    <t>BULON FER S.R.L.</t>
  </si>
  <si>
    <t>9 DE JULIO 999</t>
  </si>
  <si>
    <t>CATAMARCA</t>
  </si>
  <si>
    <t>1DB003</t>
  </si>
  <si>
    <t>BERNARDI S.R.L.</t>
  </si>
  <si>
    <t>PRADO 663</t>
  </si>
  <si>
    <t>1DC001</t>
  </si>
  <si>
    <t>PEREA LUIS ALBERTO</t>
  </si>
  <si>
    <t>DALMACIO V.SARSFIELD 1014</t>
  </si>
  <si>
    <t>1DC002</t>
  </si>
  <si>
    <t>DUEÑAS IRMA INES</t>
  </si>
  <si>
    <t>8 DE DICIEMBRE 439</t>
  </si>
  <si>
    <t>1DC004</t>
  </si>
  <si>
    <t>ROMERO MARTA JUSTINA</t>
  </si>
  <si>
    <t>1DC005</t>
  </si>
  <si>
    <t>NORD SRL</t>
  </si>
  <si>
    <t>BENJAMIN MATIENZO 1505</t>
  </si>
  <si>
    <t>1DE001</t>
  </si>
  <si>
    <t>CORTES ANA MARIA TERESA</t>
  </si>
  <si>
    <t>SAN MARTIN Y AV. A ILLIA</t>
  </si>
  <si>
    <t>CHILECITO-LA RIOJA</t>
  </si>
  <si>
    <t>1DE002</t>
  </si>
  <si>
    <t>ELINCO S.R.L.</t>
  </si>
  <si>
    <t>SAN MARTIN 41</t>
  </si>
  <si>
    <t>CHILECITO. LA RIOJA</t>
  </si>
  <si>
    <t>1DE004</t>
  </si>
  <si>
    <t>DOROSZ PABLO MARIO</t>
  </si>
  <si>
    <t>AV. PRESIDENTE PERON 1370</t>
  </si>
  <si>
    <t>CHILECITO LA RIOJA</t>
  </si>
  <si>
    <t>1DY001</t>
  </si>
  <si>
    <t>DISTRIBUIDORA OMI SRL</t>
  </si>
  <si>
    <t>VELEZ SARSFIELD 576</t>
  </si>
  <si>
    <t>RIO CUARTO</t>
  </si>
  <si>
    <t>RIO IV</t>
  </si>
  <si>
    <t>1DY002</t>
  </si>
  <si>
    <t>SOLA JULIO CESAR</t>
  </si>
  <si>
    <t>SUIPACHA 696</t>
  </si>
  <si>
    <t>1DY003</t>
  </si>
  <si>
    <t>BUENO GROUP SA</t>
  </si>
  <si>
    <t>AV MARCELO T DE ALVEAR 697</t>
  </si>
  <si>
    <t>HUMBERTO PRIMO 60</t>
  </si>
  <si>
    <t>1DY006</t>
  </si>
  <si>
    <t>CORRALON FRANCO Y HERMANOS S.R.L</t>
  </si>
  <si>
    <t>ECUADOR 582</t>
  </si>
  <si>
    <t>1DY008</t>
  </si>
  <si>
    <t>SUCESION DE GRANDO JOSE MARIA</t>
  </si>
  <si>
    <t>AV SABATTINI 2567</t>
  </si>
  <si>
    <t>1DY014</t>
  </si>
  <si>
    <t>GUALTIERI ORLANDO Y ETCHARREN SH</t>
  </si>
  <si>
    <t>AV.SABATTINI 3110</t>
  </si>
  <si>
    <t>1DY020</t>
  </si>
  <si>
    <t>MOSCIARO FLAVIO ESTEBAN</t>
  </si>
  <si>
    <t>MARCELO T DE ALVEAR 1218</t>
  </si>
  <si>
    <t>1DY023</t>
  </si>
  <si>
    <t>HERRAJES MARCELO M SAS EN FORMACION</t>
  </si>
  <si>
    <t>AVDA ITALIA 1740</t>
  </si>
  <si>
    <t>1DY027</t>
  </si>
  <si>
    <t>PALANDRI ALFREDO HUGO</t>
  </si>
  <si>
    <t>SALTA 99</t>
  </si>
  <si>
    <t>1DY029</t>
  </si>
  <si>
    <t>ROS ALDO ALBERTO</t>
  </si>
  <si>
    <t>GARIBALDI S/N</t>
  </si>
  <si>
    <t>VILLA VALERIA</t>
  </si>
  <si>
    <t>1DY032</t>
  </si>
  <si>
    <t>ROS FABIAN MARCELO</t>
  </si>
  <si>
    <t>RUTA 7 KM 586</t>
  </si>
  <si>
    <t>VICUÑA MACKENNA</t>
  </si>
  <si>
    <t>1DY034</t>
  </si>
  <si>
    <t>SUCESION DE MOLINA JUAN CARLOS</t>
  </si>
  <si>
    <t>TUCUMAN 532</t>
  </si>
  <si>
    <t>ALEJO LEDESMA</t>
  </si>
  <si>
    <t>1DY036</t>
  </si>
  <si>
    <t>ROS JOSE LUIS</t>
  </si>
  <si>
    <t>DR. CARDOZO 473</t>
  </si>
  <si>
    <t>JOVITA</t>
  </si>
  <si>
    <t>1DY037</t>
  </si>
  <si>
    <t>HERRAMIENTAS Y BULONERIA TKTEC SAS</t>
  </si>
  <si>
    <t>Reverendo padre silvi 521</t>
  </si>
  <si>
    <t>1DZ001</t>
  </si>
  <si>
    <t>LA COLONIA SRL</t>
  </si>
  <si>
    <t>SAN MARTIN 802</t>
  </si>
  <si>
    <t>SAMPACHO</t>
  </si>
  <si>
    <t>1EA001</t>
  </si>
  <si>
    <t>CAO JORGE HERMINIO</t>
  </si>
  <si>
    <t>25 DE MAYO 824</t>
  </si>
  <si>
    <t>VILLA MERCEDES</t>
  </si>
  <si>
    <t>1EB001</t>
  </si>
  <si>
    <t>D C MENTO SA</t>
  </si>
  <si>
    <t>BELGRANO Y LAS HERAS</t>
  </si>
  <si>
    <t>ADELIA MARIA</t>
  </si>
  <si>
    <t>1EB003</t>
  </si>
  <si>
    <t>CONABE SOCIEDAD ANONIMA</t>
  </si>
  <si>
    <t>PTE PERON ESQ. MANAVELLA</t>
  </si>
  <si>
    <t>COSQUIN</t>
  </si>
  <si>
    <t>SIERRAS-TRASLASIERRAS</t>
  </si>
  <si>
    <t>1FI005</t>
  </si>
  <si>
    <t>COLEONI FERNANDO y COLEONI O SH</t>
  </si>
  <si>
    <t>TUCUMAN  1135</t>
  </si>
  <si>
    <t>1FJ010</t>
  </si>
  <si>
    <t>HERRACORT S.A.</t>
  </si>
  <si>
    <t>AV.ESPAÑA ESQUINA FIGUEROA ALC</t>
  </si>
  <si>
    <t>1FJ014</t>
  </si>
  <si>
    <t>RUFFINI GERMAN DIEGO</t>
  </si>
  <si>
    <t>AV. ESPAÑA 320</t>
  </si>
  <si>
    <t>1FJ015</t>
  </si>
  <si>
    <t>LENTINI SILVANA ALEJANDRA</t>
  </si>
  <si>
    <t>DEAN FUNES 612</t>
  </si>
  <si>
    <t>CAPILLA DEL MONTE</t>
  </si>
  <si>
    <t>1FJ016</t>
  </si>
  <si>
    <t>EVANGELISTA ADRIANA DEL VALLE</t>
  </si>
  <si>
    <t>9 DE JULIO  334</t>
  </si>
  <si>
    <t>LA CUMBRE</t>
  </si>
  <si>
    <t>1FM004</t>
  </si>
  <si>
    <t>OCHOA GABRIEL IVAN Y OCHOA CLAUDIO ALEJ S.H.</t>
  </si>
  <si>
    <t>AV SAN MARTIN B ARGENTINO</t>
  </si>
  <si>
    <t>CRUZ DEL EJE</t>
  </si>
  <si>
    <t>1FP018</t>
  </si>
  <si>
    <t>LOPEZ JULIAN ALEJANDRO</t>
  </si>
  <si>
    <t>ALFONSIN Y CARCANO</t>
  </si>
  <si>
    <t>1FS006</t>
  </si>
  <si>
    <t>HEREDIA ESTANISLAO RAUL</t>
  </si>
  <si>
    <t>BELGRANO  763</t>
  </si>
  <si>
    <t>VILLA DOLORES</t>
  </si>
  <si>
    <t>1FS007</t>
  </si>
  <si>
    <t>NICOTRA CARLOS EDUARDO</t>
  </si>
  <si>
    <t>AV ARTURO ILLIA 2050</t>
  </si>
  <si>
    <t>1FT002</t>
  </si>
  <si>
    <t>NICOLETTI MATERIALES</t>
  </si>
  <si>
    <t>CORONEL MERCAU 382</t>
  </si>
  <si>
    <t>MERLO</t>
  </si>
  <si>
    <t>1FT004</t>
  </si>
  <si>
    <t>GODOY EZEQUIEL RODOLFO</t>
  </si>
  <si>
    <t>POETA AGUERO 552</t>
  </si>
  <si>
    <t>MERLO-SAN LUIS</t>
  </si>
  <si>
    <t>1FT006</t>
  </si>
  <si>
    <t>CONTEGNOSO CARLOS LUIS</t>
  </si>
  <si>
    <t>POETA AGUERO 335</t>
  </si>
  <si>
    <t>1FT008</t>
  </si>
  <si>
    <t>CENTURION JAIME DAMIAN</t>
  </si>
  <si>
    <t>AV NORTE 2118</t>
  </si>
  <si>
    <t>VILLA DE MERLO</t>
  </si>
  <si>
    <t>1FV006</t>
  </si>
  <si>
    <t>GIMENEZ ANABELLA SOLEDAD</t>
  </si>
  <si>
    <t>DORA LOPEZ ZAMORA DE TORRES SN</t>
  </si>
  <si>
    <t>SAN JAVIER</t>
  </si>
  <si>
    <t>1FX002</t>
  </si>
  <si>
    <t>CARNICERO LUCIANO RODRIGO</t>
  </si>
  <si>
    <t>AVDA. MITRE 1532</t>
  </si>
  <si>
    <t>MINA CLAVERO</t>
  </si>
  <si>
    <t>1FX006</t>
  </si>
  <si>
    <t>RANIERI JUAN PABLO</t>
  </si>
  <si>
    <t>URQUIZA 1244</t>
  </si>
  <si>
    <t>1GA002</t>
  </si>
  <si>
    <t>VILLA DEL ROSARIO</t>
  </si>
  <si>
    <t>1GD001</t>
  </si>
  <si>
    <t>FERRETERIA DE DIEGO S.R.L.</t>
  </si>
  <si>
    <t>F.CARRILLO  24</t>
  </si>
  <si>
    <t>RIO PRIMERO</t>
  </si>
  <si>
    <t>1GH001</t>
  </si>
  <si>
    <t>COMERCIAL BULONERA S.R.L</t>
  </si>
  <si>
    <t>TUCUMAN 910</t>
  </si>
  <si>
    <t>RIO SEGUNDO</t>
  </si>
  <si>
    <t>1GH010</t>
  </si>
  <si>
    <t>VIDELA LUCAS EZEQUIEL</t>
  </si>
  <si>
    <t>25 DE MAYO 725</t>
  </si>
  <si>
    <t>PILAR</t>
  </si>
  <si>
    <t>1GI002</t>
  </si>
  <si>
    <t>LEMOS FRANCISCO</t>
  </si>
  <si>
    <t>JOSE A. VOCOS  355</t>
  </si>
  <si>
    <t>ARROYITO</t>
  </si>
  <si>
    <t>1GI003</t>
  </si>
  <si>
    <t>RUBIO OSCAR</t>
  </si>
  <si>
    <t>RAFAEL NUÑEZ Y V. SARSFIELD</t>
  </si>
  <si>
    <t>1GI005</t>
  </si>
  <si>
    <t>BRIZZIO HECTOR DOMINGO</t>
  </si>
  <si>
    <t>MARIANO MORENO 1545</t>
  </si>
  <si>
    <t>1GI006</t>
  </si>
  <si>
    <t>LORENZI SILVIA MARIANA</t>
  </si>
  <si>
    <t>MITRE 350</t>
  </si>
  <si>
    <t>1GI008</t>
  </si>
  <si>
    <t>PINTUCCI Y GUIZZO S.A.</t>
  </si>
  <si>
    <t>AV. ARTURO ILLIA 602</t>
  </si>
  <si>
    <t>1GM005</t>
  </si>
  <si>
    <t>BOTTERO FEDERICO GERARDO</t>
  </si>
  <si>
    <t>LAS HERAS 563</t>
  </si>
  <si>
    <t>MORTEROS</t>
  </si>
  <si>
    <t>1GQ001</t>
  </si>
  <si>
    <t>RODAMIENTOS LAGUNA LARGA SRL</t>
  </si>
  <si>
    <t>HIPOLITO IRIGOYEN 337</t>
  </si>
  <si>
    <t>LAGUNA LARGA</t>
  </si>
  <si>
    <t>1GS001</t>
  </si>
  <si>
    <t>CONRERO DANTE DOMINGO</t>
  </si>
  <si>
    <t>LAMADRID 626</t>
  </si>
  <si>
    <t>VILLA MARIA</t>
  </si>
  <si>
    <t>1GS005</t>
  </si>
  <si>
    <t>CORSI REPUESTOS S.R.L</t>
  </si>
  <si>
    <t>BV. JOSE MARIA ALDAO 1495</t>
  </si>
  <si>
    <t>CAMILO ALDAO</t>
  </si>
  <si>
    <t>1GS007</t>
  </si>
  <si>
    <t>BARAVAGLIO HIDALGO MIGUEL JOSE</t>
  </si>
  <si>
    <t>25 DE MAYO 542</t>
  </si>
  <si>
    <t>PORTEÑA</t>
  </si>
  <si>
    <t>TUCUMAN 202</t>
  </si>
  <si>
    <t>BELL VILLE</t>
  </si>
  <si>
    <t>1GS009</t>
  </si>
  <si>
    <t>DRACO TOOLS S.A.S.</t>
  </si>
  <si>
    <t>1GT003</t>
  </si>
  <si>
    <t>RAMOS GUILLERMO ALEJANDRO</t>
  </si>
  <si>
    <t>ROCA 20</t>
  </si>
  <si>
    <t>LAS VARILLAS</t>
  </si>
  <si>
    <t>2DH003</t>
  </si>
  <si>
    <t>PIRIZ Y CIA.</t>
  </si>
  <si>
    <t>9 DE JULIO 1292 ( E)</t>
  </si>
  <si>
    <t>SAN JUAN</t>
  </si>
  <si>
    <t>S.JUAN</t>
  </si>
  <si>
    <t>2DH005</t>
  </si>
  <si>
    <t>BULON FER de CARLOS GOMEZ</t>
  </si>
  <si>
    <t>PUEYRREDON (S) 380</t>
  </si>
  <si>
    <t>2DH007</t>
  </si>
  <si>
    <t>LA CASA DEL BULON</t>
  </si>
  <si>
    <t>AV. MENDOZA 3752 (S) RAWSON</t>
  </si>
  <si>
    <t>2DH009</t>
  </si>
  <si>
    <t>MEYNIEL S.R.L.</t>
  </si>
  <si>
    <t>AV. RAWSON 68</t>
  </si>
  <si>
    <t>2DH010</t>
  </si>
  <si>
    <t>MAS SIREROL RODOLFO</t>
  </si>
  <si>
    <t>H.IRIGOYEN 127 ( RIVADAVIA)</t>
  </si>
  <si>
    <t>2DH025</t>
  </si>
  <si>
    <t>DARONI VIVIANA</t>
  </si>
  <si>
    <t>LOPEZ MANSILLA 782</t>
  </si>
  <si>
    <t>2DH082</t>
  </si>
  <si>
    <t>PIRIZ Y CIA S.R.L.</t>
  </si>
  <si>
    <t>2DH083</t>
  </si>
  <si>
    <t>LEPEZ LUIS MARCELO</t>
  </si>
  <si>
    <t>CORRIENTES 840</t>
  </si>
  <si>
    <t>CONCEPCION SAN JUAN</t>
  </si>
  <si>
    <t>2DH084</t>
  </si>
  <si>
    <t>BULONERA RAWSON S.R.L.</t>
  </si>
  <si>
    <t>AV RAWSON SUR 205 Y RIVADAVIA</t>
  </si>
  <si>
    <t>2DH085</t>
  </si>
  <si>
    <t>METALES CONCEPCION SRL</t>
  </si>
  <si>
    <t>LATERAL DE CIRCUNVALACION 1685</t>
  </si>
  <si>
    <t>SAN LUCIA</t>
  </si>
  <si>
    <t>2DH086</t>
  </si>
  <si>
    <t>RODRIGUEZ NESTOR RUBEN</t>
  </si>
  <si>
    <t>REP. DEL LIBANO 2708 ( O )</t>
  </si>
  <si>
    <t>V.CRAUCEN- RAWSON</t>
  </si>
  <si>
    <t>0264-4242849</t>
  </si>
  <si>
    <t>0264-4250850</t>
  </si>
  <si>
    <t>2DK004</t>
  </si>
  <si>
    <t>DRYMAX SRL</t>
  </si>
  <si>
    <t>AV ESPAÑA A 150 MTS DE CALLE 7</t>
  </si>
  <si>
    <t>POCITO</t>
  </si>
  <si>
    <t>MENDOZA</t>
  </si>
  <si>
    <t>2DL007</t>
  </si>
  <si>
    <t>CASA DE TORNILLOS S.A</t>
  </si>
  <si>
    <t>EJERCITO DE LOS ANDES 718</t>
  </si>
  <si>
    <t>CORONEL DORREGO</t>
  </si>
  <si>
    <t>2DN001</t>
  </si>
  <si>
    <t>BULONERIA BEVILACQUA</t>
  </si>
  <si>
    <t>BOULOGNE SUR MER 1921 V.HIPODR</t>
  </si>
  <si>
    <t>GODOY CRUZ ( MZA )</t>
  </si>
  <si>
    <t>2DN004</t>
  </si>
  <si>
    <t>MARTINEZ JUAN MANUEL</t>
  </si>
  <si>
    <t>SAN MARTIN 30,GODOY CRUZ</t>
  </si>
  <si>
    <t>GODOY CRUZ</t>
  </si>
  <si>
    <t>2DN005</t>
  </si>
  <si>
    <t>TOSI MARIA MERCEDEZ</t>
  </si>
  <si>
    <t>SARMIENTO 2470</t>
  </si>
  <si>
    <t>ORTIZ 706 ESQ VERGARA</t>
  </si>
  <si>
    <t>2DN019</t>
  </si>
  <si>
    <t>RIQUELME LANDAUR OSCAR ALBERTO</t>
  </si>
  <si>
    <t>AUGUSTO VANDOR 1542</t>
  </si>
  <si>
    <t>LAS HERAS</t>
  </si>
  <si>
    <t>2DN025</t>
  </si>
  <si>
    <t>BCB S.A.S</t>
  </si>
  <si>
    <t>2DO001</t>
  </si>
  <si>
    <t>GUIDARELLI Y GUIDARELLI S.H.</t>
  </si>
  <si>
    <t>MAZA 1800</t>
  </si>
  <si>
    <t>MAIPU ( MENDOZA )</t>
  </si>
  <si>
    <t>2DO004</t>
  </si>
  <si>
    <t>RENGIPO RUBEN CEFERINO</t>
  </si>
  <si>
    <t>GUAYMALLEN ( MZA )</t>
  </si>
  <si>
    <t>2DP002</t>
  </si>
  <si>
    <t>BULONERA DEL OESTE S.A</t>
  </si>
  <si>
    <t>PATRICIAS MENDOCINAS  1920</t>
  </si>
  <si>
    <t>SAN JOSE-GUAYMALLEN</t>
  </si>
  <si>
    <t>2DP010</t>
  </si>
  <si>
    <t>DOREGUTTI JORGE DANIEL</t>
  </si>
  <si>
    <t>AVELLANEDA 1478</t>
  </si>
  <si>
    <t>VILLA NUEVA (MZA)</t>
  </si>
  <si>
    <t>2DP011</t>
  </si>
  <si>
    <t>HORMA SUR SOCIEDAD ANONIMA</t>
  </si>
  <si>
    <t>PASCUAL TOSO 809</t>
  </si>
  <si>
    <t>SAN JOSE</t>
  </si>
  <si>
    <t>2DQ003</t>
  </si>
  <si>
    <t>FER-PET S.R.L</t>
  </si>
  <si>
    <t>DORREGO 530</t>
  </si>
  <si>
    <t>DORREGO</t>
  </si>
  <si>
    <t>2DR006</t>
  </si>
  <si>
    <t>DAVI HNOS. S.R.L</t>
  </si>
  <si>
    <t>ROQUE S. PEÑA 421</t>
  </si>
  <si>
    <t>LUJAN DE CUYO</t>
  </si>
  <si>
    <t>2DR013</t>
  </si>
  <si>
    <t>ALFARO GUSTAVO FABIAN</t>
  </si>
  <si>
    <t>2DR014</t>
  </si>
  <si>
    <t>MANZANO FABRICIO DAMIAN MANZANO RENZO G. Y MANZANO MICAELA G</t>
  </si>
  <si>
    <t>SARMIENTO 288,ESQ SARM Y PUEYR</t>
  </si>
  <si>
    <t>GENERAL SAN MARTIN</t>
  </si>
  <si>
    <t>2DR015</t>
  </si>
  <si>
    <t>ISMARON S.A.</t>
  </si>
  <si>
    <t>2DR020</t>
  </si>
  <si>
    <t>EL CAMPESINO SRL</t>
  </si>
  <si>
    <t>25 DE MAYO 1598</t>
  </si>
  <si>
    <t>LA PAZ</t>
  </si>
  <si>
    <t>2DS002</t>
  </si>
  <si>
    <t>FIMAQ S.R.L.</t>
  </si>
  <si>
    <t>AV. EL LIBERTADOR 385</t>
  </si>
  <si>
    <t>SAN RAFAEL</t>
  </si>
  <si>
    <t>RUFINO ORTEGA 1181</t>
  </si>
  <si>
    <t>MALARGUE</t>
  </si>
  <si>
    <t>2DT005</t>
  </si>
  <si>
    <t>GONZALEZ MARCELO FABIAN</t>
  </si>
  <si>
    <t>2DU002</t>
  </si>
  <si>
    <t>JULIO DI PAOLO E HIJOS S.A</t>
  </si>
  <si>
    <t>AVDA LIBERTADOR SUR 536</t>
  </si>
  <si>
    <t>GENERAL ALVEAR</t>
  </si>
  <si>
    <t>2DW001</t>
  </si>
  <si>
    <t>TECNO RIEGO de FIORI ESTEBAN ALBERTO</t>
  </si>
  <si>
    <t>AV SAN MARTIN 1792</t>
  </si>
  <si>
    <t>TUNUYAN</t>
  </si>
  <si>
    <t>2DW003</t>
  </si>
  <si>
    <t>CORRALON BASTIAS SOCIEDAD ANONIMA</t>
  </si>
  <si>
    <t>SAN MARTIN 40</t>
  </si>
  <si>
    <t>2DW004</t>
  </si>
  <si>
    <t>OPTIMA SERVICIOS S.A</t>
  </si>
  <si>
    <t>PELLEGRINI 326</t>
  </si>
  <si>
    <t xml:space="preserve"> TUNUYAN</t>
  </si>
  <si>
    <t>2DW005</t>
  </si>
  <si>
    <t>RODEO DE LA CRUZ</t>
  </si>
  <si>
    <t>2DX002</t>
  </si>
  <si>
    <t>LOURDES GLAVER S.R.L.</t>
  </si>
  <si>
    <t>JUAN ISIDRO MAZA 1424</t>
  </si>
  <si>
    <t>RODEO DEL MEDIO</t>
  </si>
  <si>
    <t>2EB001</t>
  </si>
  <si>
    <t>PEREIRA LUCIO Y NELVA VIEYRA</t>
  </si>
  <si>
    <t>JULIO A. ROCA 1955</t>
  </si>
  <si>
    <t>SAN LUIS</t>
  </si>
  <si>
    <t>2EB005</t>
  </si>
  <si>
    <t>HERMETAL S.A.S.</t>
  </si>
  <si>
    <t>PARQUE IND NORTE CALLE 3 Y 105</t>
  </si>
  <si>
    <t>2GA001</t>
  </si>
  <si>
    <t>FH CENTRO SOCIEDAD POR ACCIONES SIMPLIFICADA</t>
  </si>
  <si>
    <t>SAN JUAN 723</t>
  </si>
  <si>
    <t>MORENO 789</t>
  </si>
  <si>
    <t>CAÑADA DE GOMEZ</t>
  </si>
  <si>
    <t>ROSARIO</t>
  </si>
  <si>
    <t>2NE002</t>
  </si>
  <si>
    <t>BULMAR S.R.L</t>
  </si>
  <si>
    <t>SAN LUIS 1267</t>
  </si>
  <si>
    <t>ARMSTRONG</t>
  </si>
  <si>
    <t>2NF003</t>
  </si>
  <si>
    <t>JAIKIN HEBE NORA</t>
  </si>
  <si>
    <t>OV. LAGOS  1477</t>
  </si>
  <si>
    <t>ROSARIO NORTE</t>
  </si>
  <si>
    <t>2NF006</t>
  </si>
  <si>
    <t>WACKER OSVALDO ROBERTO</t>
  </si>
  <si>
    <t>BV SEGUI 2131</t>
  </si>
  <si>
    <t>ROSARIO SUD</t>
  </si>
  <si>
    <t>2NF008</t>
  </si>
  <si>
    <t>AGOSTINELLI SA</t>
  </si>
  <si>
    <t>PJE SURIGUEZ 5721</t>
  </si>
  <si>
    <t>2NF015</t>
  </si>
  <si>
    <t>LARESE DANIEL DAMIAN</t>
  </si>
  <si>
    <t>2NF016</t>
  </si>
  <si>
    <t>BULONERA VIVAS S.R.L.</t>
  </si>
  <si>
    <t>ALBERDI 126</t>
  </si>
  <si>
    <t>2NF017</t>
  </si>
  <si>
    <t>PLATEL MONICA MANUELA</t>
  </si>
  <si>
    <t>2NF018</t>
  </si>
  <si>
    <t>BULONERA FENIX</t>
  </si>
  <si>
    <t>J.J.PASSO 7498</t>
  </si>
  <si>
    <t>ROSARIO - S.FE</t>
  </si>
  <si>
    <t>2NF019</t>
  </si>
  <si>
    <t>FIJAR SOLUCIONES S.R.L</t>
  </si>
  <si>
    <t>3 DE FEBRERO 3867-B ECHESORTU</t>
  </si>
  <si>
    <t>SOLDINI ( S.FE )</t>
  </si>
  <si>
    <t>2NF020</t>
  </si>
  <si>
    <t>CORULLON HNOS S.R.L.</t>
  </si>
  <si>
    <t>MENDOZA 6399</t>
  </si>
  <si>
    <t>2NF022</t>
  </si>
  <si>
    <t>SALDUTTI FEDERICO MARTIN</t>
  </si>
  <si>
    <t>OVIDIO LAGOS 3898</t>
  </si>
  <si>
    <t>2NL002</t>
  </si>
  <si>
    <t>BULONERIA Y FERRETERIA ROSSI SRL</t>
  </si>
  <si>
    <t>MORENO 185</t>
  </si>
  <si>
    <t>SAN NICOLAS</t>
  </si>
  <si>
    <t>2NL003</t>
  </si>
  <si>
    <t>RUYBAL LA CASA DEL BULON S.A.</t>
  </si>
  <si>
    <t>OBLIGADO 13</t>
  </si>
  <si>
    <t>4FB001</t>
  </si>
  <si>
    <t>LA CASA DEL FLEXIBLE SAS</t>
  </si>
  <si>
    <t>AV. LIBERTADOR 1646</t>
  </si>
  <si>
    <t>RUDOLF ATILIO FAUSTINO</t>
  </si>
  <si>
    <t>AVDA SANTA FE 964</t>
  </si>
  <si>
    <t>RAFAELA</t>
  </si>
  <si>
    <t>LITORAL</t>
  </si>
  <si>
    <t>5JT002</t>
  </si>
  <si>
    <t>GIOVANNINI PABLO CESAR</t>
  </si>
  <si>
    <t>JUAN B JUSTO 1047</t>
  </si>
  <si>
    <t>SUNCHALES</t>
  </si>
  <si>
    <t>SAN FRANCISCO</t>
  </si>
  <si>
    <t>5KA001</t>
  </si>
  <si>
    <t>LA TORNILLERA SRL</t>
  </si>
  <si>
    <t>AV LHEMANN 337</t>
  </si>
  <si>
    <t>5KA002</t>
  </si>
  <si>
    <t>MARCON ANA MARIA</t>
  </si>
  <si>
    <t>AV LEHMANN 1191</t>
  </si>
  <si>
    <t>5KB001</t>
  </si>
  <si>
    <t>MUNGUSSI RUBEN D</t>
  </si>
  <si>
    <t>AUFRANC 1316</t>
  </si>
  <si>
    <t>ESPERANZA</t>
  </si>
  <si>
    <t>5KB002</t>
  </si>
  <si>
    <t>GAESA SA</t>
  </si>
  <si>
    <t>SARMIENTO 931</t>
  </si>
  <si>
    <t>5KC003</t>
  </si>
  <si>
    <t>FERNANDO REPETTI Y MARTIN REPETTI SH</t>
  </si>
  <si>
    <t>AV PEÑALOZA 5723</t>
  </si>
  <si>
    <t>SANTA FE CAPITAL</t>
  </si>
  <si>
    <t>5KC004</t>
  </si>
  <si>
    <t>BULONERIA MURPAT DE A.PATRITO Y M.PATRITO</t>
  </si>
  <si>
    <t>SAN LUIS 3183</t>
  </si>
  <si>
    <t>5KC005</t>
  </si>
  <si>
    <t>JURETICH HECTOR C Y JURETICH CLAUDIO A</t>
  </si>
  <si>
    <t>RUTA 1 KM 37</t>
  </si>
  <si>
    <t>SANTA ROSA</t>
  </si>
  <si>
    <t>5KE002</t>
  </si>
  <si>
    <t>BULONERA DEL LITORAL SA</t>
  </si>
  <si>
    <t>PASCUAL PALMA 468</t>
  </si>
  <si>
    <t>PARANA..ENTRE RIOS</t>
  </si>
  <si>
    <t>PARANA</t>
  </si>
  <si>
    <t>5KE003</t>
  </si>
  <si>
    <t>COMERCIAL DEL PLATA SRL</t>
  </si>
  <si>
    <t>ANTONIO CRESPO 1744</t>
  </si>
  <si>
    <t>PARANA...ENTRE RIOS</t>
  </si>
  <si>
    <t>5KF004</t>
  </si>
  <si>
    <t>CARLOTTA ANA LIA</t>
  </si>
  <si>
    <t>SAN MARTIN 2413</t>
  </si>
  <si>
    <t>SAN JUSTO- SANTA FE</t>
  </si>
  <si>
    <t>SAN JUSTO</t>
  </si>
  <si>
    <t>5KF005</t>
  </si>
  <si>
    <t>ANGELONI HERMANOS SA</t>
  </si>
  <si>
    <t>AV. IRIONDO 2549</t>
  </si>
  <si>
    <t>5KH002</t>
  </si>
  <si>
    <t>BOGGIO JUAN MANUEL</t>
  </si>
  <si>
    <t>LISANDRO DE LA TORRE 1808</t>
  </si>
  <si>
    <t>VERA</t>
  </si>
  <si>
    <t>5KJ004</t>
  </si>
  <si>
    <t>ABEL MASSIN Y OSVALDO N</t>
  </si>
  <si>
    <t>BV IRIGOYEN 1131</t>
  </si>
  <si>
    <t>5KJ007</t>
  </si>
  <si>
    <t>CARROZADOS BUYATTI S.A.</t>
  </si>
  <si>
    <t>MORENO 1575</t>
  </si>
  <si>
    <t>RECONQUISTA.STA FE</t>
  </si>
  <si>
    <t>5KK003</t>
  </si>
  <si>
    <t>UNION AGRIC. DE AVELLANEDA LTD</t>
  </si>
  <si>
    <t>AV SAN MARTIN 744</t>
  </si>
  <si>
    <t>AVELLANEDA.. STA FE</t>
  </si>
  <si>
    <t>5KK008</t>
  </si>
  <si>
    <t>PLANISICH OLGA BEATRIZ</t>
  </si>
  <si>
    <t>5KM003</t>
  </si>
  <si>
    <t>ZALAZAR WALTER DAMIAN</t>
  </si>
  <si>
    <t>CALLE 10 NRO 1050</t>
  </si>
  <si>
    <t>LAS TOSCAS</t>
  </si>
  <si>
    <t>5KN003</t>
  </si>
  <si>
    <t>GAONA JUAN CARLOS</t>
  </si>
  <si>
    <t>AV AVALOS 399</t>
  </si>
  <si>
    <t>RESISTENCIA..CHACO</t>
  </si>
  <si>
    <t>5KN004</t>
  </si>
  <si>
    <t>MENA SILVIA SUSANA</t>
  </si>
  <si>
    <t>AV. AVALOS 20</t>
  </si>
  <si>
    <t>RESISTENCIA.CHACO</t>
  </si>
  <si>
    <t>5KN006</t>
  </si>
  <si>
    <t>BULONERA LUCCA S.R.L</t>
  </si>
  <si>
    <t>SICAS 32</t>
  </si>
  <si>
    <t>RESISTENCIA CHACO</t>
  </si>
  <si>
    <t>5KO001</t>
  </si>
  <si>
    <t>RAMIREZ JORGE</t>
  </si>
  <si>
    <t>AV INDEPENDENCIA 3520</t>
  </si>
  <si>
    <t>CORRIENTES</t>
  </si>
  <si>
    <t>5KO002</t>
  </si>
  <si>
    <t>BUZZI HERMANOS SRL</t>
  </si>
  <si>
    <t>AV GOBERNADOR RUIZ 2335</t>
  </si>
  <si>
    <t>5KP001</t>
  </si>
  <si>
    <t>GARCIA Y REY SH</t>
  </si>
  <si>
    <t>JULIO A ROCA 183</t>
  </si>
  <si>
    <t>MACHAGAI..CHACO</t>
  </si>
  <si>
    <t>MACHAGAI</t>
  </si>
  <si>
    <t>5KP002</t>
  </si>
  <si>
    <t>ROCA SOLA SA COMERCIAL INDUSTRIAL Y AGROPECUARIA</t>
  </si>
  <si>
    <t>AVDA.SARMIENTO 101</t>
  </si>
  <si>
    <t>MACHAGAI-CHACO</t>
  </si>
  <si>
    <t>5KP003</t>
  </si>
  <si>
    <t>ARGUELLO JOSE ALEJANDRO</t>
  </si>
  <si>
    <t>ACCESO FELIX AGUIRRE Nº 320</t>
  </si>
  <si>
    <t>5KQ001</t>
  </si>
  <si>
    <t>ORTEGA GENOBEVA</t>
  </si>
  <si>
    <t>SAN MARTIN 330</t>
  </si>
  <si>
    <t>QUITILIPI...CHACO</t>
  </si>
  <si>
    <t>5KR001</t>
  </si>
  <si>
    <t>ZAWADZKI ADRIAN MARCELO</t>
  </si>
  <si>
    <t>LOPEZ Y PLANES ESQ AV 2</t>
  </si>
  <si>
    <t>PTE ROQUE SAENZ PEÑA</t>
  </si>
  <si>
    <t>5KR004</t>
  </si>
  <si>
    <t>BULONERA EL TIGRE SAS</t>
  </si>
  <si>
    <t>COMANDANTE FERNANDEZ 48</t>
  </si>
  <si>
    <t>5KR005</t>
  </si>
  <si>
    <t>PEÑA GUSTAVO ALFREDO</t>
  </si>
  <si>
    <t>AVENIDA 33 ESQUINA 2 0</t>
  </si>
  <si>
    <t>5KU001</t>
  </si>
  <si>
    <t>AVENIDA SRL</t>
  </si>
  <si>
    <t>PRINGLES Y CONSTITUCION</t>
  </si>
  <si>
    <t>CHARATA...CHACO</t>
  </si>
  <si>
    <t>5KV004</t>
  </si>
  <si>
    <t>GLADIS MARILU SRL</t>
  </si>
  <si>
    <t>AV.URUGUAY 4140</t>
  </si>
  <si>
    <t>POSADAS...MISIONES</t>
  </si>
  <si>
    <t>POSADAS</t>
  </si>
  <si>
    <t>5KV005</t>
  </si>
  <si>
    <t>SCHWEGLER &amp; CIA SRL</t>
  </si>
  <si>
    <t>MENDOZA 2256</t>
  </si>
  <si>
    <t>5KV006</t>
  </si>
  <si>
    <t>BULONERA POSADAS S.R.L</t>
  </si>
  <si>
    <t>AV URUGUAY 3457</t>
  </si>
  <si>
    <t>5KW004</t>
  </si>
  <si>
    <t>MEDINA MARIO F.(bul.avenida)</t>
  </si>
  <si>
    <t>AV.HUMADA RAMELLA 465</t>
  </si>
  <si>
    <t>APOSTOLES..MISIONES</t>
  </si>
  <si>
    <t>APOSTOLES</t>
  </si>
  <si>
    <t>5KY001</t>
  </si>
  <si>
    <t>PREVOSTI HECTOR OSCAR</t>
  </si>
  <si>
    <t>ESTRADA 91</t>
  </si>
  <si>
    <t>OBERA.. MISIONES</t>
  </si>
  <si>
    <t>5KY003</t>
  </si>
  <si>
    <t>BULONERA CENTRO SRL</t>
  </si>
  <si>
    <t>AVELLANEDA 849</t>
  </si>
  <si>
    <t>5KY004</t>
  </si>
  <si>
    <t>DEL LIBANO SRL</t>
  </si>
  <si>
    <t>JUJUY 301</t>
  </si>
  <si>
    <t>OBERA-MISIONES</t>
  </si>
  <si>
    <t>BALBIN 1037</t>
  </si>
  <si>
    <t>SAN VICENTE</t>
  </si>
  <si>
    <t>5LA000</t>
  </si>
  <si>
    <t>CADAMURO OSCAR ALFREDO</t>
  </si>
  <si>
    <t>SAN MARTIN 770</t>
  </si>
  <si>
    <t>TUCUMAN-SALTA-JUJUY</t>
  </si>
  <si>
    <t>COLOMBRES Y RIVADAVIA</t>
  </si>
  <si>
    <t>ALBERDI</t>
  </si>
  <si>
    <t>5LA002</t>
  </si>
  <si>
    <t>CARRARO SRL</t>
  </si>
  <si>
    <t>EVA PERON 76</t>
  </si>
  <si>
    <t>FRIAS</t>
  </si>
  <si>
    <t>5LC004</t>
  </si>
  <si>
    <t>BULONERIA CONCEPCION SRL</t>
  </si>
  <si>
    <t>ESPAÑA 668</t>
  </si>
  <si>
    <t>5LF001</t>
  </si>
  <si>
    <t>JUAN MIGUEL JACINTO</t>
  </si>
  <si>
    <t>AV SIRIA 1098</t>
  </si>
  <si>
    <t>5LF002</t>
  </si>
  <si>
    <t>BOSIO PABLO ADRIAN</t>
  </si>
  <si>
    <t>JOSE COLOMBRE 232</t>
  </si>
  <si>
    <t>5LF003</t>
  </si>
  <si>
    <t>TRIVIÑO JUAN JOSE</t>
  </si>
  <si>
    <t>SAN MARTIN 1492</t>
  </si>
  <si>
    <t>5LF004</t>
  </si>
  <si>
    <t>HUINCA RENANCO NORTE SRL</t>
  </si>
  <si>
    <t>9 DE JULIO 948</t>
  </si>
  <si>
    <t>5LF011</t>
  </si>
  <si>
    <t>BULONERIA BELGRANO SRL</t>
  </si>
  <si>
    <t>AVENIDA BELGRANO 1532</t>
  </si>
  <si>
    <t>SAN MIGUEL DE TUCUMA</t>
  </si>
  <si>
    <t>5LF012</t>
  </si>
  <si>
    <t>CARLINO HNOS S.A</t>
  </si>
  <si>
    <t>AV MITRE 349</t>
  </si>
  <si>
    <t>5LF014</t>
  </si>
  <si>
    <t>ELEMENTOS Y  MATERIALES INDUSTRIALES SRL</t>
  </si>
  <si>
    <t>AV.ROCA 332</t>
  </si>
  <si>
    <t>5LF015</t>
  </si>
  <si>
    <t>LUCENA ANGEL OMAR</t>
  </si>
  <si>
    <t>B 60 VIVIENDAS MZA A CASA 1</t>
  </si>
  <si>
    <t>LOS VALLISTOS</t>
  </si>
  <si>
    <t>5LF016</t>
  </si>
  <si>
    <t>NORTE HERRAMIENTAS SRL</t>
  </si>
  <si>
    <t>BENJAMIN VILLAFAÑE 1569</t>
  </si>
  <si>
    <t>SAN MIGUEL D TUCUMAN</t>
  </si>
  <si>
    <t>5LF018</t>
  </si>
  <si>
    <t>FERRETERA DEL NORTE S R L</t>
  </si>
  <si>
    <t>SAN MIGUEL 652</t>
  </si>
  <si>
    <t>5LF020</t>
  </si>
  <si>
    <t>SUCESION DE MARTINEZ VICTOR HUGO</t>
  </si>
  <si>
    <t>5MA002</t>
  </si>
  <si>
    <t>BARALE NANTERNE ERIC YOEL</t>
  </si>
  <si>
    <t>20 DE FEBRERO 370</t>
  </si>
  <si>
    <t>ROSARIO DE LA FRONTE</t>
  </si>
  <si>
    <t>5MB001</t>
  </si>
  <si>
    <t>RUBIO DIEGO LUIS</t>
  </si>
  <si>
    <t>JOSE SIERRA Y BS AS</t>
  </si>
  <si>
    <t>METAN..SALTA</t>
  </si>
  <si>
    <t>5MB002</t>
  </si>
  <si>
    <t>ABRAHAM ROQUE ANTONIO</t>
  </si>
  <si>
    <t>ARENALES 400 ESQ.TUCUMAN</t>
  </si>
  <si>
    <t>METAN.SALTA</t>
  </si>
  <si>
    <t>5MC001</t>
  </si>
  <si>
    <t>BULONERIA LA TUERCA SH</t>
  </si>
  <si>
    <t>CARLOS PELLEGRINI 888</t>
  </si>
  <si>
    <t>SALTA</t>
  </si>
  <si>
    <t>5MC004</t>
  </si>
  <si>
    <t>IMPLEMENTOS INDUSTRIALES SRL</t>
  </si>
  <si>
    <t>AV CHILE 1290</t>
  </si>
  <si>
    <t>5MC006</t>
  </si>
  <si>
    <t>ORESTE ENRIQUE FIORI SRL</t>
  </si>
  <si>
    <t>R. DURAÑONA 207 -PQUE INDUSTR.</t>
  </si>
  <si>
    <t>5MC010</t>
  </si>
  <si>
    <t>ARAMAYO MIRTA BLANCA</t>
  </si>
  <si>
    <t>5MC015</t>
  </si>
  <si>
    <t>MS INSUMOS SRL</t>
  </si>
  <si>
    <t>COMBATE DE LOS POZOS 774</t>
  </si>
  <si>
    <t>5ME001</t>
  </si>
  <si>
    <t>LA BULONERA DE LETTOLI RUBEN</t>
  </si>
  <si>
    <t>SAN MARTIN 480</t>
  </si>
  <si>
    <t>PERICO .. JUJUY</t>
  </si>
  <si>
    <t>PERICO</t>
  </si>
  <si>
    <t>5ME002</t>
  </si>
  <si>
    <t>YAMIN JUAN MARCELO</t>
  </si>
  <si>
    <t>SAN MARTIN Y ALBERDI</t>
  </si>
  <si>
    <t>PERICO.. JUJUY</t>
  </si>
  <si>
    <t>5ME003</t>
  </si>
  <si>
    <t>LETTOLI CESAR</t>
  </si>
  <si>
    <t>ITALIA 102</t>
  </si>
  <si>
    <t>5MG001</t>
  </si>
  <si>
    <t>DERGAM SRL</t>
  </si>
  <si>
    <t>J M GORRITI 120 ESQ LAS HERAS</t>
  </si>
  <si>
    <t>SAN SALV. DE JUJUY</t>
  </si>
  <si>
    <t>5MG002</t>
  </si>
  <si>
    <t>ANUN MARCOS FABIAN</t>
  </si>
  <si>
    <t>SAN SALV.DE JUJUY</t>
  </si>
  <si>
    <t>5MG006</t>
  </si>
  <si>
    <t>SAN SALVADOR DE JUJU</t>
  </si>
  <si>
    <t>5MG007</t>
  </si>
  <si>
    <t>CARVAJAL JUAN CARLOS</t>
  </si>
  <si>
    <t>AV CORRIENTES 2892</t>
  </si>
  <si>
    <t>5MJ001</t>
  </si>
  <si>
    <t>ALVAREZ Y CIA SRL</t>
  </si>
  <si>
    <t>AV LIBERTADOR 154</t>
  </si>
  <si>
    <t>GRAL SAN MARTIN</t>
  </si>
  <si>
    <t>5MJ002</t>
  </si>
  <si>
    <t>LOS NIETOS DE C.SANCHEZ SRL</t>
  </si>
  <si>
    <t>JUJUY 273</t>
  </si>
  <si>
    <t>6A0001</t>
  </si>
  <si>
    <t>MALKONI HNOS.S.A.</t>
  </si>
  <si>
    <t>REPUBLICA DE SIRIA 473</t>
  </si>
  <si>
    <t>6A0005</t>
  </si>
  <si>
    <t>BOTLIK ALEJANDRO DESIDERO</t>
  </si>
  <si>
    <t>RIVADAVIA 453</t>
  </si>
  <si>
    <t>6A0019</t>
  </si>
  <si>
    <t>MADERAS NAHUEL S.R.L</t>
  </si>
  <si>
    <t>IGUALDAD 2488</t>
  </si>
  <si>
    <t>6A0024</t>
  </si>
  <si>
    <t>BELANICH ALEJANDRO DANIEL</t>
  </si>
  <si>
    <t>SANTA ANA 2905</t>
  </si>
  <si>
    <t>6A0026</t>
  </si>
  <si>
    <t>BAENA GABRIELA ALEJANDRA</t>
  </si>
  <si>
    <t>AV.CARAFFA 2295</t>
  </si>
  <si>
    <t>6A0027</t>
  </si>
  <si>
    <t>JORGE ROBERTO JUAN</t>
  </si>
  <si>
    <t>AV. COLON 2963</t>
  </si>
  <si>
    <t>6A0030</t>
  </si>
  <si>
    <t>CANOVAS DIEGO RAUL(UNITOR)</t>
  </si>
  <si>
    <t>AV. PUEYRREDON 2333</t>
  </si>
  <si>
    <t>6A0041</t>
  </si>
  <si>
    <t>BULONERIA LA BRONCA</t>
  </si>
  <si>
    <t>AV SABATTINI 4004</t>
  </si>
  <si>
    <t>6A0045</t>
  </si>
  <si>
    <t>MIANI RUTH ESTHER(OXIGENO SUR)</t>
  </si>
  <si>
    <t>AV. VELEZ SARFIELD 3682,</t>
  </si>
  <si>
    <t>6A0053</t>
  </si>
  <si>
    <t>ELECTRO CORDOBA S.A</t>
  </si>
  <si>
    <t>ARELLANO 1080</t>
  </si>
  <si>
    <t>6A0054</t>
  </si>
  <si>
    <t>AVTOR SRL</t>
  </si>
  <si>
    <t>AV CASTRO BARROS 1527</t>
  </si>
  <si>
    <t>BAJO GALAN</t>
  </si>
  <si>
    <t>6A0056</t>
  </si>
  <si>
    <t>TARDITO JUAN ANTONIO</t>
  </si>
  <si>
    <t>BV LOS GRANADEROS 2835</t>
  </si>
  <si>
    <t>6A0057</t>
  </si>
  <si>
    <t>SISTEMA FIJACIONES S.A</t>
  </si>
  <si>
    <t>PEDRO ZANNI 85. B ALBERDI</t>
  </si>
  <si>
    <t>6A0059</t>
  </si>
  <si>
    <t>CARLINI CLAUDIO DANIEL</t>
  </si>
  <si>
    <t>DUARTE QUIROZ 3021</t>
  </si>
  <si>
    <t>CÓRDOBA</t>
  </si>
  <si>
    <t>6A0061</t>
  </si>
  <si>
    <t>SANCHEZ MARTINEZ E HIJOS S.A.</t>
  </si>
  <si>
    <t>ARMADA ARGENTINA 2676</t>
  </si>
  <si>
    <t>6A0062</t>
  </si>
  <si>
    <t>BUSTOS JUAN PABLO</t>
  </si>
  <si>
    <t>DUARTE QUIROS 4568</t>
  </si>
  <si>
    <t>6A0063</t>
  </si>
  <si>
    <t>NOVA SERVICIOS S.R.L</t>
  </si>
  <si>
    <t>AV. JUAN B JUSTO 2501</t>
  </si>
  <si>
    <t>6A0067</t>
  </si>
  <si>
    <t>SUCESION DE VALONI LUIS ERNESTO</t>
  </si>
  <si>
    <t>ISABEL LA CATOLICA 730</t>
  </si>
  <si>
    <t>6A0068</t>
  </si>
  <si>
    <t>ANGELETTI ALFREDO MARTIN</t>
  </si>
  <si>
    <t>GONGORA 856</t>
  </si>
  <si>
    <t>6A0069</t>
  </si>
  <si>
    <t>BEST SRL</t>
  </si>
  <si>
    <t>6A0070</t>
  </si>
  <si>
    <t>VELO LEONARDO DAMIAN</t>
  </si>
  <si>
    <t>GORRITI 1365</t>
  </si>
  <si>
    <t>6A0071</t>
  </si>
  <si>
    <t>JCM S.A.S</t>
  </si>
  <si>
    <t>BELTRAN FRAY LUIS 3156</t>
  </si>
  <si>
    <t>HOLMBERG</t>
  </si>
  <si>
    <t>6A0073</t>
  </si>
  <si>
    <t>BULPLUS S.A.S</t>
  </si>
  <si>
    <t>6A0074</t>
  </si>
  <si>
    <t>FERRETERIA BATTISTON S.H</t>
  </si>
  <si>
    <t>RAUL ORGAZ 1598, YOFRE SUD</t>
  </si>
  <si>
    <t>6A0075</t>
  </si>
  <si>
    <t>PERALTA JULIO CESAR</t>
  </si>
  <si>
    <t>HOMERO 2431 DPTO 2</t>
  </si>
  <si>
    <t>6A0078</t>
  </si>
  <si>
    <t>SERRAT VERONICA DEL VALLE</t>
  </si>
  <si>
    <t>AV.ARMADA ARGENTINA 655</t>
  </si>
  <si>
    <t>6A0079</t>
  </si>
  <si>
    <t>GARCIA JORGE DARIO</t>
  </si>
  <si>
    <t>BODEREAU 9090</t>
  </si>
  <si>
    <t>6A0081</t>
  </si>
  <si>
    <t>FERRETERIA MARCUZZI S.A.S</t>
  </si>
  <si>
    <t>AV. LAS MALVINAS 3500</t>
  </si>
  <si>
    <t>6A0082</t>
  </si>
  <si>
    <t>BULONERA GENERAL PAZ S.R.L</t>
  </si>
  <si>
    <t>FRANCISCO DE QUEVEDO 43</t>
  </si>
  <si>
    <t>6A0083</t>
  </si>
  <si>
    <t>DIIMA SRL</t>
  </si>
  <si>
    <t>AV. JAPON 15 P.B</t>
  </si>
  <si>
    <t>350X3.2X25.4mm
corte metal</t>
  </si>
  <si>
    <t>254mm(10") *40T*30mm
Apto para corte humedo</t>
  </si>
  <si>
    <t>254mm(10")*60T*30mm
Apto para corte humedo</t>
  </si>
  <si>
    <t>305mm(12") *60T*30mm
Corte humedo</t>
  </si>
  <si>
    <t>Incluye:
 8 Sierra copa: 3/4 "(19 mm), 7/8" (22 mm), 1-1 / 8 "(29 mm), 1-1 / 4" (32 mm), 1-1 / 2 "(38 mm) , 1-3 / 4 "(44 mm), 2" (51 mm), 2-1 / 2 "(64 mm)
2 unidades de vastago para sierra copa 
1 Llave allen : 2,5 mm</t>
  </si>
  <si>
    <t>Incluye:
5 sierra copa: 2-1/2”（64mm),3"(76mm),3-1/2"(89mm),4"(102mm),5"(127mm)
1 vastago para sierra copa
1 Llave allen:2.5mm
1 placa de ajuste</t>
  </si>
  <si>
    <t>Incluye:
12 sierra copa : 19 mm (3/4 ″), 22 mm (7/8 ″), 29 mm (1-1 / 8 ″), 32 mm (1-
1/4 ″), 38 mm (1-1 / 2 ″) , l 44 mm (1-3 / 4 ″), 51 mm (2 ″),
64 mm (2-1 / 2 ″), 76 mm (3 ″), 89 mm (3-1 / 2 ″),
102 mm (4 ″), 127 mm (5 ″)
2 uds vastago para sierra copa: 1/4 ″ + 3/8 ″
1 Llave allen: 2,5 mm
1 Placa de ajuste</t>
  </si>
  <si>
    <t>Incluye:
1 mecha para madera plana: 7/8"x6″ / (22.2×152 mm), con vástago hexagonal de liberación rápida de 1/4
1 Sierra copa: 2-1 / 8″ (54 mm)
1 vastago para sierra copa</t>
  </si>
  <si>
    <t>7 Sierra copa: 26，32，38，45，50，56，63mm
altura: 25mm (1")</t>
  </si>
  <si>
    <t>8 Sierra copa: 26，32，38，45，50，56，63mm
altura: 50mm (2")</t>
  </si>
  <si>
    <t>Incluye:
5 brocas : Ø38 mm x 170 mm, Ø52 mm x 170 mm,
Ø65 mm x 170 mm, Ø117 mm x 170 mm,
Ø127 mm x 170 mm
1 adaptador SDS +: 115
mm
 1 adaptador SDS + extensión: 240 mm
  1 adaptador hexagonal: 12 x 88 mm
 1 extensión hexagonal adaptador: 12 x 240 mm
1 mecha central: 10 x 200 mm
1 llave de derivación: 6 x 50 mm</t>
  </si>
  <si>
    <t>HERRAMIENTAS AISLANTES</t>
  </si>
  <si>
    <t>2", 3", 4", 5"</t>
  </si>
  <si>
    <t>EMBUDO</t>
  </si>
  <si>
    <t>250mm / 10"- 25mm / 1"</t>
  </si>
  <si>
    <t>¼</t>
  </si>
  <si>
    <t>JUEGO DE PUNTAS (15 PIEZAS)</t>
  </si>
  <si>
    <t>JUEGO DE PUNTAS (40 PIEZAS)</t>
  </si>
  <si>
    <t>JUEGO DE BOQUILLAS (3 PIEZAS)</t>
  </si>
  <si>
    <t>ADAPATADOR SDS-PLUS
(3 PIEZAS)</t>
  </si>
  <si>
    <t>Ø10mm x 1/4"
Ø10mm x 3/8"
Ø10mm x 1/2"</t>
  </si>
  <si>
    <t xml:space="preserve"> 1/2“x30m
Material: PVC con refuerzo de hilo de poliéster
Presión máxima de trabajo: 400psi</t>
  </si>
  <si>
    <t>9"</t>
  </si>
  <si>
    <t>2pcs 4"
2pcs 6"</t>
  </si>
  <si>
    <t>75mm, 3"</t>
  </si>
  <si>
    <t>Medida: 225mm
diametro de corte: 3-42mm(1-1/4")
cuerpo de aleación de alumunio
Función de apertura automatica
Apto para cortar: PVC/PPR/PU/PE/PEX.</t>
  </si>
  <si>
    <t>19mm,3/4”</t>
  </si>
  <si>
    <t>24mm, 15/ 16”</t>
  </si>
  <si>
    <t>30mm, 1-3/ 16”</t>
  </si>
  <si>
    <t>35mm, 1-3/8”</t>
  </si>
  <si>
    <t>6x7mm</t>
  </si>
  <si>
    <t>16x17mm</t>
  </si>
  <si>
    <t>18x19mm</t>
  </si>
  <si>
    <t>20x22mm</t>
  </si>
  <si>
    <t>21x23mm</t>
  </si>
  <si>
    <t>24x27mm</t>
  </si>
  <si>
    <t>25x28mm</t>
  </si>
  <si>
    <t>30x32mm</t>
  </si>
  <si>
    <t>6,7,8,9,10
11,12,13,14,
17,19,22mm</t>
  </si>
  <si>
    <t>6x7, 8x9, 10x11,
12x13, 14x15,
16x17, 18x19,
20x22mm</t>
  </si>
  <si>
    <t>8,10,12,13,14,
15,17,19mm</t>
  </si>
  <si>
    <t>6,7,8,10,12,13,
14,17,19,22,2
4,27,30,32mm</t>
  </si>
  <si>
    <t>6x7,8x9,10x11,1
2x13,14x15,16x
17,18x19,20x22,
21x23,24x27,25
x28,30x32mm</t>
  </si>
  <si>
    <t xml:space="preserve"> 8-10-13-17-19</t>
  </si>
  <si>
    <t xml:space="preserve"> 3/8"-3/4"</t>
  </si>
  <si>
    <t xml:space="preserve"> 1/4"-15/16"</t>
  </si>
  <si>
    <t>3" / 75mm</t>
  </si>
  <si>
    <t>5" / 125mm</t>
  </si>
  <si>
    <t>10" / 250mm</t>
  </si>
  <si>
    <t>1/2"F x 3/4"M</t>
  </si>
  <si>
    <t>10,12,13,14,15,1
7,19,21,22,24mm</t>
  </si>
  <si>
    <t>HERRAMIENTAS P/ PINTURA Y ALBAÑILERIA</t>
  </si>
  <si>
    <t>1" / 1.5” / 2“</t>
  </si>
  <si>
    <t>2" / 3” / 4“</t>
  </si>
  <si>
    <t>Medida: 9''/225mm
Acero
Eje con ranura dentada, con cortador</t>
  </si>
  <si>
    <t>Medida: 225mm / 9"
Cuerpo de aluminio, gatillo de acero</t>
  </si>
  <si>
    <t>Medida: 9''/225mm
Cuerpo de acero, gatillo de aluminio</t>
  </si>
  <si>
    <t xml:space="preserve">HERRAMIENTAS PARA ACABADO </t>
  </si>
  <si>
    <t>8"
Incluye:
Limas: Plana, media caña, redonda.
Acero T12.
Mango de doble componente plastico.
Presentación: blister.</t>
  </si>
  <si>
    <t>8"
Incluye:
Escofinas: Plana, media caña, redonda.
Acero de uso industrial.
Mango de doble componente plastico.
Presentación: blister.</t>
  </si>
  <si>
    <t>8"
Incluye:
Limas: Plana, media caña, redonda, trinagular.
Escofina media caña.</t>
  </si>
  <si>
    <t>3mm*100mm
Incluye: 
1 Plana,1  Plana de protección,1 Cuadrada, 1 Triangular,
1 Redonda, 1 Media caña.</t>
  </si>
  <si>
    <t>0.2-20m,
0.65-65.5ft</t>
  </si>
  <si>
    <t>0.2-60m,</t>
  </si>
  <si>
    <t>CUERDA DE EQUIPAJE</t>
  </si>
  <si>
    <t>MARCADOR PERMANENTE</t>
  </si>
  <si>
    <t>CINCEL SDS-PLUS INDUSTRIAL</t>
  </si>
  <si>
    <t>DISCO DESBASTE CENTR DEPRIMDO</t>
  </si>
  <si>
    <t>SIERRAS CIRCULARES P/ ALUMINIO</t>
  </si>
  <si>
    <t>DISCO CORTE DIAMAN SEGMENTADO</t>
  </si>
  <si>
    <t>DISCO DE CORTE DIAMAN CONTINUO</t>
  </si>
  <si>
    <t>DISCO D CORTE DIAMANTADO TURBO</t>
  </si>
  <si>
    <t>DISCO CORTE DIAM ULTRAFINO IND</t>
  </si>
  <si>
    <t>D/C DIAM ULTRAFINO LAR DUR IND</t>
  </si>
  <si>
    <t>SIERRA COPA</t>
  </si>
  <si>
    <t>DISCO FLAP OXIDO DE ZIRCONIO</t>
  </si>
  <si>
    <t>JUEGO DE SIERRA COPA (11 PZAS)</t>
  </si>
  <si>
    <t>JUEGO DE SIERRA COPA (8 PZAS)</t>
  </si>
  <si>
    <t>JUEGO DE SIERRA COPA 16 PZAS</t>
  </si>
  <si>
    <t>JGO P/INST CERRADURA Y SI.COPA</t>
  </si>
  <si>
    <t>JUEGO DE SIERRA COPA (7 PZAS)</t>
  </si>
  <si>
    <t>JGO D BROCAS DIAMANT (11 PZAS)</t>
  </si>
  <si>
    <t>VASTAGO PARA SIERRA COPA</t>
  </si>
  <si>
    <t>TUBO FLEXIBLE P/ ENGRASADORA</t>
  </si>
  <si>
    <t>INFLADOR DE MANO</t>
  </si>
  <si>
    <t>CABLE DE REFUERZO DE BATERIA</t>
  </si>
  <si>
    <t>JUEGO DE EMBUDOS</t>
  </si>
  <si>
    <t>CUCHILLA HOJA PLEGABLE</t>
  </si>
  <si>
    <t>DESTORNILLADOR PHILLIPS</t>
  </si>
  <si>
    <t>DESTORNILLADOR PLANO CORTO</t>
  </si>
  <si>
    <t>JGO. PUNTAS Y DESTORN.(11PZAS)</t>
  </si>
  <si>
    <t>JGOL/ALLEN HEX BOL EXT LARGA</t>
  </si>
  <si>
    <t>ENGRANPADORA</t>
  </si>
  <si>
    <t>MARTILLO PARA MECANICO</t>
  </si>
  <si>
    <t>MAZA DE ACERO</t>
  </si>
  <si>
    <t>MARTILLO TIPO BOLITA</t>
  </si>
  <si>
    <t>MAZA DE GOMA DE GOLPE BLANDO</t>
  </si>
  <si>
    <t>CINCEL PUNTA</t>
  </si>
  <si>
    <t>CINCEL PUNTA PLANA</t>
  </si>
  <si>
    <t>BARRA DE PALANCA PLANA</t>
  </si>
  <si>
    <t>DOBLE ACOPLAMIENTO</t>
  </si>
  <si>
    <t>TRIPLE ACOPLAMIENTO</t>
  </si>
  <si>
    <t>AZADA CON HORQUILLA</t>
  </si>
  <si>
    <t>RASTRILLO DE MANO</t>
  </si>
  <si>
    <t>ASPERSOR DE IMPULSO METALICO</t>
  </si>
  <si>
    <t>TIJERA DE PODAR RECTA</t>
  </si>
  <si>
    <t>MANGUERA REFORZADA</t>
  </si>
  <si>
    <t>TANZA CUADRADA VERDE</t>
  </si>
  <si>
    <t>TANZA CUADRADA NARANJA</t>
  </si>
  <si>
    <t>TANZA CUADRADA ROJO</t>
  </si>
  <si>
    <t>TANZA CUADRADA AMARILLO</t>
  </si>
  <si>
    <t>PINZA PICO DE LORO INDUSTRIAL</t>
  </si>
  <si>
    <t>PINZA PRESION TIPO HOJALATERA</t>
  </si>
  <si>
    <t>PRENSA DE AGARRE CON BLOQUEO</t>
  </si>
  <si>
    <t>PINZA PRESION TIPO SOLDADOR</t>
  </si>
  <si>
    <t>PINZA PARA ENCOLAR</t>
  </si>
  <si>
    <t>MORSA DE BANCO ROTATIVA</t>
  </si>
  <si>
    <t>JG PRENSA P/ENCOLAR LIB RAPIDA</t>
  </si>
  <si>
    <t>CORTA CAÑO</t>
  </si>
  <si>
    <t>SOPORTE MAGNETICO TIPO FLECHA</t>
  </si>
  <si>
    <t>MARTILLO SOLDADOR</t>
  </si>
  <si>
    <t>LLAVE AJUSTABLE D ALUMINIO IND</t>
  </si>
  <si>
    <t>LLAVE COMB CON CRIQUE PULGADA</t>
  </si>
  <si>
    <t>LLAVE AJUSTABLE INDUSTRIAL</t>
  </si>
  <si>
    <t>JGO. LLAVES COMB(12PZAS) 15075</t>
  </si>
  <si>
    <t>JGO. LLAVES COMB (8PZAS) 15159</t>
  </si>
  <si>
    <t>JGO LLAVES COMB (14PZAS) 15160</t>
  </si>
  <si>
    <t>LLAVE CRUZ</t>
  </si>
  <si>
    <t>LLAVE T</t>
  </si>
  <si>
    <t>LLAVE TUBO ARTICULADA DOBLE</t>
  </si>
  <si>
    <t>JGO B.LLAVE SAE 1/4 13 PZA IND</t>
  </si>
  <si>
    <t>JGO B.LLAVE SAE 3/8 12 PZA IND</t>
  </si>
  <si>
    <t>JGO B.LLAVE SAE 1/2 12 PZA IND</t>
  </si>
  <si>
    <t>B/LLAVE HEXA ENCAST1/2 PUL IND</t>
  </si>
  <si>
    <t>JGO BOCALLAVES 3/4 15 PZA IND</t>
  </si>
  <si>
    <t>JGO HERRAMIENTAS 175 PZAS IND</t>
  </si>
  <si>
    <t>JGO HERRAMIENTAS 216 PZAS IND</t>
  </si>
  <si>
    <t>JGO DE HERRAMIENTAS 119 PZAS</t>
  </si>
  <si>
    <t>JGO DE HERRAMIENTAS 89 PZAS</t>
  </si>
  <si>
    <t>CAJA DE HERRAMIENTAS PLAST IND</t>
  </si>
  <si>
    <t>CAJA HERRAMIENTAS METALICA IND</t>
  </si>
  <si>
    <t>MANGUERA DE AIRE</t>
  </si>
  <si>
    <t>PISTOLA INFLADORA D NEUMATICOS</t>
  </si>
  <si>
    <t>KIT DE HERRA. DE AIRE 5 PZAS</t>
  </si>
  <si>
    <t>ESPATULA</t>
  </si>
  <si>
    <t>PINCEL PARA PINTURA INDUSTRIAL</t>
  </si>
  <si>
    <t>JGO DE PINCEL P/PINTURA 3 PZAS</t>
  </si>
  <si>
    <t>BANDEJA PARA RODILLO</t>
  </si>
  <si>
    <t>MEZCLADOR D PINTURA HEXAGONAL</t>
  </si>
  <si>
    <t>ALARGADOR DE MANGO EXTENSIBLE</t>
  </si>
  <si>
    <t>LLANA LISA INDUSTRIAL</t>
  </si>
  <si>
    <t>LLANA DENTADA INDUSTRIAL</t>
  </si>
  <si>
    <t>FRATACHO</t>
  </si>
  <si>
    <t>CORTA CERAMICO</t>
  </si>
  <si>
    <t>CORTA CERAMICO INDUSTRIAL</t>
  </si>
  <si>
    <t>REPUESTO DE CORTA CERAMICO</t>
  </si>
  <si>
    <t>LINEA ENTIZADA EN POLVO</t>
  </si>
  <si>
    <t>PISTOLA P/ SILICONA 3 EN 1 IND</t>
  </si>
  <si>
    <t>PICO DE SILICONA</t>
  </si>
  <si>
    <t>PISTOLA PARA SILICONA (IND)</t>
  </si>
  <si>
    <t>LIMA PARA METAL PLANA</t>
  </si>
  <si>
    <t>LIMA PARA METAL MEDIA CAÑA</t>
  </si>
  <si>
    <t>LIMA PARA METAL REDONDA</t>
  </si>
  <si>
    <t>LIMA PARA METAL TRIANGULAR</t>
  </si>
  <si>
    <t>ESCOFINA PLANA</t>
  </si>
  <si>
    <t>ESCOFINA MEDIA CAÑA</t>
  </si>
  <si>
    <t>ESCOFINA REDONDA</t>
  </si>
  <si>
    <t>JGO DE LIMAS PARA METAL 3 PZAS</t>
  </si>
  <si>
    <t>JGO DE LIMA Y ESCOFINA 5 PZAS</t>
  </si>
  <si>
    <t>JGO LIMAS MATRICERO 6PZAS</t>
  </si>
  <si>
    <t>PIEDRA P/AFILAR RECTANGULAR</t>
  </si>
  <si>
    <t>PELACABLES AUTOMATICO</t>
  </si>
  <si>
    <t>PELACABLES AUTOMAT. AJUSTABLE</t>
  </si>
  <si>
    <t>PINZA CRIMPEADORA INDUSTRIAL</t>
  </si>
  <si>
    <t>REGLA DE ACERO INOXIDABLE</t>
  </si>
  <si>
    <t>CANDADO DE HIERRO</t>
  </si>
  <si>
    <t>PORTA CINTA DE EMBALAR</t>
  </si>
  <si>
    <t>CINTA DE EMBALAJE BOPP MARRON</t>
  </si>
  <si>
    <t>CINTA DE ENMASCARAR (2 PIEZAS)</t>
  </si>
  <si>
    <t>CINTA MULTIPROPOSITO ALUMINIO</t>
  </si>
  <si>
    <t>CERRADURA DE CANDADO</t>
  </si>
  <si>
    <t>CANDADO PARA BICICLETA</t>
  </si>
  <si>
    <t>VENTOSA PARA VIDRIO</t>
  </si>
  <si>
    <t>VENTOSA DOBLE PARA VIDRIO</t>
  </si>
  <si>
    <t>VENTOSA TRIPLE PARA VIDRIO</t>
  </si>
  <si>
    <t>2NE003</t>
  </si>
  <si>
    <t>MS S.R.L.</t>
  </si>
  <si>
    <t>LISANDRO DE LA TORRE 2043</t>
  </si>
  <si>
    <t>NIVELADOR DE ALUMINIO 35064</t>
  </si>
  <si>
    <t>NIVELADOR DE ALUMINIO 35067</t>
  </si>
  <si>
    <t>1GS010</t>
  </si>
  <si>
    <t>DESCRIPCION</t>
  </si>
  <si>
    <t>MEDIDA</t>
  </si>
  <si>
    <t>BASES</t>
  </si>
  <si>
    <t>NETO</t>
  </si>
  <si>
    <t>TOTAL</t>
  </si>
  <si>
    <t>CODIGO</t>
  </si>
  <si>
    <t>CANTIDAD</t>
  </si>
  <si>
    <t>0AA181</t>
  </si>
  <si>
    <t>FORMAS EQUIPAMIENTOS S.R.L.</t>
  </si>
  <si>
    <t>0AA182</t>
  </si>
  <si>
    <t>ALI TAKCH ANDREA FABIANA</t>
  </si>
  <si>
    <t>1FP005</t>
  </si>
  <si>
    <t>LOZANO HNAS SOCIEDAD POR ACCIONES SIMPLIFICADA</t>
  </si>
  <si>
    <t>ALVEAR 790</t>
  </si>
  <si>
    <t>1GA004</t>
  </si>
  <si>
    <t>MARCHISONE S.A.</t>
  </si>
  <si>
    <t xml:space="preserve">VELEZ SARSFIELD 28 </t>
  </si>
  <si>
    <t>LUQUE</t>
  </si>
  <si>
    <t>NIBROSCH S.A.S.</t>
  </si>
  <si>
    <t>RICARDO  GUIRALDES 38</t>
  </si>
  <si>
    <t>2DN027</t>
  </si>
  <si>
    <t>BULONERA MENDOZA S.A.S.</t>
  </si>
  <si>
    <t>RIVADAVIA</t>
  </si>
  <si>
    <t>URIBURU 6800 LOTE 9- PQUE.EMP.</t>
  </si>
  <si>
    <t>5LA004</t>
  </si>
  <si>
    <t>DEALBERA REPUESTOS S.R.L.</t>
  </si>
  <si>
    <t>5LF021</t>
  </si>
  <si>
    <t>EMPRESA MAYORISTA INDUSTRIAL S.R.L.</t>
  </si>
  <si>
    <t>0AA188</t>
  </si>
  <si>
    <t>V16036</t>
  </si>
  <si>
    <t xml:space="preserve">160mm,6"DIN </t>
  </si>
  <si>
    <t>DESTORNILLADOR PHILLIPS 20023</t>
  </si>
  <si>
    <t>DESTORNILLADOR PHILLIPS 20022</t>
  </si>
  <si>
    <t>ENROLLADOR AUTO D MANGUERA IND</t>
  </si>
  <si>
    <t>230mmx300A</t>
  </si>
  <si>
    <t>250mmx500A</t>
  </si>
  <si>
    <t>LLAVE ESTRIADA ACODADA</t>
  </si>
  <si>
    <t>6x 7mm</t>
  </si>
  <si>
    <t>6x7, 8x9, 10x11,
12x13,14x15,
16x17,
18x19,20x22mm</t>
  </si>
  <si>
    <t>13mm(1/2")-19m
m(3/4")-25mm(1")</t>
  </si>
  <si>
    <t>0AA183</t>
  </si>
  <si>
    <t>PRASAN S.A.S.</t>
  </si>
  <si>
    <t>SIERRA DE LOS GIGANTES</t>
  </si>
  <si>
    <t>BARRIO SAN ISIDRO</t>
  </si>
  <si>
    <t>0AA186</t>
  </si>
  <si>
    <t>METALURGICA LOGAM S.A.S.</t>
  </si>
  <si>
    <t>0AA187</t>
  </si>
  <si>
    <t>FERRETERIA PRADISSITTO S.A.S.</t>
  </si>
  <si>
    <t>CENTRO BULONES S.A.S.</t>
  </si>
  <si>
    <t>0AA189</t>
  </si>
  <si>
    <t>LUNA CLAUDIO DANIEL</t>
  </si>
  <si>
    <t>1DY038</t>
  </si>
  <si>
    <t>SARMIENTO NATALIA VANESA</t>
  </si>
  <si>
    <t>1FS009</t>
  </si>
  <si>
    <t>AHUMADA MAURICIO GABRIEL</t>
  </si>
  <si>
    <t>HIPOLITO IRIGOYEN 1095</t>
  </si>
  <si>
    <t>1GM006</t>
  </si>
  <si>
    <t>PRODEXA S.A.S.</t>
  </si>
  <si>
    <t>PTE. JUAN DOMINGO PERON 131</t>
  </si>
  <si>
    <t>VILLA KRAUSE</t>
  </si>
  <si>
    <t>DESAMPARADOS</t>
  </si>
  <si>
    <t>2DX003</t>
  </si>
  <si>
    <t>LEYES JUAN FRANCISCO</t>
  </si>
  <si>
    <t>GODOY CRUZ 9500 DTO 16M:C</t>
  </si>
  <si>
    <t>C.NOR-ESTE  ARGENTINO</t>
  </si>
  <si>
    <t>5KA006</t>
  </si>
  <si>
    <t>CALLE 20 N 538</t>
  </si>
  <si>
    <t>AVELLANEDA</t>
  </si>
  <si>
    <t>5LF022</t>
  </si>
  <si>
    <t>TRANSPORTE MARTINEZ S.A.S</t>
  </si>
  <si>
    <t>I. D &amp; F</t>
  </si>
  <si>
    <t>440x180mm</t>
  </si>
  <si>
    <t>1/4 SAE</t>
  </si>
  <si>
    <t>3/8 SAE</t>
  </si>
  <si>
    <t>1/2 SAE</t>
  </si>
  <si>
    <t>JGO. LLAVES COMB (8PZAS) 15375</t>
  </si>
  <si>
    <t>JGO LLAVES COMB (12PZAS) 15376</t>
  </si>
  <si>
    <t>JGO B/LLAVE IMP 1/2 
3P
 (IND)</t>
  </si>
  <si>
    <t>17,19,21mm</t>
  </si>
  <si>
    <t>LLAVE FIJA 15051</t>
  </si>
  <si>
    <t>LLAVE FIJA 15052</t>
  </si>
  <si>
    <t>LLAVE FIJA 15053</t>
  </si>
  <si>
    <t>LLAVE FIJA 15054</t>
  </si>
  <si>
    <t>LLAVE FIJA 15055</t>
  </si>
  <si>
    <t>LLAVE FIJA 15056</t>
  </si>
  <si>
    <t>LLAVE FIJA 15057</t>
  </si>
  <si>
    <t>LLAVE FIJA 15058</t>
  </si>
  <si>
    <t>LLAVE FIJA 15059</t>
  </si>
  <si>
    <t>LLAVE FIJA 15060</t>
  </si>
  <si>
    <t>LLAVE FIJA 15061</t>
  </si>
  <si>
    <t>LLAVE FIJA 15062</t>
  </si>
  <si>
    <t>JGO LLAVES COMB (5PZAS) 15155</t>
  </si>
  <si>
    <t>JGO LLAVES ESTRIA ACOD (8P)</t>
  </si>
  <si>
    <t>1/2x15" (380mm)</t>
  </si>
  <si>
    <t>1/2x18" (460mm)</t>
  </si>
  <si>
    <t>B/LLAVE HEX. DE IMP. 1/2</t>
  </si>
  <si>
    <t>B/LLAVE HEX. IMP. LARGO 1/2</t>
  </si>
  <si>
    <t>BARRA EXT. 1/2" (INDUSTRIAL)</t>
  </si>
  <si>
    <t>MOVIMIENTO UNIVERSAL (IND)</t>
  </si>
  <si>
    <t>ADAPT. B/LLAVE (INDUSTRIAL)</t>
  </si>
  <si>
    <t>JGO B/LLAVE 1/2" (10PZAS)(IND)</t>
  </si>
  <si>
    <t>JGO/ALLEN HEXBOLTNAVA 8P 20058</t>
  </si>
  <si>
    <t>JGOL/ALLEN TXT NAVAJA 8P 20059</t>
  </si>
  <si>
    <t>JGO CINCELES MADERA (3PZ)</t>
  </si>
  <si>
    <t>CORTA CAÑO DE PVC 33000</t>
  </si>
  <si>
    <t>NIVELADOR DE ALUMINIO 35225</t>
  </si>
  <si>
    <t>NIVELADOR DE ALUMINIO 35226</t>
  </si>
  <si>
    <t>NIVELADOR DE ALUMINIO 35227</t>
  </si>
  <si>
    <t>NIVELADOR DE ALUMINIO 35229</t>
  </si>
  <si>
    <t>40cm, 16"</t>
  </si>
  <si>
    <t>60cm, 24"</t>
  </si>
  <si>
    <t>80cm, 32"</t>
  </si>
  <si>
    <t>100cm, 40"</t>
  </si>
  <si>
    <t>BUSCAPOLO 38115</t>
  </si>
  <si>
    <t>BUSCAPOLO 38014</t>
  </si>
  <si>
    <t>BUSCAPOLO 38015</t>
  </si>
  <si>
    <t>2mm - NEGRO</t>
  </si>
  <si>
    <t>2mm - ROJO</t>
  </si>
  <si>
    <t>Material ABS, cinta adhesiva 50.8mm.</t>
  </si>
  <si>
    <t>170x70MM, 
Cerdas naturales, 
mango plastico</t>
  </si>
  <si>
    <t>48mm x 50m</t>
  </si>
  <si>
    <t>48mm x 100m</t>
  </si>
  <si>
    <t>48mm x 30m</t>
  </si>
  <si>
    <t>48mmx50m</t>
  </si>
  <si>
    <t>48mmx45m</t>
  </si>
  <si>
    <t>48mm x 25m</t>
  </si>
  <si>
    <t xml:space="preserve">30mm
</t>
  </si>
  <si>
    <t xml:space="preserve">32mm
</t>
  </si>
  <si>
    <t xml:space="preserve">38mm
</t>
  </si>
  <si>
    <t xml:space="preserve">50mm
</t>
  </si>
  <si>
    <t xml:space="preserve">63mm
</t>
  </si>
  <si>
    <t>CARRO ENROLLADOR DE MANGUERA</t>
  </si>
  <si>
    <t>PULVERIZADOR JARDIN 2L 57283</t>
  </si>
  <si>
    <t>PULVERIZADOR  JARDIN 2L 57281</t>
  </si>
  <si>
    <t>600mm / 24"</t>
  </si>
  <si>
    <t>1200mm / 48"</t>
  </si>
  <si>
    <t>1800mm / 72"</t>
  </si>
  <si>
    <t>2.0mm*15m / 0.08"x50ft</t>
  </si>
  <si>
    <t>2.4mmx15m 0.095"x50ft</t>
  </si>
  <si>
    <t>2.7mmx15m 0.105"x50ft</t>
  </si>
  <si>
    <t>3.0mm*15m / 0.12"x50ft</t>
  </si>
  <si>
    <t>340x180x130mm</t>
  </si>
  <si>
    <t>420x230x190mm</t>
  </si>
  <si>
    <t>404x200x195mm</t>
  </si>
  <si>
    <t>495x200x290mm</t>
  </si>
  <si>
    <t>6A0086</t>
  </si>
  <si>
    <t>FERRETERIA CAMMAR S.A.S.</t>
  </si>
  <si>
    <t>ZORRILLA DE S.MARTIN 1563</t>
  </si>
  <si>
    <t>0AA190</t>
  </si>
  <si>
    <t>ÑAÑEZ EMILIANO</t>
  </si>
  <si>
    <t>DON BOSCO 3568</t>
  </si>
  <si>
    <t>0AA191</t>
  </si>
  <si>
    <t>BLANDA PABLO DANIEL</t>
  </si>
  <si>
    <t>AV.SAN MARTIN 1333</t>
  </si>
  <si>
    <t>1GT002</t>
  </si>
  <si>
    <t>SUCESION DE CANAVESIO JAVIER</t>
  </si>
  <si>
    <t>BELGRANO 115</t>
  </si>
  <si>
    <t>5KY006</t>
  </si>
  <si>
    <t>KOZIK CARLOS MARTIN</t>
  </si>
  <si>
    <t>PARAGUAY 1334</t>
  </si>
  <si>
    <t>EL DORADO</t>
  </si>
  <si>
    <t>PARQUE LICEO 3RA</t>
  </si>
  <si>
    <t>NIVELADOR DE ALUMINIO 35068</t>
  </si>
  <si>
    <t>NIVELADOR DE ALUMINIO 35069</t>
  </si>
  <si>
    <t>1GS011</t>
  </si>
  <si>
    <t>OLEOHIDRAULICA VILLA MARIA SRL</t>
  </si>
  <si>
    <t>INT.MACIEL Y ARENALES-V.MARIA</t>
  </si>
  <si>
    <t>2DH088</t>
  </si>
  <si>
    <t>MAQBULON SAN BENITO S.A.S.</t>
  </si>
  <si>
    <t>DOCTOR ORTEGA OESTE 502  Dpto:</t>
  </si>
  <si>
    <t>2DR023</t>
  </si>
  <si>
    <t>TERRENO GARCIANDIA GUIDO ARTURO</t>
  </si>
  <si>
    <t>JUAN B JUSTO Y 9 DE JULIO</t>
  </si>
  <si>
    <t>LAS CATITAS</t>
  </si>
  <si>
    <t>GALVEZ 1539</t>
  </si>
  <si>
    <t>AV. SANTA ANA 3033</t>
  </si>
  <si>
    <t>6A0087</t>
  </si>
  <si>
    <t>IN-FER S.A.S.</t>
  </si>
  <si>
    <t>ACAMPIS 1439</t>
  </si>
  <si>
    <t>BARRIO GENERAL BUSTO</t>
  </si>
  <si>
    <t>0AA193</t>
  </si>
  <si>
    <t>MASSARA FRANCO DANIEL</t>
  </si>
  <si>
    <t>VIAMONTE 212</t>
  </si>
  <si>
    <t xml:space="preserve"> </t>
  </si>
  <si>
    <t>2DH026</t>
  </si>
  <si>
    <t>DELFRAN SRL</t>
  </si>
  <si>
    <t>AV. ESPAÑA 35   S:SUR</t>
  </si>
  <si>
    <t>0AA194</t>
  </si>
  <si>
    <t>6A0088</t>
  </si>
  <si>
    <t>DANIELE ANA MARIA</t>
  </si>
  <si>
    <t>6A0089</t>
  </si>
  <si>
    <t>PEREZ ZARATE S.R.L.</t>
  </si>
  <si>
    <t>BARRIO ALTO GENERAL</t>
  </si>
  <si>
    <t>GOTTA GRUPO DE SERVICIOS S.R.L.</t>
  </si>
  <si>
    <t>AVENIDA GENERAL SAVIO 1157</t>
  </si>
  <si>
    <t>0AA195</t>
  </si>
  <si>
    <t>ROSSATO JUAN ANGEL JOSE</t>
  </si>
  <si>
    <t>RUTA E53 KM 25 1/2 0</t>
  </si>
  <si>
    <t>SALSIPUEDES</t>
  </si>
  <si>
    <t>RIO CEBALLOS</t>
  </si>
  <si>
    <t>BELGRANO 55 - HOLBERG</t>
  </si>
  <si>
    <t>1DY040</t>
  </si>
  <si>
    <t>VEGA AYALA RICARDO MARTIN</t>
  </si>
  <si>
    <t>PASAJE BALZANO 2957</t>
  </si>
  <si>
    <t>CEAGLIO CARLOS WUALTER</t>
  </si>
  <si>
    <t>ENTRE RIOS 940</t>
  </si>
  <si>
    <t>BARRIO RAWSON</t>
  </si>
  <si>
    <t>5KM002</t>
  </si>
  <si>
    <t>BINAGHI JORGE RAMON</t>
  </si>
  <si>
    <t>ZONA RURAL 0 Piso:0</t>
  </si>
  <si>
    <t>5KY007</t>
  </si>
  <si>
    <t>DISTRI FERRE S. R. L.</t>
  </si>
  <si>
    <t>AV.AMADEO SABATTINI 4457</t>
  </si>
  <si>
    <t>BARRIO EMPALME FCBM</t>
  </si>
  <si>
    <t>ALEM LEANDRO NICEFORO 385</t>
  </si>
  <si>
    <t>1/2" , 1/4"</t>
  </si>
  <si>
    <t>JGO LLAVES ESTRIA ACOD (12P)</t>
  </si>
  <si>
    <t>6x7 a 30x32mm</t>
  </si>
  <si>
    <t>CORVALAN CENTANARO LEANDRO JAVIER</t>
  </si>
  <si>
    <t>BARRIO DUCASSE</t>
  </si>
  <si>
    <t>H.MASSARA</t>
  </si>
  <si>
    <t>GOBERNADOR CARCANO 45</t>
  </si>
  <si>
    <t>VALLE HERMOSO</t>
  </si>
  <si>
    <t>2ND003</t>
  </si>
  <si>
    <t>2ND004</t>
  </si>
  <si>
    <t>0AA196</t>
  </si>
  <si>
    <t>0ZZ007</t>
  </si>
  <si>
    <t>TAMPICO 526</t>
  </si>
  <si>
    <t>J.MARIA-C.PAZ-A.GRACIA-RIO III-D.FUNES</t>
  </si>
  <si>
    <t>METALURGICA C Y G SRL</t>
  </si>
  <si>
    <t>BOULEVARD DE LOS RUSOS 3386</t>
  </si>
  <si>
    <t>LOS BOULEVARES</t>
  </si>
  <si>
    <t>0AA198</t>
  </si>
  <si>
    <t>RIBES BARBERIS AGUSTIN JULIAN</t>
  </si>
  <si>
    <t>AV. COMECHINGONES 306</t>
  </si>
  <si>
    <t>MAYU SUMAJ</t>
  </si>
  <si>
    <t>0AA199</t>
  </si>
  <si>
    <t>MADERAS MEDINA SRL</t>
  </si>
  <si>
    <t>RUTA PCIAL. 5 KM 0 S:KM 87</t>
  </si>
  <si>
    <t>0AA200</t>
  </si>
  <si>
    <t>SESAR NELSON SIMON ( BULONERIA CAROYA )</t>
  </si>
  <si>
    <t>PAUL HARRIS SUR 396</t>
  </si>
  <si>
    <t>0AA201</t>
  </si>
  <si>
    <t>CASA MORENO S.A.S.</t>
  </si>
  <si>
    <t>AV  VALPARAISO 3672</t>
  </si>
  <si>
    <t>JARDIN HIPÒDROMO</t>
  </si>
  <si>
    <t>0AA202</t>
  </si>
  <si>
    <t>HERRAMIENTAS CORDOBA S.A.S.</t>
  </si>
  <si>
    <t>SUIPACHA 1496    T:2B</t>
  </si>
  <si>
    <t>BARRIO PUEYRREDON</t>
  </si>
  <si>
    <t>0AA203</t>
  </si>
  <si>
    <t>BARBERO FABIANA ROMINA</t>
  </si>
  <si>
    <t>PRIMERA JUNTA 85</t>
  </si>
  <si>
    <t>ELGUERO LUCIO</t>
  </si>
  <si>
    <t>1DY041</t>
  </si>
  <si>
    <t>RAIMOL S.A.S.</t>
  </si>
  <si>
    <t>MOZART 72 - BANDA NORTE</t>
  </si>
  <si>
    <t>1FH013</t>
  </si>
  <si>
    <t>BUL.TOR.FER. S. A.</t>
  </si>
  <si>
    <t>AVDA PIO X 208</t>
  </si>
  <si>
    <t>1GM007</t>
  </si>
  <si>
    <t>COOPERATIVA AGRICOLA GANADERA DE MORTEROS LTDA</t>
  </si>
  <si>
    <t>AVDA LIBERTADOR 601</t>
  </si>
  <si>
    <t>2DH016</t>
  </si>
  <si>
    <t>RODRIGUEZ ROS GERARDO CARLOS</t>
  </si>
  <si>
    <t>BARRIO PATAGONIA 1  --CASA 7 M</t>
  </si>
  <si>
    <t>MEDIA AGUA</t>
  </si>
  <si>
    <t>GRANDIS FERRETERIA S. A.</t>
  </si>
  <si>
    <t>METALURGICA CDG S. A.</t>
  </si>
  <si>
    <t>CENTENARIO 1830</t>
  </si>
  <si>
    <t>2NF024</t>
  </si>
  <si>
    <t>PALLO NICOLAS A. Y PALLO LEANDRO A. SH</t>
  </si>
  <si>
    <t>JUAN JOSE PASO 7134</t>
  </si>
  <si>
    <t>5KC006</t>
  </si>
  <si>
    <t>5KJ002</t>
  </si>
  <si>
    <t>5LC003</t>
  </si>
  <si>
    <t>AVENIDA JUJUY 479</t>
  </si>
  <si>
    <t>5MG008</t>
  </si>
  <si>
    <t>CHAVEZ RICARDO GUSTAVO</t>
  </si>
  <si>
    <t>PRESIDENTE ROCA 311 Piso:0</t>
  </si>
  <si>
    <t>6A0091</t>
  </si>
  <si>
    <t>ROSALES SEGOVIA MARIELA PATRICIA</t>
  </si>
  <si>
    <t>AV ARMADA ARGENTINA 1555</t>
  </si>
  <si>
    <t>BARRIO LOS OLMOS</t>
  </si>
  <si>
    <t>0AA204</t>
  </si>
  <si>
    <t>ALONSO RAMON ALBERTO</t>
  </si>
  <si>
    <t>UNION FERROVIARIA 2173</t>
  </si>
  <si>
    <t>BARRIO FERROVIARIO M</t>
  </si>
  <si>
    <t>0AA205</t>
  </si>
  <si>
    <t>BOCHIERI S.A.S.</t>
  </si>
  <si>
    <t>SARMIENTO 167</t>
  </si>
  <si>
    <t>0AA206</t>
  </si>
  <si>
    <t>FERRETERIA AVENIDA S.R.L.</t>
  </si>
  <si>
    <t>AV. SAN MARTIN 2238</t>
  </si>
  <si>
    <t>UNQUILLO</t>
  </si>
  <si>
    <t>0AA207</t>
  </si>
  <si>
    <t>MADERAS SUCRE S.A.</t>
  </si>
  <si>
    <t>DOCENTES ARGENTINOS 6541</t>
  </si>
  <si>
    <t>BARRIO LOS ROBLES</t>
  </si>
  <si>
    <t>0AA208</t>
  </si>
  <si>
    <t>FUSARO GABRIEL JUAN</t>
  </si>
  <si>
    <t>SAN MARTIN 872</t>
  </si>
  <si>
    <t>LA CALERA</t>
  </si>
  <si>
    <t>0AA209</t>
  </si>
  <si>
    <t>VALOTTO METALURGICA SA</t>
  </si>
  <si>
    <t>RINCON 2081</t>
  </si>
  <si>
    <t>1FC002</t>
  </si>
  <si>
    <t>GRANELLI HECTOR OSCAR</t>
  </si>
  <si>
    <t>13 DE FEBRERO 239  Dpto:2</t>
  </si>
  <si>
    <t>1FH014</t>
  </si>
  <si>
    <t>IF CABO SOCIEDAD DE RESPONSABILIDAD LIMITADA</t>
  </si>
  <si>
    <t>GENERAL SAVIO 1097</t>
  </si>
  <si>
    <t>1FI012</t>
  </si>
  <si>
    <t>HOFFMANN GABRIEL MAURICIO</t>
  </si>
  <si>
    <t>BELGRANO Y R INDARTE 230</t>
  </si>
  <si>
    <t>BIALET MASSE</t>
  </si>
  <si>
    <t>1FJ018</t>
  </si>
  <si>
    <t>TODOPOSITIVO S.A.S.</t>
  </si>
  <si>
    <t>PUEYRREDON 426</t>
  </si>
  <si>
    <t>2DL015</t>
  </si>
  <si>
    <t>CA.JU FERRETERIA INDUSTRIAL S. A. S.</t>
  </si>
  <si>
    <t>BUENOS AIRES 292  Dpto:4</t>
  </si>
  <si>
    <t>6A0092</t>
  </si>
  <si>
    <t>ARAGON ROJAS LUCAS FELIPE</t>
  </si>
  <si>
    <t>SABATTINI 2850</t>
  </si>
  <si>
    <t>BARRIO RIVADAVIA</t>
  </si>
  <si>
    <t>6A0093</t>
  </si>
  <si>
    <t>SERLIN HECTOR</t>
  </si>
  <si>
    <t>REGINO MADERS 1459</t>
  </si>
  <si>
    <t>BARRIO ALTA CORDOBA</t>
  </si>
  <si>
    <t>6A0094</t>
  </si>
  <si>
    <t>RAMOS HUMAREDA MARCELINO</t>
  </si>
  <si>
    <t>AV DONATO ALVAREZ 8833</t>
  </si>
  <si>
    <t>1DY042</t>
  </si>
  <si>
    <t>REGE EDGARDO HENRY RUBEN</t>
  </si>
  <si>
    <t>CANALS</t>
  </si>
  <si>
    <t>1EA002</t>
  </si>
  <si>
    <t>A Y C EMPRENDIMIENTOS SRL</t>
  </si>
  <si>
    <t>VICTORIA OCAMPO 363</t>
  </si>
  <si>
    <t>1GT004</t>
  </si>
  <si>
    <t>CEBALLOS LORENA GISELA</t>
  </si>
  <si>
    <t>URQUIZA 81</t>
  </si>
  <si>
    <t>0AA211</t>
  </si>
  <si>
    <t>MORANDINI FERNANDO GABRIEL Y BEGUIRISTAIN IGNACIO PAUL S.H.</t>
  </si>
  <si>
    <t>AVENIDA RANCAGUA 5550</t>
  </si>
  <si>
    <t>VILLA RETIRO</t>
  </si>
  <si>
    <t>1DY043</t>
  </si>
  <si>
    <t>FEA ANTONIO LUIS</t>
  </si>
  <si>
    <t>ALFONSO CORONEL 988</t>
  </si>
  <si>
    <t>M1 C6 BARRIO INFANTA LAS HERAS</t>
  </si>
  <si>
    <t>2DR024</t>
  </si>
  <si>
    <t>BRAVI RUBEN JORGE</t>
  </si>
  <si>
    <t>BOULOGNE SUR MER 1852</t>
  </si>
  <si>
    <t>5KT001</t>
  </si>
  <si>
    <t>DIOMEDI UBALDO JAVIER</t>
  </si>
  <si>
    <t>8 Y ACCESO ENTRE CALLES 29 Y 3</t>
  </si>
  <si>
    <t>GENERAL PINEDO</t>
  </si>
  <si>
    <t>AV ALTE BROWN 855</t>
  </si>
  <si>
    <t>6A0095</t>
  </si>
  <si>
    <t>ALONSO DANIEL ALBERTO</t>
  </si>
  <si>
    <t>AV. LEANDRO N. ALEM 1353</t>
  </si>
  <si>
    <t>1DY013</t>
  </si>
  <si>
    <t>PECORA MARIANO ENRIQUE</t>
  </si>
  <si>
    <t>KOWALK 233</t>
  </si>
  <si>
    <t>275mm,11"</t>
  </si>
  <si>
    <t>11"</t>
  </si>
  <si>
    <t>6"-8"-10"</t>
  </si>
  <si>
    <t>JGO PTAS B/LLAV Y DESTOR (17P)</t>
  </si>
  <si>
    <t>JGO. LLAVES HEX BOLA LARGO</t>
  </si>
  <si>
    <t>9 PIEZAS</t>
  </si>
  <si>
    <t>JGO. LLAVES HEX BOLA EXTRAL</t>
  </si>
  <si>
    <t>3.0*0.5*75mm</t>
  </si>
  <si>
    <t>4.0*0.8*100mm</t>
  </si>
  <si>
    <t>5.5*1.0*100mm</t>
  </si>
  <si>
    <t>6.5*1.2*100mm</t>
  </si>
  <si>
    <t>6.5*1.2*150mm</t>
  </si>
  <si>
    <t>8.0*1.6*150mm</t>
  </si>
  <si>
    <t>PH0*75mm</t>
  </si>
  <si>
    <t>PH2*100mm</t>
  </si>
  <si>
    <t>JGO DESTORNILLADORES 6 PZAS</t>
  </si>
  <si>
    <t xml:space="preserve">HERRAMIENTAS DE JARDINERIA </t>
  </si>
  <si>
    <t>350mm</t>
  </si>
  <si>
    <t>MANGO TELESCÓPICO</t>
  </si>
  <si>
    <t>1.2M-2.4M</t>
  </si>
  <si>
    <t>GAFAS PARA SOLDADURA</t>
  </si>
  <si>
    <t>MASC. SOLDAR FOTOSENSIBLE IND</t>
  </si>
  <si>
    <t>RASTRILLO DE HOJAS DE PLÁSTICO</t>
  </si>
  <si>
    <t>22 dientes, 1580mm</t>
  </si>
  <si>
    <t>RASTRILLO DE ACERO</t>
  </si>
  <si>
    <t>24 dientes, 1580mm</t>
  </si>
  <si>
    <t>PALA DE ACERO CON MANGO</t>
  </si>
  <si>
    <t>295x215x1025mm</t>
  </si>
  <si>
    <t>280x235x1025mm</t>
  </si>
  <si>
    <t>215x290x1480mm</t>
  </si>
  <si>
    <t>280x235x1470mm</t>
  </si>
  <si>
    <t>APAREJO A CADENA MANUAL IND</t>
  </si>
  <si>
    <t>1T*3M</t>
  </si>
  <si>
    <t>2T*3M</t>
  </si>
  <si>
    <t>3T*3M</t>
  </si>
  <si>
    <t>5T*3M</t>
  </si>
  <si>
    <t>800LBS*10M</t>
  </si>
  <si>
    <t>1200LBS*10M</t>
  </si>
  <si>
    <t>2000LBS*10M</t>
  </si>
  <si>
    <t>LLAVE TRES PATAS P/FTRO ACEITE</t>
  </si>
  <si>
    <t>65-120mm</t>
  </si>
  <si>
    <t>CAP:6 ton-PESO:13.6kg</t>
  </si>
  <si>
    <t>BANDEJA MAGNÉTICA PARA PIEZAS</t>
  </si>
  <si>
    <t>JGO. HERRAM.DE MANO 85301 (9P)</t>
  </si>
  <si>
    <t>1DB008</t>
  </si>
  <si>
    <t>BIZZOTTO E HIJOS SRL</t>
  </si>
  <si>
    <t>PRADO 580</t>
  </si>
  <si>
    <t>0AA212</t>
  </si>
  <si>
    <t>STEHLE MARCELO JULIAN</t>
  </si>
  <si>
    <t>AV DEL LAGO 287</t>
  </si>
  <si>
    <t>VILLA RUMIPAL</t>
  </si>
  <si>
    <t>0AA213</t>
  </si>
  <si>
    <t>DOFFO CAROLINA</t>
  </si>
  <si>
    <t>AV. ARGENTINA 1425</t>
  </si>
  <si>
    <t>0AA214</t>
  </si>
  <si>
    <t>TOMASELLO AYLEN YAZMIN</t>
  </si>
  <si>
    <t>LAS MAGNOLIAS 538</t>
  </si>
  <si>
    <t>VILLA GENERAL BELGRA</t>
  </si>
  <si>
    <t>0AA215</t>
  </si>
  <si>
    <t>CM&amp;CG GRUPO S.A.S.</t>
  </si>
  <si>
    <t>MARIA VECHIETT 718</t>
  </si>
  <si>
    <t>1BK001</t>
  </si>
  <si>
    <t>BOGLIONI MARCOS LEON ARDO</t>
  </si>
  <si>
    <t>RUTA 9 KILOMETRO 1129</t>
  </si>
  <si>
    <t>SANTIAGO DEL ESTERO</t>
  </si>
  <si>
    <t>CATAM-RIOJA-SGO.DEL ESTERO</t>
  </si>
  <si>
    <t>SAN FERNANDO DEL VAL</t>
  </si>
  <si>
    <t>MORENO 147 (CANALS )</t>
  </si>
  <si>
    <t>1EB004</t>
  </si>
  <si>
    <t>CASA BLAS S.A.</t>
  </si>
  <si>
    <t>RUTA PROVINCIAL 24 133</t>
  </si>
  <si>
    <t>SAN BASILIO</t>
  </si>
  <si>
    <t>1FH015</t>
  </si>
  <si>
    <t>BORTOLUSSI FERNANDO ANSELMO</t>
  </si>
  <si>
    <t>ALSINA 533</t>
  </si>
  <si>
    <t>1FP020</t>
  </si>
  <si>
    <t>AB SRL</t>
  </si>
  <si>
    <t>RIVADAVIA 191</t>
  </si>
  <si>
    <t>1FT009</t>
  </si>
  <si>
    <t>CORONEL MONICA ALEJANDRA</t>
  </si>
  <si>
    <t>CORONEL MERCAU ESQ. LOS HUARPE</t>
  </si>
  <si>
    <t>1GB010</t>
  </si>
  <si>
    <t>GROSSO ENRI HERMANN</t>
  </si>
  <si>
    <t>CONGRESO 550</t>
  </si>
  <si>
    <t>SANTA ROSA DE RIO I</t>
  </si>
  <si>
    <t>1GB011</t>
  </si>
  <si>
    <t>TONEATTI MONICA LILIANA</t>
  </si>
  <si>
    <t>CONGRESO 778</t>
  </si>
  <si>
    <t>1GS013</t>
  </si>
  <si>
    <t>BULONERA INDUSTRIAL G Y M S.A.S.</t>
  </si>
  <si>
    <t>INTENDENTE LOINAS 1328</t>
  </si>
  <si>
    <t>MARCOS JUAREZ</t>
  </si>
  <si>
    <t>1LG002</t>
  </si>
  <si>
    <t>NEBRO MIGUEL ENRIQUE</t>
  </si>
  <si>
    <t>RUTA 11 S/N E.ESPAÑA Y BERUTTI</t>
  </si>
  <si>
    <t>LA BANDA</t>
  </si>
  <si>
    <t>1LG003</t>
  </si>
  <si>
    <t>MORAN HUGO ROBERTO</t>
  </si>
  <si>
    <t>SAN MARTIN 348</t>
  </si>
  <si>
    <t>2DK005</t>
  </si>
  <si>
    <t>DISTRIBUIDORA ANGACO CASA MATRIZ S. R. L.</t>
  </si>
  <si>
    <t>LATERAL AV.CIRCUNVALACION  -SU</t>
  </si>
  <si>
    <t>2DR025</t>
  </si>
  <si>
    <t>BULONERA INDUSTRIAL S. R. L.</t>
  </si>
  <si>
    <t>JUAN B. JUSTO 251</t>
  </si>
  <si>
    <t>5JT005</t>
  </si>
  <si>
    <t>PERIOTTI GERMAN DARIO</t>
  </si>
  <si>
    <t>AVENIDA BELGRANO 518</t>
  </si>
  <si>
    <t>5KE004</t>
  </si>
  <si>
    <t>C.M.S.  S. A.</t>
  </si>
  <si>
    <t>DEAN J. ALVAREZ 262</t>
  </si>
  <si>
    <t>6A0096</t>
  </si>
  <si>
    <t>SONA MONICA BEATRIZ</t>
  </si>
  <si>
    <t>BV DE LOS ALEMANES 3765 Dpto:6</t>
  </si>
  <si>
    <t>6A0097</t>
  </si>
  <si>
    <t>MONFORTE PALACIOS JORGE OMAR</t>
  </si>
  <si>
    <t>AGUSTIN GARZON 5145</t>
  </si>
  <si>
    <t>BARRIO ACOSTA</t>
  </si>
  <si>
    <t>B10001</t>
  </si>
  <si>
    <t>VERA CINTIA VERONICA</t>
  </si>
  <si>
    <t>ZOLEZZI 496</t>
  </si>
  <si>
    <t>EZPELETA</t>
  </si>
  <si>
    <t>ZONA SUR - PCIA. BUENOS AIRES</t>
  </si>
  <si>
    <t>J.CLAUDIO LUNA</t>
  </si>
  <si>
    <t>B10002</t>
  </si>
  <si>
    <t>UNAMUNO ANDRES IGNACIO</t>
  </si>
  <si>
    <t>AVENIDA EVA PERON 4221</t>
  </si>
  <si>
    <t>FLORENCIO VARELA</t>
  </si>
  <si>
    <t>$</t>
  </si>
  <si>
    <t>160mm - 6"</t>
  </si>
  <si>
    <t>200mm / 8"</t>
  </si>
  <si>
    <t>250mm / 10"</t>
  </si>
  <si>
    <t>300 mm / 12"</t>
  </si>
  <si>
    <t>115mm / 4.5"</t>
  </si>
  <si>
    <t>140mm / 5.5"</t>
  </si>
  <si>
    <t>6 piezas</t>
  </si>
  <si>
    <t>180mm - 7"</t>
  </si>
  <si>
    <t>165mm, 6.5"</t>
  </si>
  <si>
    <t>LLAVE DE CORREA (INDUSTRIAL)</t>
  </si>
  <si>
    <t>300mm / 16"</t>
  </si>
  <si>
    <t>235mm, 9"</t>
  </si>
  <si>
    <t xml:space="preserve">PINZA PUNZONADORA </t>
  </si>
  <si>
    <t>11" / 270mm</t>
  </si>
  <si>
    <t>MORSA ROTATIVA (IND) 10103</t>
  </si>
  <si>
    <t>LLAVE COMBINADA 15814</t>
  </si>
  <si>
    <t>LLAVE COMBINADA 15014</t>
  </si>
  <si>
    <t>LLAVE COMBINADA 15815</t>
  </si>
  <si>
    <t>LLAVE COMBINADA 15015</t>
  </si>
  <si>
    <t>LLAVE COMBINADA 15816</t>
  </si>
  <si>
    <t>LLAVE COMBINADA 15016</t>
  </si>
  <si>
    <t>LLAVE COMBINADA 15817</t>
  </si>
  <si>
    <t>LLAVE COMBINADA 15017</t>
  </si>
  <si>
    <t>LLAVE COMBINADA 15018</t>
  </si>
  <si>
    <t>LLAVE COMBINADA 15019</t>
  </si>
  <si>
    <t>LLAVE COMBINADA 15020</t>
  </si>
  <si>
    <t>LLAVE COMBINADA 15021</t>
  </si>
  <si>
    <t>LLAVE COMBINADA 15022</t>
  </si>
  <si>
    <t>LLAVE COMBINADA 15023</t>
  </si>
  <si>
    <t>LLAVE COMBINADA 15024</t>
  </si>
  <si>
    <t>LLAVE COMBINADA 15025</t>
  </si>
  <si>
    <t>LLAVE COMBINADA 15026</t>
  </si>
  <si>
    <t>LLAVE COMBINADA 15027</t>
  </si>
  <si>
    <t>LLAVE COMBINADA 15028</t>
  </si>
  <si>
    <t>LLAVE COMBINADA 15029</t>
  </si>
  <si>
    <t>LLAVE COMBINADA 15030</t>
  </si>
  <si>
    <t>LLAVE COMBINADA 15031</t>
  </si>
  <si>
    <t>LLAVE COMBINADA 15032</t>
  </si>
  <si>
    <t>LLAVE COMBINADA 15033</t>
  </si>
  <si>
    <t>LLAVE COMBINADA 15034</t>
  </si>
  <si>
    <t>LLAVE COMBINADA 15035</t>
  </si>
  <si>
    <t>LLAVE COMBINADA 15036</t>
  </si>
  <si>
    <t>LLAVE COMBINADA 15037</t>
  </si>
  <si>
    <t>LLAVE COMBINADA 15038</t>
  </si>
  <si>
    <t>LLAVE COMBINADA 15039</t>
  </si>
  <si>
    <t>LLAVE COMBINADA 15040</t>
  </si>
  <si>
    <t>LLAVE COMBINADA 15041</t>
  </si>
  <si>
    <t>LLAVE COMBINADA 15042</t>
  </si>
  <si>
    <t>LLAVE COMBINADA 15043</t>
  </si>
  <si>
    <t>LLAVE COMB. (PULG) IND 15471</t>
  </si>
  <si>
    <t>LLAVE COMB. (PULG) IND 15473</t>
  </si>
  <si>
    <t>LLAVE COMB. (PULG) IND 15461</t>
  </si>
  <si>
    <t>LLAVE COMB. (PULG) IND 15314</t>
  </si>
  <si>
    <t>LLAVE COMB. (PULG) IND 15462</t>
  </si>
  <si>
    <t>LLAVE COMB. (PULG) IND 15463</t>
  </si>
  <si>
    <t>LLAVE COMB. (PULG) IND 15464</t>
  </si>
  <si>
    <t>LLAVE COMB. (PULG) IND 15465</t>
  </si>
  <si>
    <t>LLAVE COMB. (PULG) IND 15321</t>
  </si>
  <si>
    <t>LLAVE COMB. (PULG) IND 15322</t>
  </si>
  <si>
    <t>LLAVE COMB. (PULG) IND 15467</t>
  </si>
  <si>
    <t>LLAVE COMB. (PULG) IND 15469</t>
  </si>
  <si>
    <t>LLAVE COMB (PUL) (IND) 15327</t>
  </si>
  <si>
    <t>LLAVE COMB. (PULG) IND 15474</t>
  </si>
  <si>
    <t>LLAVE COMB. (PULG) IND 15475</t>
  </si>
  <si>
    <t>LLAVE COMB. (PULG) IND 15476</t>
  </si>
  <si>
    <t>LLAVE COMB. (PULG) IND 15340</t>
  </si>
  <si>
    <t>LLAVE COMB. (PULG) IND 15341</t>
  </si>
  <si>
    <t>LLAVE COMB. (PULG) IND 15479</t>
  </si>
  <si>
    <t>6p 1-3/8" a 2"</t>
  </si>
  <si>
    <t>17x21mm</t>
  </si>
  <si>
    <t>19x21mm</t>
  </si>
  <si>
    <t>19x22mm</t>
  </si>
  <si>
    <t>19x24mm</t>
  </si>
  <si>
    <t>LLAVE DE IMPACTO BOCA ESTRIADA</t>
  </si>
  <si>
    <t>46mm</t>
  </si>
  <si>
    <t xml:space="preserve">LLAVE DE IMPACTO BOCA FIJA </t>
  </si>
  <si>
    <t>9 p -  7  a 19mm</t>
  </si>
  <si>
    <t>5p  8 a 17mm</t>
  </si>
  <si>
    <t xml:space="preserve">1/4" </t>
  </si>
  <si>
    <t xml:space="preserve">3/8" </t>
  </si>
  <si>
    <t xml:space="preserve">1/2" </t>
  </si>
  <si>
    <t>1/2" x 10" (260mm)</t>
  </si>
  <si>
    <t>1/4" * 5-25N.M</t>
  </si>
  <si>
    <t>3/8" * 20-120N.M</t>
  </si>
  <si>
    <t>1/2" * 40-220N.M</t>
  </si>
  <si>
    <t>3/4" * 100-600N.M</t>
  </si>
  <si>
    <t>10 a 24mm</t>
  </si>
  <si>
    <t xml:space="preserve"> 1/4" a 1/2"</t>
  </si>
  <si>
    <t>1/2" + 1/4 " 82p</t>
  </si>
  <si>
    <t>1/2" + 1/4 " 108p</t>
  </si>
  <si>
    <t>116 piezas</t>
  </si>
  <si>
    <t>137 piezas</t>
  </si>
  <si>
    <t xml:space="preserve">HERRAMIENTAS DE FIJACION </t>
  </si>
  <si>
    <t>4 piezas</t>
  </si>
  <si>
    <t>2 x 38 mm</t>
  </si>
  <si>
    <t>2 x 100 mm</t>
  </si>
  <si>
    <t>2 x 150 mm</t>
  </si>
  <si>
    <t>8 piezas</t>
  </si>
  <si>
    <t>10 piezas</t>
  </si>
  <si>
    <t>44 piezas</t>
  </si>
  <si>
    <t>7 piezas</t>
  </si>
  <si>
    <t>26 piezas</t>
  </si>
  <si>
    <t>56 piezas</t>
  </si>
  <si>
    <t>105 piezas</t>
  </si>
  <si>
    <t>9 piezas</t>
  </si>
  <si>
    <t>32 piezas</t>
  </si>
  <si>
    <t>33 Piezas</t>
  </si>
  <si>
    <t>11 piezas</t>
  </si>
  <si>
    <t>28 piezas</t>
  </si>
  <si>
    <t>14 piezas SAE y Met</t>
  </si>
  <si>
    <t xml:space="preserve">3 piezas de 14mm </t>
  </si>
  <si>
    <t>1/2x1/4</t>
  </si>
  <si>
    <t>9p 5/64" a 1/4"</t>
  </si>
  <si>
    <t>13"</t>
  </si>
  <si>
    <t>305 mm, 12"</t>
  </si>
  <si>
    <t>GANCHO PARA ENGRAMPADORA</t>
  </si>
  <si>
    <t>0.7x6mm</t>
  </si>
  <si>
    <t>0.7X8MM</t>
  </si>
  <si>
    <t>0.7x10mm</t>
  </si>
  <si>
    <t>1.2x8mm</t>
  </si>
  <si>
    <t>1.2x10mm</t>
  </si>
  <si>
    <t>1.2x12mm</t>
  </si>
  <si>
    <t>5/32" - 9/16"</t>
  </si>
  <si>
    <t>DESTORNILLADOR INALÁMBRICO 4V</t>
  </si>
  <si>
    <t>4V</t>
  </si>
  <si>
    <t>680mm</t>
  </si>
  <si>
    <t>900mm</t>
  </si>
  <si>
    <t>8Oz</t>
  </si>
  <si>
    <t>Tipo Frances</t>
  </si>
  <si>
    <t>225g</t>
  </si>
  <si>
    <t>450g</t>
  </si>
  <si>
    <t>675g</t>
  </si>
  <si>
    <t>4 p 6mm a 25mm</t>
  </si>
  <si>
    <t>24" / 610mm</t>
  </si>
  <si>
    <t>36" / 910mm</t>
  </si>
  <si>
    <t>48" / 1200mm</t>
  </si>
  <si>
    <t>7" / 180mm</t>
  </si>
  <si>
    <t>18x100mm - 3pcs</t>
  </si>
  <si>
    <t>CUTTER DE CUCHILLA DESLIZANTE</t>
  </si>
  <si>
    <t>9x80mm</t>
  </si>
  <si>
    <t>CUTTER DESMONTABLE</t>
  </si>
  <si>
    <t>9*80MM</t>
  </si>
  <si>
    <t xml:space="preserve">174x70x22,5mm </t>
  </si>
  <si>
    <t>300mm / 12"</t>
  </si>
  <si>
    <t>REPUESTO DE CUTTER 10 PIEZAS</t>
  </si>
  <si>
    <t>10 p 9*80*0.4MM</t>
  </si>
  <si>
    <t>100*18,5x0.4mm</t>
  </si>
  <si>
    <t>250mm, 10"</t>
  </si>
  <si>
    <t>15 en 1 -9.5cm</t>
  </si>
  <si>
    <t>300x12mm 24 TPI</t>
  </si>
  <si>
    <t>300x12mm 18 TPI</t>
  </si>
  <si>
    <t xml:space="preserve">ARCO DE SIERRA TIPO BRUJULA </t>
  </si>
  <si>
    <t>12" / 300mm</t>
  </si>
  <si>
    <t>22" - 550mm</t>
  </si>
  <si>
    <t>28" - 710mm</t>
  </si>
  <si>
    <t>10m - 3/8</t>
  </si>
  <si>
    <t>MANGUERA ESPIRAL DE JARDÍN</t>
  </si>
  <si>
    <t>3/8"x15m</t>
  </si>
  <si>
    <t>MANGUERA EXPANDIBLE</t>
  </si>
  <si>
    <t>5m-15m</t>
  </si>
  <si>
    <t xml:space="preserve">FUMIGADOR MOCHILA </t>
  </si>
  <si>
    <t>16L</t>
  </si>
  <si>
    <t>BOQUILLA AJUSTABLE</t>
  </si>
  <si>
    <t>4 piezas de 1/2?</t>
  </si>
  <si>
    <t>21" - 530mm</t>
  </si>
  <si>
    <t>24" - 610mm</t>
  </si>
  <si>
    <t>21"</t>
  </si>
  <si>
    <t>24"</t>
  </si>
  <si>
    <t>750mm / 30"</t>
  </si>
  <si>
    <t>14T</t>
  </si>
  <si>
    <t>NIVEL LÁSER 3D (INDUSTRIAL)</t>
  </si>
  <si>
    <t>Distancia max 30m</t>
  </si>
  <si>
    <t>Lineas Cruzadas 120º</t>
  </si>
  <si>
    <t>LC Horizontal 360º</t>
  </si>
  <si>
    <t>Alinea/Nivelac 2Pla</t>
  </si>
  <si>
    <t>1.45m</t>
  </si>
  <si>
    <t>3.8m</t>
  </si>
  <si>
    <t>MEDIDOR LASER IND 35176</t>
  </si>
  <si>
    <t>MEDIDOR LASER IND 35178</t>
  </si>
  <si>
    <t>Aprobación CE</t>
  </si>
  <si>
    <t>159mm - 500mm</t>
  </si>
  <si>
    <t>318 mm - 1000mm</t>
  </si>
  <si>
    <t>5/8" a 1/2"</t>
  </si>
  <si>
    <t>3.5x130mm</t>
  </si>
  <si>
    <t>sin contacto</t>
  </si>
  <si>
    <t>1000v VDE</t>
  </si>
  <si>
    <t>24", 600mm</t>
  </si>
  <si>
    <t>210×75,6x30 mm</t>
  </si>
  <si>
    <t>LUZ DE TRABAJO</t>
  </si>
  <si>
    <t>280 x 56 x 35 mm</t>
  </si>
  <si>
    <t>30x21x152mm</t>
  </si>
  <si>
    <t>V16007</t>
  </si>
  <si>
    <t>V16008</t>
  </si>
  <si>
    <t xml:space="preserve">200mm,8" </t>
  </si>
  <si>
    <t>V16037</t>
  </si>
  <si>
    <t>V16096</t>
  </si>
  <si>
    <t>V16098</t>
  </si>
  <si>
    <t>V80107</t>
  </si>
  <si>
    <t>V80114</t>
  </si>
  <si>
    <t>225mm, 9"</t>
  </si>
  <si>
    <t>MEZCLADOR DE PINTURA</t>
  </si>
  <si>
    <t>140*600mm</t>
  </si>
  <si>
    <t>NIVEL DE ALUMINIO</t>
  </si>
  <si>
    <t>100mm x 18mm x 1m</t>
  </si>
  <si>
    <t>100mm x 18mm x 1.5m</t>
  </si>
  <si>
    <t>100mm x 18mm x 2m</t>
  </si>
  <si>
    <t>100mm x 18mm x 2.5m</t>
  </si>
  <si>
    <t>100mm x 18mm x 3m</t>
  </si>
  <si>
    <t>175mm</t>
  </si>
  <si>
    <t>1000v</t>
  </si>
  <si>
    <t>22 x 6 x 2 mm</t>
  </si>
  <si>
    <t>Aleacion Aluminio</t>
  </si>
  <si>
    <t>CEPILLO CARPINTERO</t>
  </si>
  <si>
    <t>235*44mm</t>
  </si>
  <si>
    <t xml:space="preserve">250*40mm </t>
  </si>
  <si>
    <t>ESCOFINA CHAPISTA</t>
  </si>
  <si>
    <t>250x40mm</t>
  </si>
  <si>
    <t>250mm</t>
  </si>
  <si>
    <t>TIZA EN POLVO</t>
  </si>
  <si>
    <t>Azul</t>
  </si>
  <si>
    <t>Rojo</t>
  </si>
  <si>
    <t>3g - 12 piezas</t>
  </si>
  <si>
    <t>PISTOLA SOPLETEADORA</t>
  </si>
  <si>
    <t>250m</t>
  </si>
  <si>
    <t>43x430mm</t>
  </si>
  <si>
    <t>32x540mm</t>
  </si>
  <si>
    <t>8lbs / 140mm-705mm</t>
  </si>
  <si>
    <t>5lbs / 130mm-640mm</t>
  </si>
  <si>
    <t>2 piezas</t>
  </si>
  <si>
    <t xml:space="preserve">APAREJO A CADENA </t>
  </si>
  <si>
    <t>1Ton</t>
  </si>
  <si>
    <t>2Ton</t>
  </si>
  <si>
    <t>3Ton</t>
  </si>
  <si>
    <t>5Ton</t>
  </si>
  <si>
    <t>1T*1M</t>
  </si>
  <si>
    <t>1T*2M</t>
  </si>
  <si>
    <t>2T*1M</t>
  </si>
  <si>
    <t>2T*2M</t>
  </si>
  <si>
    <t>2T*5M</t>
  </si>
  <si>
    <t>2T*6M</t>
  </si>
  <si>
    <t>3T*2M</t>
  </si>
  <si>
    <t>3T*4M</t>
  </si>
  <si>
    <t>3T*5M</t>
  </si>
  <si>
    <t>3T*6M</t>
  </si>
  <si>
    <t>4T*3M</t>
  </si>
  <si>
    <t>4T*4M</t>
  </si>
  <si>
    <t>4T*5M</t>
  </si>
  <si>
    <t>4T*6M</t>
  </si>
  <si>
    <t>5T*4M</t>
  </si>
  <si>
    <t>5T*5M</t>
  </si>
  <si>
    <t>5T*6M</t>
  </si>
  <si>
    <t>5T*8M</t>
  </si>
  <si>
    <t>6T*4M</t>
  </si>
  <si>
    <t>6T*5M</t>
  </si>
  <si>
    <t>6T*6M</t>
  </si>
  <si>
    <t>6T*8M</t>
  </si>
  <si>
    <t>8T*6M</t>
  </si>
  <si>
    <t>8T*8M</t>
  </si>
  <si>
    <t>10T*6M</t>
  </si>
  <si>
    <t>10T*8M</t>
  </si>
  <si>
    <t>10T*10M</t>
  </si>
  <si>
    <t xml:space="preserve">SILLA MOVIL PARA HERRAMIENTAS </t>
  </si>
  <si>
    <t>150 kg/330 libras</t>
  </si>
  <si>
    <t>50MM</t>
  </si>
  <si>
    <t>65MM</t>
  </si>
  <si>
    <t>80MM</t>
  </si>
  <si>
    <t>100MM</t>
  </si>
  <si>
    <t xml:space="preserve">DISCO DIAMANTADO PARA PULIR </t>
  </si>
  <si>
    <t>115mm</t>
  </si>
  <si>
    <t>115x22,2</t>
  </si>
  <si>
    <t>250 piezas</t>
  </si>
  <si>
    <t>3 piezas</t>
  </si>
  <si>
    <t>115x22,2MM 40#</t>
  </si>
  <si>
    <t>115x22,2MM 60#</t>
  </si>
  <si>
    <t>115x22,2MM 80#</t>
  </si>
  <si>
    <t>115x22,2MM 120#</t>
  </si>
  <si>
    <t>12 piezas</t>
  </si>
  <si>
    <t>15 piezas</t>
  </si>
  <si>
    <t xml:space="preserve">4 Sierras </t>
  </si>
  <si>
    <t>ESPATULA DE RASCADO</t>
  </si>
  <si>
    <t>52mm(2")</t>
  </si>
  <si>
    <t>SIERRA SEGMENTADA</t>
  </si>
  <si>
    <t>87.5mm / 3-7/16"</t>
  </si>
  <si>
    <t>SOPORTE LIJA TRIANGULAR</t>
  </si>
  <si>
    <t>80x80x80mm</t>
  </si>
  <si>
    <t xml:space="preserve">SET LIJAS TRIANGULAR </t>
  </si>
  <si>
    <t>10 p 40# a 240#</t>
  </si>
  <si>
    <t>SOPORTE PARA TALADRO</t>
  </si>
  <si>
    <t>43mm</t>
  </si>
  <si>
    <t xml:space="preserve">OTROS </t>
  </si>
  <si>
    <t>LUPA</t>
  </si>
  <si>
    <t>2X/10X</t>
  </si>
  <si>
    <t>4x</t>
  </si>
  <si>
    <t>2,5X140MM</t>
  </si>
  <si>
    <t>3,6X140MM</t>
  </si>
  <si>
    <t>3,6X250MM</t>
  </si>
  <si>
    <t>3,6X300MM</t>
  </si>
  <si>
    <t>4,8X250MM</t>
  </si>
  <si>
    <t>4,8X350MM</t>
  </si>
  <si>
    <t>4,8X400MM</t>
  </si>
  <si>
    <t>7,6X300MM</t>
  </si>
  <si>
    <t>7,6X370MM</t>
  </si>
  <si>
    <t>7,6X450MM</t>
  </si>
  <si>
    <t>CARRO DE MANO PLEGABLE</t>
  </si>
  <si>
    <t>70KG</t>
  </si>
  <si>
    <t>90KG</t>
  </si>
  <si>
    <t>CARRETILLA DE CARGA PESADA</t>
  </si>
  <si>
    <t>200KG</t>
  </si>
  <si>
    <t>ALFOMBRA ANTIFATIGA DE ESPUMA</t>
  </si>
  <si>
    <t>46"*93"(117*236CM)</t>
  </si>
  <si>
    <t/>
  </si>
  <si>
    <t>CHALECO PARA HERRAMIENTAS</t>
  </si>
  <si>
    <t>510x600mm</t>
  </si>
  <si>
    <t>1,8 M</t>
  </si>
  <si>
    <t>45mm</t>
  </si>
  <si>
    <t>Talle L</t>
  </si>
  <si>
    <t>Talle XL</t>
  </si>
  <si>
    <t>Talle XXL</t>
  </si>
  <si>
    <t>CINTURÓN DE TRABAJO</t>
  </si>
  <si>
    <t>86-134cm (34"-52.5")</t>
  </si>
  <si>
    <t>LUPA DE MANO</t>
  </si>
  <si>
    <t>62mm - 1 1/2"</t>
  </si>
  <si>
    <t>MÁSCARA DE SOLDADURA</t>
  </si>
  <si>
    <t>108*50*3mm</t>
  </si>
  <si>
    <t>17 piezas</t>
  </si>
  <si>
    <t>ENGRAMPADORA NEUMÁTICA (IND)</t>
  </si>
  <si>
    <t>CLAVOS PARA CLAVADORA</t>
  </si>
  <si>
    <t>25MM</t>
  </si>
  <si>
    <t>30MM</t>
  </si>
  <si>
    <t>40MM</t>
  </si>
  <si>
    <t>35MM</t>
  </si>
  <si>
    <t>CLAVOS PARA ENGRAMPADORA</t>
  </si>
  <si>
    <t>10MM</t>
  </si>
  <si>
    <t>12MM</t>
  </si>
  <si>
    <t>14MM</t>
  </si>
  <si>
    <t>16MM</t>
  </si>
  <si>
    <t>ODOMETRO DE MEDICIÓN</t>
  </si>
  <si>
    <t>0AA216</t>
  </si>
  <si>
    <t>CHYA S.A.S.</t>
  </si>
  <si>
    <t>FLORIDA 1190</t>
  </si>
  <si>
    <t>0AA217</t>
  </si>
  <si>
    <t>BERTORA ALEJANDRO ESTEBAN</t>
  </si>
  <si>
    <t>AV. SAN MARTIN 600</t>
  </si>
  <si>
    <t>0AA218</t>
  </si>
  <si>
    <t>MACHADO RAMON BENITO</t>
  </si>
  <si>
    <t>BULNES 1560</t>
  </si>
  <si>
    <t>AV.LOS CAUDILLOS 700</t>
  </si>
  <si>
    <t>1DZ002</t>
  </si>
  <si>
    <t>BARBIERI HNOS S.A.</t>
  </si>
  <si>
    <t>MITRE 237</t>
  </si>
  <si>
    <t>CORONEL MOLDES</t>
  </si>
  <si>
    <t>2DN028</t>
  </si>
  <si>
    <t>NANA S. A. S.</t>
  </si>
  <si>
    <t>PEDRO B PALACIOS 2268 Piso:1</t>
  </si>
  <si>
    <t>MENDOZA CIUDAD</t>
  </si>
  <si>
    <t>5KO004</t>
  </si>
  <si>
    <t>DEBONA RODOLFO VICENTE</t>
  </si>
  <si>
    <t>BERON DE ASTRADA 1661</t>
  </si>
  <si>
    <t>CURUZU CUATIA</t>
  </si>
  <si>
    <t>5KF006</t>
  </si>
  <si>
    <t>ANGELONI GUSTAVO DANIEL</t>
  </si>
  <si>
    <t>RUTA 11 3659</t>
  </si>
  <si>
    <t>0AA219</t>
  </si>
  <si>
    <t>CARRUCCIO POSTES S.C.</t>
  </si>
  <si>
    <t>POTOSI 387</t>
  </si>
  <si>
    <t>0ZZ004</t>
  </si>
  <si>
    <t>CLIENTE PARA COTIZAR</t>
  </si>
  <si>
    <t>2DK006</t>
  </si>
  <si>
    <t>TIENDA DE CUYO S.A.S.</t>
  </si>
  <si>
    <t>CHIMBAS</t>
  </si>
  <si>
    <t>5MJ003</t>
  </si>
  <si>
    <t>ALVAREZ SALVADOR JORGE ANTON</t>
  </si>
  <si>
    <t>AVDA LIBERTAD 199</t>
  </si>
  <si>
    <t>LIBERTADOR GENERAL S</t>
  </si>
  <si>
    <t>6A0098</t>
  </si>
  <si>
    <t>JACRIMAR SAS</t>
  </si>
  <si>
    <t>MINISTALALO 1429</t>
  </si>
  <si>
    <t>CIUDAD DE CORDOBA NO</t>
  </si>
  <si>
    <t>B10003</t>
  </si>
  <si>
    <t>NARANJO JUAN MANUEL</t>
  </si>
  <si>
    <t>AVENIDA 7 NRO 1448</t>
  </si>
  <si>
    <t>AMADEO SABATTINI 65</t>
  </si>
  <si>
    <t>DESPEÑADEROS</t>
  </si>
  <si>
    <t>0AA222</t>
  </si>
  <si>
    <t>FERRECENTRO EMPALME S.R.L</t>
  </si>
  <si>
    <t>LAS ORQUIDEAS 122</t>
  </si>
  <si>
    <t>1DY028</t>
  </si>
  <si>
    <t>KROFER S.A.S.</t>
  </si>
  <si>
    <t>AV. SABATTINI 3050</t>
  </si>
  <si>
    <t>1FI011</t>
  </si>
  <si>
    <t>HEREDIA MATIAS SEBASTIAN</t>
  </si>
  <si>
    <t>CORRIENTES 249</t>
  </si>
  <si>
    <t>1GS014</t>
  </si>
  <si>
    <t>HLB SRL</t>
  </si>
  <si>
    <t>LISANDRO DE LA TORRE 0</t>
  </si>
  <si>
    <t>VILLA NUEVA</t>
  </si>
  <si>
    <t>1GS015</t>
  </si>
  <si>
    <t>CHIAPPERO SILVIA MARISEL</t>
  </si>
  <si>
    <t>JOSE MARIA SALGUEIRO 229</t>
  </si>
  <si>
    <t>JAMES CRAIK</t>
  </si>
  <si>
    <t>RODRIGUEZ (O) 198 VILLA PAULA</t>
  </si>
  <si>
    <t>6A0100</t>
  </si>
  <si>
    <t>EL INSTALADOR S.A.</t>
  </si>
  <si>
    <t>MONSEÑOR PABLO CABRERA 4296</t>
  </si>
  <si>
    <t>BARRIO MARQUES DE SO</t>
  </si>
  <si>
    <t>HERRAMIENTAS 20V LITIO</t>
  </si>
  <si>
    <t>CAJAS DE HERRAMIENTAS</t>
  </si>
  <si>
    <t>MINI ALICATE CORTE DIAG (IND)</t>
  </si>
  <si>
    <t>LLAVE CADENA PARA TUBOS</t>
  </si>
  <si>
    <t xml:space="preserve">225mm / 9" </t>
  </si>
  <si>
    <t>LLAVE CADENA P/ TUBOS (IND)</t>
  </si>
  <si>
    <t xml:space="preserve">300mm / 12" </t>
  </si>
  <si>
    <t>JUEGO HERRAM (3P)</t>
  </si>
  <si>
    <t>3 PIEZAS</t>
  </si>
  <si>
    <t>REMACHAD ALTA RESIST 11" IND</t>
  </si>
  <si>
    <t xml:space="preserve">REMACHADORA MANUAL 8" (IND) </t>
  </si>
  <si>
    <t>210mm,8"</t>
  </si>
  <si>
    <t>16oz/454g</t>
  </si>
  <si>
    <t>DESMALEZADORA INDUSTRIAL</t>
  </si>
  <si>
    <t>1500W/2HP</t>
  </si>
  <si>
    <t>CONECTOR DE MANGUERA</t>
  </si>
  <si>
    <t>1/2"-3/4"</t>
  </si>
  <si>
    <t>3/4"-1"</t>
  </si>
  <si>
    <t>CONECTOR DE MANGUERA 3/4"</t>
  </si>
  <si>
    <t>CONEC MANG C/CIERR SALIDA AGUA</t>
  </si>
  <si>
    <t>CONECTOR DE MANGUERA DE 3/4"</t>
  </si>
  <si>
    <t>CONECTOR MANGUERA D/ACOP</t>
  </si>
  <si>
    <t>ASPERSOR OSCILANTE</t>
  </si>
  <si>
    <t>17 BOQUILLAS</t>
  </si>
  <si>
    <t xml:space="preserve">TIJERA DE PODAR DE 7,5" </t>
  </si>
  <si>
    <t>190mm,7.55"</t>
  </si>
  <si>
    <t>TIJERAS PODAR  DE 8,5" (IND)</t>
  </si>
  <si>
    <t>TIJERA PODAR YUNQUE 8,5" IND</t>
  </si>
  <si>
    <t>JGO TIJERAS PODAR  (3 PIEZAS)</t>
  </si>
  <si>
    <t>8",20",28"</t>
  </si>
  <si>
    <t>SOPORTE PARA LIJADO MANUAL</t>
  </si>
  <si>
    <t>165x85mm</t>
  </si>
  <si>
    <t>210x105mm</t>
  </si>
  <si>
    <t xml:space="preserve">JUEGO ROSCADO P/ TUBERIAS PVC </t>
  </si>
  <si>
    <t>1/2"-3/4"-1"</t>
  </si>
  <si>
    <t>18"</t>
  </si>
  <si>
    <t>11.2X100mm - BLISTER</t>
  </si>
  <si>
    <t xml:space="preserve">JGO BARRAS PEGAM TERM </t>
  </si>
  <si>
    <t xml:space="preserve">11.2x200mm - CAJA </t>
  </si>
  <si>
    <t xml:space="preserve">1999 recuentos, Volt CC: 200m/600V, Corriente CC: 200mA/10A, pantalla LCD a color con luz, proteccion contra sobrecarga, bateria incluida. </t>
  </si>
  <si>
    <t xml:space="preserve">Pantalla LCD, proteccion de sobrecarga, retencion de datos, apagado automatico, indicador de bateria baja. Utiliza pila no incluida. </t>
  </si>
  <si>
    <t xml:space="preserve">Volt CC: 60mV/1000V, deteccion de voltaje sin contacto, Bateria 1.5V incluida. </t>
  </si>
  <si>
    <t xml:space="preserve">Interruptor del sensor de movimiento, aprobacion CE. Conexión USB. </t>
  </si>
  <si>
    <t>Multifuncion 1/3/7LED, bateria no incluida 3AAA.</t>
  </si>
  <si>
    <t>10W</t>
  </si>
  <si>
    <t>V16006</t>
  </si>
  <si>
    <t>14 PIEZAS</t>
  </si>
  <si>
    <t>V33212</t>
  </si>
  <si>
    <t>JGO CORTA CABLES Y PELACAB IND</t>
  </si>
  <si>
    <t>12 PIEZAS</t>
  </si>
  <si>
    <t>V32007</t>
  </si>
  <si>
    <t xml:space="preserve">JGO DEST DE PRECISIÓN AISL </t>
  </si>
  <si>
    <t>7 PIEZAS</t>
  </si>
  <si>
    <t>V83606</t>
  </si>
  <si>
    <t>6 PIEZAS</t>
  </si>
  <si>
    <t>V40520</t>
  </si>
  <si>
    <t>V40525</t>
  </si>
  <si>
    <t>V50418</t>
  </si>
  <si>
    <t>CUCHILLO PARA CABLE AISLADO</t>
  </si>
  <si>
    <t>50x180mm</t>
  </si>
  <si>
    <t>V51416</t>
  </si>
  <si>
    <t>CUCHILLO DESMONTADOR AISLADO</t>
  </si>
  <si>
    <t>38x155mm</t>
  </si>
  <si>
    <t>V90047</t>
  </si>
  <si>
    <t>TIJERAS AISLADAS</t>
  </si>
  <si>
    <t>160mm</t>
  </si>
  <si>
    <t>V12224</t>
  </si>
  <si>
    <t>V82115</t>
  </si>
  <si>
    <t>15 PIEZAS</t>
  </si>
  <si>
    <t>V83718</t>
  </si>
  <si>
    <t>JUEGO HERRAM MANUALES AISL</t>
  </si>
  <si>
    <t>18 PIEZAS</t>
  </si>
  <si>
    <t>V83825</t>
  </si>
  <si>
    <t>25 PIEZAS</t>
  </si>
  <si>
    <t>50 a 120mm - ACERO PULIDO</t>
  </si>
  <si>
    <t>50 a 120mm - Nuevo material PP</t>
  </si>
  <si>
    <t xml:space="preserve">1" - PINCEL PLANO </t>
  </si>
  <si>
    <t>1.5" - PINCEL PLANO</t>
  </si>
  <si>
    <t>2" - PINCEL PLANO</t>
  </si>
  <si>
    <t>2.5" - PINCEL PLANO</t>
  </si>
  <si>
    <t xml:space="preserve">3" - PINCEL PLANO </t>
  </si>
  <si>
    <t>4" - PINCEL PLANO</t>
  </si>
  <si>
    <t>1" - PINCEL PLANO CABEZA CURVA</t>
  </si>
  <si>
    <t>1.5" - PINCEL PLANO CABEZA CURVA</t>
  </si>
  <si>
    <t xml:space="preserve">2" - PINCEL PLANO CABEZA CURVA </t>
  </si>
  <si>
    <t xml:space="preserve">2.5" - PINCEL PLANO CABEZA CURVA </t>
  </si>
  <si>
    <t>250mm,10" - POLIESTER Y ACRILICO</t>
  </si>
  <si>
    <t>250mm,10" - ACRILICO</t>
  </si>
  <si>
    <t>CUCHILLACORTAD PORCELAN(IND)</t>
  </si>
  <si>
    <t>22x6x6mm</t>
  </si>
  <si>
    <t>POLVO BLANCO</t>
  </si>
  <si>
    <t>INFLADOR NEUM ELÉCT (IND)</t>
  </si>
  <si>
    <t>40L/min</t>
  </si>
  <si>
    <t>2T</t>
  </si>
  <si>
    <t>4T</t>
  </si>
  <si>
    <t>6T</t>
  </si>
  <si>
    <t>10T</t>
  </si>
  <si>
    <t>12T</t>
  </si>
  <si>
    <t>20T</t>
  </si>
  <si>
    <t>CINCEL PUNTA HEXAGONAL (IND)</t>
  </si>
  <si>
    <t>30x410mm</t>
  </si>
  <si>
    <t>30x410x35mm</t>
  </si>
  <si>
    <t>JUEGO BROCAS P/VIDRIO (5P)</t>
  </si>
  <si>
    <t>4,5,6,8,10mm</t>
  </si>
  <si>
    <t>HOJA DE LIJADO (5 PIEZAS)</t>
  </si>
  <si>
    <t>125mm/5"40#</t>
  </si>
  <si>
    <t>125mm/5"60#</t>
  </si>
  <si>
    <t>125mm/5"80#</t>
  </si>
  <si>
    <t>125mm/5"120#</t>
  </si>
  <si>
    <t>125mm/5"150#</t>
  </si>
  <si>
    <t>125mm/5"180#</t>
  </si>
  <si>
    <t>125mm/5"240#</t>
  </si>
  <si>
    <t>JGO HOJAS SIERRA OSC (4 P)</t>
  </si>
  <si>
    <t>4 PIEZAS</t>
  </si>
  <si>
    <t>16"</t>
  </si>
  <si>
    <t>PULSERA MAGNÉTICA</t>
  </si>
  <si>
    <t>350x90mm</t>
  </si>
  <si>
    <t>MOCHILA</t>
  </si>
  <si>
    <t>30cm x 12cm x 44cm</t>
  </si>
  <si>
    <t>32cm x 25cm x 48cm</t>
  </si>
  <si>
    <t>TAPONES PARA OÍDOS</t>
  </si>
  <si>
    <t>APROBACION CE</t>
  </si>
  <si>
    <t>PROTECTOR AUDITIVO</t>
  </si>
  <si>
    <t>APROBACION CE Y ANSI</t>
  </si>
  <si>
    <t>RODILLERAS</t>
  </si>
  <si>
    <t>0AA223</t>
  </si>
  <si>
    <t>0AA224</t>
  </si>
  <si>
    <t>ALEMMA S.A.</t>
  </si>
  <si>
    <t>JUAN DE DIOS CORREAS 6920</t>
  </si>
  <si>
    <t>FAICAR S.A.S.</t>
  </si>
  <si>
    <t>B10004</t>
  </si>
  <si>
    <t>PAZ CONDE S.R.L.</t>
  </si>
  <si>
    <t>131 5421</t>
  </si>
  <si>
    <t>GUILLERMO E. HUDSON</t>
  </si>
  <si>
    <t>OJEDA WALTER DANIEL</t>
  </si>
  <si>
    <t>55 5090</t>
  </si>
  <si>
    <t>B10005</t>
  </si>
  <si>
    <t>6A0101</t>
  </si>
  <si>
    <t>SEBASTIAN MORENO &amp; ASOCIADOS S.A.S.</t>
  </si>
  <si>
    <t>EDUARDO BULNES 2364</t>
  </si>
  <si>
    <t>119 PIEZAS</t>
  </si>
  <si>
    <t>89 PIEZAS</t>
  </si>
  <si>
    <t>60 PIEZAS</t>
  </si>
  <si>
    <t>94 PIEZAS</t>
  </si>
  <si>
    <t>175 PIEZAS</t>
  </si>
  <si>
    <t>216 PIEZAS</t>
  </si>
  <si>
    <t>66 PIEZAS</t>
  </si>
  <si>
    <t>19 PIEZAS</t>
  </si>
  <si>
    <t>100 PIEZAS</t>
  </si>
  <si>
    <t>2 EN 1</t>
  </si>
  <si>
    <t>6 EN 1</t>
  </si>
  <si>
    <t>7 EN 1</t>
  </si>
  <si>
    <t>14 EN 1</t>
  </si>
  <si>
    <t>26 PIEZAS</t>
  </si>
  <si>
    <t>38 PIEZAS</t>
  </si>
  <si>
    <t>41 PIEZAS</t>
  </si>
  <si>
    <t>17 PIEZAS</t>
  </si>
  <si>
    <t>42 PIEZAS</t>
  </si>
  <si>
    <t>40 PIEZAS</t>
  </si>
  <si>
    <t>36 PIEZAS</t>
  </si>
  <si>
    <t>REGLA COMBINADA (INDUSTRIAL)</t>
  </si>
  <si>
    <t>NIVEL DE ALUMINIO IND</t>
  </si>
  <si>
    <t>190mm,7.5"</t>
  </si>
  <si>
    <t>PISTOLA DE ESPUMA DE TEFLÓN</t>
  </si>
  <si>
    <t xml:space="preserve">EXTRACTOR DE POLEA 2 PATAS </t>
  </si>
  <si>
    <t>90x100mm</t>
  </si>
  <si>
    <t>130x100mm</t>
  </si>
  <si>
    <t>160x150mm</t>
  </si>
  <si>
    <t>200x150mm</t>
  </si>
  <si>
    <t>180mm/7"80#</t>
  </si>
  <si>
    <t>180mm/7"120#</t>
  </si>
  <si>
    <t>228mm,9"</t>
  </si>
  <si>
    <t>ANTIPARRAS DE SEGURIDAD</t>
  </si>
  <si>
    <t>GUANTES PARA SOLDAR</t>
  </si>
  <si>
    <t>15M/50ft</t>
  </si>
  <si>
    <t>JGO. DE LLAVES Y HERRAMIENTAS</t>
  </si>
  <si>
    <t>JGO. DE TUBOS Y HERRAMIENTAS</t>
  </si>
  <si>
    <t>JGO HERRAMIENTAS</t>
  </si>
  <si>
    <t>JGO B.LLAVE 1/4 Y 1/2 45 PZAS</t>
  </si>
  <si>
    <t>JGO LLAVES Y TUBOS 82 PZAS</t>
  </si>
  <si>
    <t>JGO LLAVES Y TUBOS 108 PZAS</t>
  </si>
  <si>
    <t>JGO HERRAM ELECTRIC (IND)</t>
  </si>
  <si>
    <t>PINZA DE BOCA DESLIZANTE (INDU</t>
  </si>
  <si>
    <t>PINZA PICO DE LORO (INDUSTRIAL</t>
  </si>
  <si>
    <t>PINZA RECTO DE LARGO ALCANCE</t>
  </si>
  <si>
    <t>PINZA DE LARGO ALCANCE A 45º</t>
  </si>
  <si>
    <t>PINZA DE LARGO ALCANCE A 90º</t>
  </si>
  <si>
    <t>MINI PINZA UNIVERSAL (IND)</t>
  </si>
  <si>
    <t>MINIPINZA PTA MEDIA CAÑA (IND)</t>
  </si>
  <si>
    <t>MINI ALICATES PTA CURVA (IND)</t>
  </si>
  <si>
    <t>MINI ALICATES PTA PLANA (IND)</t>
  </si>
  <si>
    <t>PINZA TIPO ROSARIO (IND)</t>
  </si>
  <si>
    <t>ALICATE CORTE FRONTAL (IND)</t>
  </si>
  <si>
    <t>MINIPINZA MED CAÑA AGUJA (IND)</t>
  </si>
  <si>
    <t>JUEGO PINZAS Y ALICATES (IND)</t>
  </si>
  <si>
    <t>TENAZA ARMADOR CORTE COMP IND</t>
  </si>
  <si>
    <t>PINZA DE PRESIÓN (IND)</t>
  </si>
  <si>
    <t xml:space="preserve">PINZA SEEGER CERRAR </t>
  </si>
  <si>
    <t>PINZA SEEGER (INDUSTRIAL)</t>
  </si>
  <si>
    <t>PINZA SEEGER ABRIR</t>
  </si>
  <si>
    <t xml:space="preserve">PINZA SEEGER </t>
  </si>
  <si>
    <t>PRENSA ESQUINA (INDUSTRIAL)</t>
  </si>
  <si>
    <t>MORSA ROTATIVA (IND) 10804</t>
  </si>
  <si>
    <t>MORSA ROTATIVA (IND) 10806</t>
  </si>
  <si>
    <t>MORSA ROTATIVA (IND) 10105</t>
  </si>
  <si>
    <t>MORSA ROTATIVA (IND) 10808</t>
  </si>
  <si>
    <t>MORSA ROTATIVA (IND) 10106</t>
  </si>
  <si>
    <t>JGO. HERRAM.DE MANO 85300 (9P)</t>
  </si>
  <si>
    <t>JUEGO DE LLAVES AJUSTABLES 3P</t>
  </si>
  <si>
    <t>JGO LLAVES COMB SAE</t>
  </si>
  <si>
    <t>LLAVE COMB. (PUL) (IND) 15319</t>
  </si>
  <si>
    <t>LLAVE COMB. (PUL) (IND) 15324</t>
  </si>
  <si>
    <t>LLAVE COMB. (PUL) (IND) 15326</t>
  </si>
  <si>
    <t>LLAVE COMB. (PUL) (IND) 15329</t>
  </si>
  <si>
    <t>LLAVE COMB. (PUL) (IND) 15330</t>
  </si>
  <si>
    <t>LLAVE COMB. (PUL) (IND) 15332</t>
  </si>
  <si>
    <t>LLAVE COMB. (PUL) (IND) 15333</t>
  </si>
  <si>
    <t>LLAVE COMB. (PUL) (IND) 15335</t>
  </si>
  <si>
    <t>LLAVE COMB. (PUL) (IND) 15337</t>
  </si>
  <si>
    <t>LLAVE COMB. (PUL) (IND) 15339</t>
  </si>
  <si>
    <t>LLAVE COMB. (PUL) (IND) 15342</t>
  </si>
  <si>
    <t>MANGO DE FUERZA (INDUSTRIAL)</t>
  </si>
  <si>
    <t>JUEGO 9 LLAVES ACODADAS (IND)</t>
  </si>
  <si>
    <t>JUEGO 5 LLAVES ACODADAS</t>
  </si>
  <si>
    <t>LLAVE CRIQUE (INDL)</t>
  </si>
  <si>
    <t>LLAVETORQ MICROM TRINQREV(IND)</t>
  </si>
  <si>
    <t>BARRA DE FUERZA EN "L" (IND)</t>
  </si>
  <si>
    <t>JGO BLLAVE LARG 1/2" 10 P(IND)</t>
  </si>
  <si>
    <t>LLAVE ANDAMIO</t>
  </si>
  <si>
    <t xml:space="preserve">JGO BOCALLAVE"TIPO E" </t>
  </si>
  <si>
    <t xml:space="preserve">JGO DESTORNILLADOR </t>
  </si>
  <si>
    <t>JUEGO PUNZON 4 PIEZAS</t>
  </si>
  <si>
    <t xml:space="preserve">DESTORNILLADOR PHILLIPS </t>
  </si>
  <si>
    <t>JGO 2 DESTOR CORTOS</t>
  </si>
  <si>
    <t>JGO 2 DESTORNILLADORES</t>
  </si>
  <si>
    <t>JGO 4 DESTORNILLADORES</t>
  </si>
  <si>
    <t>JGO 8 DESTORNILLADORES</t>
  </si>
  <si>
    <t>JGO 10 DESTORNILLADORES</t>
  </si>
  <si>
    <t xml:space="preserve">JGO. DESTORNILLADORES (19P) </t>
  </si>
  <si>
    <t xml:space="preserve">JGO. DESTORNILLADORES (100P) </t>
  </si>
  <si>
    <t xml:space="preserve">JUEGO DE DESTORNILLADORES </t>
  </si>
  <si>
    <t>JGO DESTORNILLADOR TCA MET</t>
  </si>
  <si>
    <t>JGO DESTORNILLADOR TCA SAE</t>
  </si>
  <si>
    <t>JGO DESTORNILLADORES 2 EN 1</t>
  </si>
  <si>
    <t>JGO DESTORNILLADORES 6 EN 1</t>
  </si>
  <si>
    <t>JGO DE PUNTAS</t>
  </si>
  <si>
    <t>JGO DESTORNILLADOR INTERCAM</t>
  </si>
  <si>
    <t>JGO HERRAM PRECISIÓN</t>
  </si>
  <si>
    <t>JGO PUNTAS MAGNET</t>
  </si>
  <si>
    <t>JGO DE PUNTAS Y B/LLAVE</t>
  </si>
  <si>
    <t>JUEGO DE BOQUILLAS</t>
  </si>
  <si>
    <t xml:space="preserve">JGO BOQ TCA MAGN </t>
  </si>
  <si>
    <t xml:space="preserve">PORTAPUNTAS LIB/RÁPIDA </t>
  </si>
  <si>
    <t>JUEGO LLAVES HEX LARGAS (9P)</t>
  </si>
  <si>
    <t>JGO LLAVES HEX EXTRALARGA (9P)</t>
  </si>
  <si>
    <t>JGOLLAVEALLEN HEX TORX LARGA</t>
  </si>
  <si>
    <t>JGOL/ALLEN HEX TX EXTRA LARGA</t>
  </si>
  <si>
    <t>JGO LLAVES HEX PLEGABLES</t>
  </si>
  <si>
    <t>REMACHADORA MANUAL (IND)</t>
  </si>
  <si>
    <t>HERRAMIENTA PRENSADO HIDRÁU</t>
  </si>
  <si>
    <t>GRAPADORA (INDUSTRIAL)</t>
  </si>
  <si>
    <t>GANCHO PARA ENGRANPADORA</t>
  </si>
  <si>
    <t>GRAPAS</t>
  </si>
  <si>
    <t>MINI MARTILLO GALPONERO</t>
  </si>
  <si>
    <t>MARTILLO GALPONERO</t>
  </si>
  <si>
    <t>PALANCA ALTA RESISTENCIA (IND)</t>
  </si>
  <si>
    <t>JGO CINCELES P/MADERA (IND)</t>
  </si>
  <si>
    <t>CUCHILLO DE HOJA RETRÁCTIL</t>
  </si>
  <si>
    <t>CUTTER IND 30009</t>
  </si>
  <si>
    <t>CUTTER DE HOJA CORTABLE (IND)</t>
  </si>
  <si>
    <t>RASCADOR TRABAJO PESADO</t>
  </si>
  <si>
    <t xml:space="preserve">REPUESTO CUTTER </t>
  </si>
  <si>
    <t>REPUESTO CUTTER 10P</t>
  </si>
  <si>
    <t>TIJERA DE AVIACIÓN RECTA (IND)</t>
  </si>
  <si>
    <t>TIJERAS HOJAL (IND)</t>
  </si>
  <si>
    <t xml:space="preserve">NAVAJA MULTIF BOLSILLO </t>
  </si>
  <si>
    <t>MARCO DE SIERRA MINI</t>
  </si>
  <si>
    <t>MINI ARCO SIERRA (IND)</t>
  </si>
  <si>
    <t>HOJA SIERRA BIMETÁLICA (IND)</t>
  </si>
  <si>
    <t xml:space="preserve">SIERRA PARA ALBAÑILERÍA   </t>
  </si>
  <si>
    <t>SIERRA PARA ALBAÑILERÍA</t>
  </si>
  <si>
    <t>JGO MINI MANGUERA P/JARDÍN</t>
  </si>
  <si>
    <t>CONECTOR MANG C/PARADA/AGUA</t>
  </si>
  <si>
    <t>JGO CONECTORES MANGUERA</t>
  </si>
  <si>
    <t>JGO 4 BOQ LAVADORA A PRESIÓN</t>
  </si>
  <si>
    <t>SERRUCHO PARA PODA 14" (IND)</t>
  </si>
  <si>
    <t>SERRUCHO PARA PODA PROFESIONAL</t>
  </si>
  <si>
    <t>SIERRA DE ARCO</t>
  </si>
  <si>
    <t>HOJA SIERRA JARDÍN (SECO)</t>
  </si>
  <si>
    <t>HOJA SIERRA JARDÍN (HÚMEDO)</t>
  </si>
  <si>
    <t>TIJERAS PODAR RECTAS (IND)</t>
  </si>
  <si>
    <t>TIJERA DE PODAR BYPASS (IND)</t>
  </si>
  <si>
    <t>RASTRILLO DE JARDÍN</t>
  </si>
  <si>
    <t>NIVEL LASER AUTONIV</t>
  </si>
  <si>
    <t>NIVEL LÁSER AUTONIV (IND)</t>
  </si>
  <si>
    <t>TRÍPODE INSTRUMENTOS (IND)</t>
  </si>
  <si>
    <t>POSTE DE EXTENSIÓN (IND)</t>
  </si>
  <si>
    <t>MEDIDOR LASER 35074</t>
  </si>
  <si>
    <t>TERMÓMETRO INFRARROJO</t>
  </si>
  <si>
    <t>CORTAD TUBOS PVC</t>
  </si>
  <si>
    <t>KIT HERRAMIENTAS ENSANCHAR</t>
  </si>
  <si>
    <t>PROBADOR DE VOLTAJE DIGITAL</t>
  </si>
  <si>
    <t xml:space="preserve">DETECTOR VOLTAJE AC </t>
  </si>
  <si>
    <t>DESTOR. PLANO 1000V VDE IND</t>
  </si>
  <si>
    <t>DESTOR. PHILLIPS 1000V VDE IND</t>
  </si>
  <si>
    <t>JGO 5 DESTORNILLADORES VDE</t>
  </si>
  <si>
    <t>JGODESTOR. 1000V VDE 6PZAS IND</t>
  </si>
  <si>
    <t>CORTADOR CABLE RES (IND)</t>
  </si>
  <si>
    <t>PINZACRIMPEADORA MODU 3EN1 IND</t>
  </si>
  <si>
    <t>ALIC COMB MULTIF PELAC (IND)</t>
  </si>
  <si>
    <t>CORTAD CABLES/PELAC (IND)</t>
  </si>
  <si>
    <t>CINTA PVC AISLADA</t>
  </si>
  <si>
    <t>JGO BARRAS PEGAM TERM (12 P)</t>
  </si>
  <si>
    <t>MULTÍMETRO DIGITAL</t>
  </si>
  <si>
    <t>MULTIMETRO DIGITAL INDUSTRIAL</t>
  </si>
  <si>
    <t>MULTÍMETRO DIGITAL (IND)</t>
  </si>
  <si>
    <t>MEDIDOR DE PINZA DIGITAL CA</t>
  </si>
  <si>
    <t>LÁMP/CAB SENSORA RECARG(IND)</t>
  </si>
  <si>
    <t>LÁMPARA DE CABEZA (IND)</t>
  </si>
  <si>
    <t>LINTERNA LED INDUSTRIAL</t>
  </si>
  <si>
    <t>LUZ DE TRABAJO (IND)</t>
  </si>
  <si>
    <t>LÁMPARA DE TRABAJO (IND)</t>
  </si>
  <si>
    <t>PINZA UNIV AISL PREM V16006</t>
  </si>
  <si>
    <t>PINZA UNIV AISL PREM V38116</t>
  </si>
  <si>
    <t>ALIC CORTEDIAG AISLAD.PREM</t>
  </si>
  <si>
    <t>ALIC CORTEDIAG AISLPREM V38127</t>
  </si>
  <si>
    <t>PINZA PUNTA 1/2CAÑA AISLA PREM</t>
  </si>
  <si>
    <t>ALIC UNIVERSAL AISLPREM V16098</t>
  </si>
  <si>
    <t>ALIC UNIVERSAL AISLPREM V38138</t>
  </si>
  <si>
    <t>PINZA PTA1/2CAÑA CURV V16026</t>
  </si>
  <si>
    <t>PINZA PTA1/2CAÑA CURV V16028</t>
  </si>
  <si>
    <t>PINZA PTA1/2CAÑA AISLA V16046</t>
  </si>
  <si>
    <t>PINZA PTA1/2CAÑA AISL V16056</t>
  </si>
  <si>
    <t>PINZA PELACABLES AISL V16066</t>
  </si>
  <si>
    <t xml:space="preserve">SET HERRAMIENTAS AISLADAS </t>
  </si>
  <si>
    <t>SET HERRAM MANUALES AISLADAS</t>
  </si>
  <si>
    <t>JGO ESPÁTULAS 4 PIEZAS</t>
  </si>
  <si>
    <t>ESPÁTULA MULTIUSOS 6 EN 1</t>
  </si>
  <si>
    <t>JGO PINTURA 3 PIEZAS</t>
  </si>
  <si>
    <t>CORTADOR AZULEJOS (ALTARES)</t>
  </si>
  <si>
    <t>SIERRA PARA CERAMICO</t>
  </si>
  <si>
    <t>REPUESTO CORTA CERAMICO (IND)</t>
  </si>
  <si>
    <t xml:space="preserve">REGLA MEDICIÓN 6 LADOS </t>
  </si>
  <si>
    <t>CEPILLO PARA DESABOLLAR (IND)</t>
  </si>
  <si>
    <t>REPUESTO LIMA DESABOLLAR</t>
  </si>
  <si>
    <t>SÚPER PEGAMENTO</t>
  </si>
  <si>
    <t xml:space="preserve">ACEITERA DE PLASTICO </t>
  </si>
  <si>
    <t>ACEITERA DE CHAPA 65216</t>
  </si>
  <si>
    <t>ACEITERA DE CHAPA 65223</t>
  </si>
  <si>
    <t>ACEITERA DE CHAPA 65221</t>
  </si>
  <si>
    <t>ACEITERA DE CHAPA 65225</t>
  </si>
  <si>
    <t>INFLADOR PARA BICICLETA</t>
  </si>
  <si>
    <t>INFLADOR BICICLETA MANÓMETRO</t>
  </si>
  <si>
    <t>BOMBA PIE CON MANÓMETRO</t>
  </si>
  <si>
    <t xml:space="preserve">CABESTRANTE MANUAL </t>
  </si>
  <si>
    <t xml:space="preserve">IMAN TELECOPICO </t>
  </si>
  <si>
    <t xml:space="preserve">JGO HERRAM INSPEC TELESC </t>
  </si>
  <si>
    <t>BARRA HERRAMIENTAS MAG</t>
  </si>
  <si>
    <t>ESLINGA DE CARGA (INDUSTRIAL)</t>
  </si>
  <si>
    <t>BROCA FORSTNER</t>
  </si>
  <si>
    <t>BROCA DE NÚCLEO (INDUSTRIAL)</t>
  </si>
  <si>
    <t>SET ACC MINI TALADRO</t>
  </si>
  <si>
    <t>DISCO RESPALDO PLÁSTICO VELCRO</t>
  </si>
  <si>
    <t>DISCO FLAP ÓXIDO DE ALUMINIO</t>
  </si>
  <si>
    <t xml:space="preserve">SET FRESAS MADERA </t>
  </si>
  <si>
    <t>SET FRESAS MADERA</t>
  </si>
  <si>
    <t xml:space="preserve">JUEGO DE SIERRA COPA BI-METAL </t>
  </si>
  <si>
    <t xml:space="preserve">JUEGO DE SIERRAS COPA </t>
  </si>
  <si>
    <t>JUEGO DE SIERRAS COPA</t>
  </si>
  <si>
    <t>CUCHILLA MULTIFUNCION</t>
  </si>
  <si>
    <t>JGO HOJAS SIERRA (2P)</t>
  </si>
  <si>
    <t>JUEGO HOJA SIERRA</t>
  </si>
  <si>
    <t>JGO HOJAS SIERRA (4P)</t>
  </si>
  <si>
    <t>JGO HOJAS SIERRA (12 P)</t>
  </si>
  <si>
    <t>CORDONES PARA HERRAMIENTAS</t>
  </si>
  <si>
    <t>ESLINGA DE SEGURIDAD</t>
  </si>
  <si>
    <t>TRAJE IMPERMEABLE</t>
  </si>
  <si>
    <t>GUANTES PARA SOLDAR (IND)</t>
  </si>
  <si>
    <t>PINZA PORTA ELECTRODOS</t>
  </si>
  <si>
    <t>PINZA P/ELECTRODO 44931</t>
  </si>
  <si>
    <t>PINZA P/ELECTRODO 44934</t>
  </si>
  <si>
    <t>PISTOLA LAVADO AIRE 73190</t>
  </si>
  <si>
    <t>PISTOLA LAVADO AIRE 73191</t>
  </si>
  <si>
    <t>ENROLLADOR AUTOM MANG/AIRE IND</t>
  </si>
  <si>
    <t xml:space="preserve">LLAVE DE IMPACTO AIRE </t>
  </si>
  <si>
    <t>LLAVE IMPACTO NEUMÁTICA (IND)</t>
  </si>
  <si>
    <t xml:space="preserve">LLAVE DE IMPACTO DE AIRE </t>
  </si>
  <si>
    <t>CRIQUE NEUMATICO</t>
  </si>
  <si>
    <t>AMOLAD ANGULAR AIRE</t>
  </si>
  <si>
    <t>JGO LLAVES IMPACTO AIRE</t>
  </si>
  <si>
    <t>JGO MARTILLO NEUM (HEX)</t>
  </si>
  <si>
    <t>ACOPLE RÁPIDO MACHO</t>
  </si>
  <si>
    <t>ACOPLE RÁPIDO HEMBRA</t>
  </si>
  <si>
    <t xml:space="preserve">ACOPLE RÁPIDO ACERO MACHO </t>
  </si>
  <si>
    <t>ACOPLE RÁPIDO ACERO HEMBRA</t>
  </si>
  <si>
    <t>CLAVADORA NEUMAT 2 EN 1 (IND)</t>
  </si>
  <si>
    <t>0AA226</t>
  </si>
  <si>
    <t>ALDO LORENZUTTI S R L</t>
  </si>
  <si>
    <t>CACHEUTA 4483</t>
  </si>
  <si>
    <t>0AA227</t>
  </si>
  <si>
    <t>SOSA LAURA AGUSTINA</t>
  </si>
  <si>
    <t>LIENCURA 8632</t>
  </si>
  <si>
    <t>0AA228</t>
  </si>
  <si>
    <t>JBS DISTRIBUCIONES S. R. L.</t>
  </si>
  <si>
    <t>1DY044</t>
  </si>
  <si>
    <t>NARDONI DANIEL ANTONIO</t>
  </si>
  <si>
    <t>AV SAN MARTIN 2395</t>
  </si>
  <si>
    <t>5KW005</t>
  </si>
  <si>
    <t>MEDINA HERMANOS S. R. L.</t>
  </si>
  <si>
    <t>HUMADA RAMELLA 465 Piso:0 Dpto</t>
  </si>
  <si>
    <t>SALUZZO HNOS DE ARAGON S.P.YSALUZZO H.J.CAP I,SEC 4 LEY19550</t>
  </si>
  <si>
    <t>AV. AZOPARDO 175</t>
  </si>
  <si>
    <t>6A0102</t>
  </si>
  <si>
    <t>CAMPETELLA MARTINEZ RONALD EMIR</t>
  </si>
  <si>
    <t>RANCAGUA 5095</t>
  </si>
  <si>
    <t>7NU001</t>
  </si>
  <si>
    <t>K.SUR ARGENTINO</t>
  </si>
  <si>
    <t>MG BULONERA S.R.L.</t>
  </si>
  <si>
    <t>SUR ARGENTINO</t>
  </si>
  <si>
    <t>NEUQUEN</t>
  </si>
  <si>
    <t>BELGRANO 4212</t>
  </si>
  <si>
    <t>B10006</t>
  </si>
  <si>
    <t>FUNES RODRIGO CESAR</t>
  </si>
  <si>
    <t>55 4742</t>
  </si>
  <si>
    <t>7NU003</t>
  </si>
  <si>
    <t>7NU004</t>
  </si>
  <si>
    <t>BULONERA RUBINO SRL</t>
  </si>
  <si>
    <t>ANTUNEZ RICARDO ALBERTO</t>
  </si>
  <si>
    <t>BELGRANO 3121</t>
  </si>
  <si>
    <t>IRIGOYEN 776 Piso:0 Dpto:0</t>
  </si>
  <si>
    <t>FELIX SAN MARTIN 1800</t>
  </si>
  <si>
    <t>1GA005</t>
  </si>
  <si>
    <t>DOSMDOSS GROUP S.A.</t>
  </si>
  <si>
    <t>HIPOLITO YRIGOYEN 217</t>
  </si>
  <si>
    <t>SUBTOTAL</t>
  </si>
  <si>
    <t>DIRECCION:</t>
  </si>
  <si>
    <t>TELEFONO:</t>
  </si>
  <si>
    <t>LOCALIDAD:</t>
  </si>
  <si>
    <t>* Descuento pago</t>
  </si>
  <si>
    <t>0AA230</t>
  </si>
  <si>
    <t>CADAMURO FRANCO ALEXIS</t>
  </si>
  <si>
    <t>AV. SAN MARTIN 2121</t>
  </si>
  <si>
    <t>0AA229</t>
  </si>
  <si>
    <t>FICARRA LEONARDO DAVID</t>
  </si>
  <si>
    <t>VILLA CABRERA</t>
  </si>
  <si>
    <t>AV EMILIO CARAFFA 2075</t>
  </si>
  <si>
    <t>0AA231</t>
  </si>
  <si>
    <t>ABASUD S.A.S.</t>
  </si>
  <si>
    <t>DON BOSCO 4389 Piso:PA Dpto:B</t>
  </si>
  <si>
    <t>0AA232</t>
  </si>
  <si>
    <t>+ SODA SAS</t>
  </si>
  <si>
    <t>TUCUMAN 2474</t>
  </si>
  <si>
    <t>0AA233</t>
  </si>
  <si>
    <t>CELI GUSTAVO DANIEL</t>
  </si>
  <si>
    <t>DUARTE QUIRÓS 4094</t>
  </si>
  <si>
    <t>0AA234</t>
  </si>
  <si>
    <t>MIGUEL ANGEL PAPA S.R.L.</t>
  </si>
  <si>
    <t>AV. ALEM 1000 Piso:PB</t>
  </si>
  <si>
    <t>5KK001</t>
  </si>
  <si>
    <t>PONTICELLI HERMANOS S. A.</t>
  </si>
  <si>
    <t>QUINCE 1367</t>
  </si>
  <si>
    <t>BARRIO PARQUE LICEO</t>
  </si>
  <si>
    <t>CIPOLLETTI</t>
  </si>
  <si>
    <t>HERRAMIENTAS DE MANO</t>
  </si>
  <si>
    <t>JUEGO DE MINI ALICATES Y DESTORNILALDORES DE PRECISION</t>
  </si>
  <si>
    <t>CEPILLO DE BLOQUE (IND)</t>
  </si>
  <si>
    <t>254mm, 10"</t>
  </si>
  <si>
    <t>LINEA DE ALBAÑILERIA</t>
  </si>
  <si>
    <t>50mts</t>
  </si>
  <si>
    <t>ESPEJO DE INSPECCION TELESCOPICO LED</t>
  </si>
  <si>
    <t>40x65mm</t>
  </si>
  <si>
    <t>CINTA DE FIBRA DE VIDRIO (P/ DURLOCK)</t>
  </si>
  <si>
    <t>48mm*90m</t>
  </si>
  <si>
    <t>ROLDAN ( S.FE )</t>
  </si>
  <si>
    <t>FIAMBALA 314</t>
  </si>
  <si>
    <t>0AA235</t>
  </si>
  <si>
    <t>SERIN S A</t>
  </si>
  <si>
    <t>GUIÑAZU</t>
  </si>
  <si>
    <t>CNO JESUS MARIA KM 8 Y MEDIO 8</t>
  </si>
  <si>
    <t>0AA236</t>
  </si>
  <si>
    <t>SERVET SOCIEDAD ANONIMA</t>
  </si>
  <si>
    <t>RUTA NACIONAL 147 EMP.R.PCIAL.</t>
  </si>
  <si>
    <t>1EA003</t>
  </si>
  <si>
    <t>SERVICIOS ELECTROMECANICA INDUSTRIAL SRL</t>
  </si>
  <si>
    <t>BELGRANO 1722</t>
  </si>
  <si>
    <t>1GA003</t>
  </si>
  <si>
    <t>ROSSA EMMANUEL BALTAZAR</t>
  </si>
  <si>
    <t>HIPOLITO IRIGOYEN 217</t>
  </si>
  <si>
    <t>1GH002</t>
  </si>
  <si>
    <t>GODOY JESICA AGUSTINA</t>
  </si>
  <si>
    <t>RUTA NACIONAL 9 JUAN DOMINGO P</t>
  </si>
  <si>
    <t>L.FEDERICO CACACE</t>
  </si>
  <si>
    <t>2DN029</t>
  </si>
  <si>
    <t>ARCE CARLOS FABIAN</t>
  </si>
  <si>
    <t>VILLA HIPODROMO</t>
  </si>
  <si>
    <t>CANOTA 2664</t>
  </si>
  <si>
    <t>W. NUÑEZ 1360</t>
  </si>
  <si>
    <t>2DR019</t>
  </si>
  <si>
    <t>VIÑOLO VICTOR MANUEL</t>
  </si>
  <si>
    <t>CHACABUCO 323</t>
  </si>
  <si>
    <t>2DR026</t>
  </si>
  <si>
    <t>GRUPO CAMIN SA</t>
  </si>
  <si>
    <t>TERRADA 457</t>
  </si>
  <si>
    <t>2DS004</t>
  </si>
  <si>
    <t>YUNES HUGO ALBERTO</t>
  </si>
  <si>
    <t>MITRE 1144</t>
  </si>
  <si>
    <t>2DS005</t>
  </si>
  <si>
    <t>VILLALOBOS RAMON ALFREDO</t>
  </si>
  <si>
    <t>ALEM 511</t>
  </si>
  <si>
    <t>2DS006</t>
  </si>
  <si>
    <t>MARTINEZ JOSE DOMINGO</t>
  </si>
  <si>
    <t>REAL DEL PADRE</t>
  </si>
  <si>
    <t>RIO NEGRO 708</t>
  </si>
  <si>
    <t>2DS007</t>
  </si>
  <si>
    <t>GRUPO ANGUIOS S. R. L.</t>
  </si>
  <si>
    <t>CUADRO NACIONAL</t>
  </si>
  <si>
    <t>BARTOLOME MITRE 3354</t>
  </si>
  <si>
    <t>2DV003</t>
  </si>
  <si>
    <t>METALES DIBO S A</t>
  </si>
  <si>
    <t>MAIPU</t>
  </si>
  <si>
    <t>J. A. MAZA NORTE 3543</t>
  </si>
  <si>
    <t>2DW002</t>
  </si>
  <si>
    <t>MEGAFER  S A</t>
  </si>
  <si>
    <t>LAVALLE 25</t>
  </si>
  <si>
    <t>POLETTO RUBEN LUIS</t>
  </si>
  <si>
    <t>CARLOS PELLEGRINI 355</t>
  </si>
  <si>
    <t>2DW007</t>
  </si>
  <si>
    <t>TEJADA JUAN LINARDO</t>
  </si>
  <si>
    <t>MITRE 184</t>
  </si>
  <si>
    <t>2DX004</t>
  </si>
  <si>
    <t>LA CASA DE LA CONSTRUCCION  S.A.</t>
  </si>
  <si>
    <t>FRAY LUIS BELTRAN</t>
  </si>
  <si>
    <t>MZA D LOTE 3 FRA  A 0 B GUEMES</t>
  </si>
  <si>
    <t>2NL020</t>
  </si>
  <si>
    <t>GALVAN ALEJANDRO</t>
  </si>
  <si>
    <t>VENADO TUERTO</t>
  </si>
  <si>
    <t>J.M. PAZ 123</t>
  </si>
  <si>
    <t>5KK002</t>
  </si>
  <si>
    <t>DOLBI S A</t>
  </si>
  <si>
    <t>RUTA 11 KM 793 0</t>
  </si>
  <si>
    <t>PRESIDENCIA ROQUE SA</t>
  </si>
  <si>
    <t>5MC017</t>
  </si>
  <si>
    <t>GHILARDOTTI DANIEL EDUARDO</t>
  </si>
  <si>
    <t>LA MANANA 3671</t>
  </si>
  <si>
    <t>B30001</t>
  </si>
  <si>
    <t>BULONERA RYC SOCIEDAD DE RESPONSABILIDAD LIMITADA</t>
  </si>
  <si>
    <t>ZONA OESTE - PCIA. BUENOS AIRES</t>
  </si>
  <si>
    <t>MORENO</t>
  </si>
  <si>
    <t>VICENTE LOPEZ Y PLANES 47</t>
  </si>
  <si>
    <t>B40001</t>
  </si>
  <si>
    <t>LA CUEVA DEL SOLDADOR SRL</t>
  </si>
  <si>
    <t>CABA</t>
  </si>
  <si>
    <t>QUILMES</t>
  </si>
  <si>
    <t>FELIPE AMOEDO 3044</t>
  </si>
  <si>
    <t>B40002</t>
  </si>
  <si>
    <t>BOISMOREAU HAROLDO LUIS</t>
  </si>
  <si>
    <t>FLORIDA</t>
  </si>
  <si>
    <t>AV. MITRE 1914 Piso:PB</t>
  </si>
  <si>
    <t>V16046</t>
  </si>
  <si>
    <t>0AA237</t>
  </si>
  <si>
    <t>ENRIQUE R. DICK Y CIA. S. R. L.</t>
  </si>
  <si>
    <t>AV. JULIO A. ROCA 264</t>
  </si>
  <si>
    <t>1DY045</t>
  </si>
  <si>
    <t>CORDON FERESIN S.R.L.</t>
  </si>
  <si>
    <t>LA CARLOTA</t>
  </si>
  <si>
    <t>JORGE ROSS 263</t>
  </si>
  <si>
    <t>1FH016</t>
  </si>
  <si>
    <t>M.T.M FAMILIA EN EQUIPO S.A.S.</t>
  </si>
  <si>
    <t>1FJ019</t>
  </si>
  <si>
    <t>ACOSTA JUAN JOSE</t>
  </si>
  <si>
    <t>SAAVEDRA 17</t>
  </si>
  <si>
    <t>1GS016</t>
  </si>
  <si>
    <t>TOTALBUL S.A.S.</t>
  </si>
  <si>
    <t>MENDOZA 1731</t>
  </si>
  <si>
    <t>1GT005</t>
  </si>
  <si>
    <t>NOVA CONSTRUCCIONES S.A.</t>
  </si>
  <si>
    <t>GUEMES 33</t>
  </si>
  <si>
    <t>2DX005</t>
  </si>
  <si>
    <t>NUEVO DEPOSITO MATERIALES DE CONSTRUCCION S.A.</t>
  </si>
  <si>
    <t>STA MARIA DE ORO 146</t>
  </si>
  <si>
    <t>B40003</t>
  </si>
  <si>
    <t>MATELBA S.A.</t>
  </si>
  <si>
    <t>MUNRO</t>
  </si>
  <si>
    <t>AV. MITRE 3086</t>
  </si>
  <si>
    <t>PARQUE IND.POLO 52 MZA 1 LOT 1</t>
  </si>
  <si>
    <t>1DY046</t>
  </si>
  <si>
    <t>FILIPPONE AGUSTIN</t>
  </si>
  <si>
    <t>ALCIRA GIGENA</t>
  </si>
  <si>
    <t>SAN MARTIN 354</t>
  </si>
  <si>
    <t>1EA004</t>
  </si>
  <si>
    <t>STEEL SRL S. R. L.</t>
  </si>
  <si>
    <t>MERCEDES</t>
  </si>
  <si>
    <t>25 DE MAYO 2025</t>
  </si>
  <si>
    <t>ALBARRACIN DE SARMIENTO 990</t>
  </si>
  <si>
    <t>1GA006</t>
  </si>
  <si>
    <t>RODRIGUEZ CARLOS ALBERTO</t>
  </si>
  <si>
    <t>25 DE MAYO ESQ. LA RIOJA 1095</t>
  </si>
  <si>
    <t>2AE001</t>
  </si>
  <si>
    <t>M.RAFAEL ALEJANDRO FERNANDEZ</t>
  </si>
  <si>
    <t>VICENTIN GASTON DANIEL</t>
  </si>
  <si>
    <t>ENTRE RIOS</t>
  </si>
  <si>
    <t>CONCORDIA</t>
  </si>
  <si>
    <t>COLDAROLI 78</t>
  </si>
  <si>
    <t>2AE002</t>
  </si>
  <si>
    <t>KROH LILIANA RAQUEL</t>
  </si>
  <si>
    <t>GUALEGUAYCHU</t>
  </si>
  <si>
    <t>ACCESO GRAL ARTIGAS 1909</t>
  </si>
  <si>
    <t>2AE003</t>
  </si>
  <si>
    <t>BREM, MAURO R., MARIA R. Y MAURICIO R. S.H.</t>
  </si>
  <si>
    <t>VILLA ELISA</t>
  </si>
  <si>
    <t>GUEX 1446</t>
  </si>
  <si>
    <t>2DW008</t>
  </si>
  <si>
    <t>POLETTO ORLANDO RAFAEL</t>
  </si>
  <si>
    <t>EUGENIO BUSTOS</t>
  </si>
  <si>
    <t>2 DE ABRIL 574</t>
  </si>
  <si>
    <t>2NF025</t>
  </si>
  <si>
    <t>PUNTA AZUL S R L</t>
  </si>
  <si>
    <t>VILLA GOBERNADOR GAL</t>
  </si>
  <si>
    <t>PASTEUR 2040</t>
  </si>
  <si>
    <t>Provincia</t>
  </si>
  <si>
    <t>Córdoba</t>
  </si>
  <si>
    <t>La Pampa</t>
  </si>
  <si>
    <t>La Rioja</t>
  </si>
  <si>
    <t>Buenos Aires</t>
  </si>
  <si>
    <t>Santiago del Estero</t>
  </si>
  <si>
    <t>Santa Fe</t>
  </si>
  <si>
    <t>San Luis</t>
  </si>
  <si>
    <t>Catamarca</t>
  </si>
  <si>
    <t>Entre Ríos</t>
  </si>
  <si>
    <t>2AE004</t>
  </si>
  <si>
    <t>CASAGRANDE SABRINA MARIA</t>
  </si>
  <si>
    <t>LARROQUE</t>
  </si>
  <si>
    <t>ANTARTIDA ARGENTINA 191</t>
  </si>
  <si>
    <t>San Juan</t>
  </si>
  <si>
    <t>Mendoza</t>
  </si>
  <si>
    <t>2DS008</t>
  </si>
  <si>
    <t>RAMOS ALFONSO MARTIN</t>
  </si>
  <si>
    <t>LOS CALDENES 1606</t>
  </si>
  <si>
    <t>Chaco</t>
  </si>
  <si>
    <t>Corrientes</t>
  </si>
  <si>
    <t>Misiones</t>
  </si>
  <si>
    <t>Salta</t>
  </si>
  <si>
    <t>Jujuy</t>
  </si>
  <si>
    <t>Neuquén</t>
  </si>
  <si>
    <t>Río Negro</t>
  </si>
  <si>
    <t>B20001</t>
  </si>
  <si>
    <t>PIRAGINE HNOS. S.R.L.</t>
  </si>
  <si>
    <t>ZONA NORTE - PCIA. BUENOS AIRES</t>
  </si>
  <si>
    <t>Capital Federal</t>
  </si>
  <si>
    <t>AGUIRRE 525 Piso:3 Dpto:B</t>
  </si>
  <si>
    <t>PROVINCIA</t>
  </si>
  <si>
    <t>5KJ008</t>
  </si>
  <si>
    <t>ABBET ANDRES EDUARDO</t>
  </si>
  <si>
    <t>RECONQUISTA</t>
  </si>
  <si>
    <t>BV. PERON 2136</t>
  </si>
  <si>
    <t>2AE005</t>
  </si>
  <si>
    <t>ALT CARLOS ALBERTO</t>
  </si>
  <si>
    <t>ALDEA SAN ANTONIO</t>
  </si>
  <si>
    <t>JACOBO SPANGEMBERG 0</t>
  </si>
  <si>
    <t>2AE006</t>
  </si>
  <si>
    <t>CASAGRANDE GUSTAVO ESTEBAN</t>
  </si>
  <si>
    <t>URQUIZA 2184</t>
  </si>
  <si>
    <t xml:space="preserve"> 03446-432511</t>
  </si>
  <si>
    <t xml:space="preserve">IVA </t>
  </si>
  <si>
    <t>LLAVE DE TORQUE MICROMÉTRICA CON TRINQUETE REVERSIBLE (INDUSTRIAL)</t>
  </si>
  <si>
    <t>3/4" ; 160-800N.M</t>
  </si>
  <si>
    <t>1" ; 300-1500N.M</t>
  </si>
  <si>
    <t>MAZO DE GOMA (INDUSTRIAL)</t>
  </si>
  <si>
    <t>CUCHILLO DE PRECISIÓN PARA MANOS LIBRES</t>
  </si>
  <si>
    <t>145MM</t>
  </si>
  <si>
    <t>MOTOSIERRA A GASOLINA 
(INDUSTRIAL)</t>
  </si>
  <si>
    <t>52cc ,  2200w/3HP</t>
  </si>
  <si>
    <t>SOPLADOR DE GASOLINA</t>
  </si>
  <si>
    <t>25.4cc</t>
  </si>
  <si>
    <t>GUANTES DE JARDIN</t>
  </si>
  <si>
    <t>MACHETE</t>
  </si>
  <si>
    <t>360mm, 14"</t>
  </si>
  <si>
    <t>405mm, 16"</t>
  </si>
  <si>
    <t>460mm,18"</t>
  </si>
  <si>
    <t>510mm,20"</t>
  </si>
  <si>
    <t>JUEGO DE  EXTRACTOR DE TORNILLOS (4 PIEZAS)</t>
  </si>
  <si>
    <t>• 1#: Tamaño de perforación 3 mm, rango de extracción 3-5 mm
• 2#: Tamaño de perforación 3,5 mm, rango de extracción 4-8 mm
• 3#: Tamaño de perforación 4 mm, rango de extracción 5-10 mm
• 4#: Tamaño de perforación 6 mm, rango de extracción 6-12 mm</t>
  </si>
  <si>
    <t>PINZA MEDIA CAÑA PUNTA CHATA AISLADA 1000V VDE/GS</t>
  </si>
  <si>
    <t>JUEGO LLAVES EXTREMO AISLADO</t>
  </si>
  <si>
    <t>LLAVE AJUSTABLE AISLADA</t>
  </si>
  <si>
    <t>CORTA PERNOS AISLADO</t>
  </si>
  <si>
    <t>ALICATES PARA NIVELAR AZULEJOS</t>
  </si>
  <si>
    <t>220mm</t>
  </si>
  <si>
    <t>CORTADORA DE PORCELANATOS DE ALTA RESISTENCIA DE 630 MM (INDUSTRIAL)</t>
  </si>
  <si>
    <t>620mm</t>
  </si>
  <si>
    <t>CORTADORA DE PORCELANATOS DE ALTA RESISTENCIA DE 950 MM (INDUSTRIAL)</t>
  </si>
  <si>
    <t>950mm</t>
  </si>
  <si>
    <t>CORTADORA DE PORCELANATOS DE ALTA RESISTENCIA DE 1250 MM (INDUSTRIAL)</t>
  </si>
  <si>
    <t>1250mm</t>
  </si>
  <si>
    <t>50T, Altura minima: 265mm, Altura de elevacion: 160mm.</t>
  </si>
  <si>
    <t>32T</t>
  </si>
  <si>
    <t>50T</t>
  </si>
  <si>
    <t>3T</t>
  </si>
  <si>
    <t>BARRA DE HERRAMIENTAS MAGNÉTICA</t>
  </si>
  <si>
    <t>18″, 460x23x12.5mm</t>
  </si>
  <si>
    <t>JUEGO DE CEPILLOS DE ALAMBRE (5 PIEZAS) (INDUSTRIAL)</t>
  </si>
  <si>
    <t>5 piezas</t>
  </si>
  <si>
    <t>SIERRA DE CORTE DIAMANTE (INDUSTRIAL)</t>
  </si>
  <si>
    <t>65mm</t>
  </si>
  <si>
    <t>68mm</t>
  </si>
  <si>
    <t>60mm,275g</t>
  </si>
  <si>
    <t>70mm,390g</t>
  </si>
  <si>
    <t>CARETA PROTECTORA (INDUSTRIAL)</t>
  </si>
  <si>
    <t>CARRETILLA DE PLATAFORMA PLEGABLE</t>
  </si>
  <si>
    <t>Capacidad de carga: 150kg, Tamaño general: 730 x 470 x 830 mm, Tamaño de la plataforma: 730 x 470mm, Tamaño de la rueda: 100mm, 4".</t>
  </si>
  <si>
    <t>CARRETILLA DE MANO (INDUSTRIAL)</t>
  </si>
  <si>
    <t>Capacidad de carga: 150kg, Capacidad de agua: 85Lts, Rueda neumatica: 16"x4"-8</t>
  </si>
  <si>
    <t>ZORRA HIDRAULICA</t>
  </si>
  <si>
    <t>2,5T</t>
  </si>
  <si>
    <t>GABINETE PORTA HERRAMIENTAS (7 CAJONES)</t>
  </si>
  <si>
    <t>760*460*810mm</t>
  </si>
  <si>
    <t>Capacidad de carga: 300kg, Tamaño general: 900 x 600 x 845 mm, Tamaño de la plataforma: 900 x 600 mm, Tamaño de la rueda: 125 mm, 5″.</t>
  </si>
  <si>
    <t>VALOR CON IVA</t>
  </si>
  <si>
    <t>SUBTOTAL 10,5%</t>
  </si>
  <si>
    <t>SUBTOTAL 21%</t>
  </si>
  <si>
    <t>0AA238</t>
  </si>
  <si>
    <t>EDIFISECO S.A.S.</t>
  </si>
  <si>
    <t>AV CIRCUNVALACION-AGUSTIN TOSC</t>
  </si>
  <si>
    <t>0AA239</t>
  </si>
  <si>
    <t>METPRODIN S.A.</t>
  </si>
  <si>
    <t>BAHIA BLANCA</t>
  </si>
  <si>
    <t>FALUCHO 257</t>
  </si>
  <si>
    <t>0AA240</t>
  </si>
  <si>
    <t>DUR-LAT S.A.S.</t>
  </si>
  <si>
    <t>LA FALDA DEL CARMEN</t>
  </si>
  <si>
    <t>SN 20     M:36</t>
  </si>
  <si>
    <t>0AA241</t>
  </si>
  <si>
    <t>BULONERA ALFA S.A.S.</t>
  </si>
  <si>
    <t>1DY047</t>
  </si>
  <si>
    <t>IRENE PABLO NICOLAS</t>
  </si>
  <si>
    <t>1GA007</t>
  </si>
  <si>
    <t>JOSE PAPA E HIJOS S A</t>
  </si>
  <si>
    <t>HIPOLITO IRIGOYEN 450</t>
  </si>
  <si>
    <t>2DR027</t>
  </si>
  <si>
    <t>DH FERRETERIA INDUSTRIAL S. A.</t>
  </si>
  <si>
    <t>ROQUE SAENZ PEÑA 421</t>
  </si>
  <si>
    <t>2NF026</t>
  </si>
  <si>
    <t>MECFA FERRETERIA Y BULONERIA S. R. L.</t>
  </si>
  <si>
    <t>SAN LORENZO</t>
  </si>
  <si>
    <t>BV.  OROÑO 873</t>
  </si>
  <si>
    <t>2NQ002</t>
  </si>
  <si>
    <t>FRANCESCATO NESTOR OSCAR</t>
  </si>
  <si>
    <t>RUFINO</t>
  </si>
  <si>
    <t>REMEDIO DE ESCALADA 27</t>
  </si>
  <si>
    <t>5KA007</t>
  </si>
  <si>
    <t>RESTELLI MAURO ALEJANDRO</t>
  </si>
  <si>
    <t>EDUARDO OLIVER 963</t>
  </si>
  <si>
    <t>5KA008</t>
  </si>
  <si>
    <t>FERRETERIA JUAN S.R.L.</t>
  </si>
  <si>
    <t>SUIPACHA 483</t>
  </si>
  <si>
    <t>5KJ009</t>
  </si>
  <si>
    <t>LORENZINI ELBIO DANILO PEDRO</t>
  </si>
  <si>
    <t>HIPOLITO IRIGOYEN 1515</t>
  </si>
  <si>
    <t>5MC018</t>
  </si>
  <si>
    <t>IMAN S.R.L.</t>
  </si>
  <si>
    <t>20 DE FEBRERO 2250</t>
  </si>
  <si>
    <t>5MG009</t>
  </si>
  <si>
    <t>OBERMANN ENRIQUE SAMUEL</t>
  </si>
  <si>
    <t>LUIS BURELA OESTE 48</t>
  </si>
  <si>
    <t>5NQ002</t>
  </si>
  <si>
    <t>6A0103</t>
  </si>
  <si>
    <t>SECO JOAQUIN</t>
  </si>
  <si>
    <t>RECTA MARTINOLLI 8141</t>
  </si>
  <si>
    <t>VILLA ADELINA</t>
  </si>
  <si>
    <t>B20002</t>
  </si>
  <si>
    <t>COHORT JUAN PABLO</t>
  </si>
  <si>
    <t>CASEROS</t>
  </si>
  <si>
    <t>JUAN BAUSTISTA ALBER 4181</t>
  </si>
  <si>
    <t>TRANSPORTE:</t>
  </si>
  <si>
    <t>Nº PEDIDO:</t>
  </si>
  <si>
    <t>FECHA:</t>
  </si>
  <si>
    <t>Teléfono</t>
  </si>
  <si>
    <t>0261-4286305 / 4286303</t>
  </si>
  <si>
    <t xml:space="preserve"> 0266-440158</t>
  </si>
  <si>
    <t>TE. 0264-4250158</t>
  </si>
  <si>
    <t>0264-4227575</t>
  </si>
  <si>
    <t>TE. 0264-4822691</t>
  </si>
  <si>
    <t>0260-4423333</t>
  </si>
  <si>
    <t>0261- 4811333   (ARIEL)</t>
  </si>
  <si>
    <t>0261-4324857 / 3975727</t>
  </si>
  <si>
    <t>0261-4311301 / 4313987</t>
  </si>
  <si>
    <t>0264-4212220/4201642</t>
  </si>
  <si>
    <t>0351-4572235</t>
  </si>
  <si>
    <t>0261-4521362</t>
  </si>
  <si>
    <t>0261-4985453</t>
  </si>
  <si>
    <t>0264-4235637</t>
  </si>
  <si>
    <t>0261-4211976</t>
  </si>
  <si>
    <t>0351-4745011</t>
  </si>
  <si>
    <t>02302-422877 / 332002</t>
  </si>
  <si>
    <t>0341- 4 40 84 23 / 4 49 48 32</t>
  </si>
  <si>
    <t>0341- 464 4413/ 462 0890</t>
  </si>
  <si>
    <t>341-3486598</t>
  </si>
  <si>
    <t>0336-4425130</t>
  </si>
  <si>
    <t>4742673 VANINA COR. SAAVEDRA</t>
  </si>
  <si>
    <t>0351-4213920</t>
  </si>
  <si>
    <t>0351-4856824/25 ADM 104</t>
  </si>
  <si>
    <t>2646238675</t>
  </si>
  <si>
    <t xml:space="preserve"> 0341 4596607</t>
  </si>
  <si>
    <t>0341-2110439</t>
  </si>
  <si>
    <t>0341-482 38 61/155195820</t>
  </si>
  <si>
    <t>03471-463326</t>
  </si>
  <si>
    <t>4715341 / 4719428</t>
  </si>
  <si>
    <t>4216768, 4211559</t>
  </si>
  <si>
    <t>4895030 / 4882114 / 48981085</t>
  </si>
  <si>
    <t>156474277</t>
  </si>
  <si>
    <t>3518627768</t>
  </si>
  <si>
    <t>4805849</t>
  </si>
  <si>
    <t>4885527</t>
  </si>
  <si>
    <t>03541-426845</t>
  </si>
  <si>
    <t>0351-4555585</t>
  </si>
  <si>
    <t>0351-4618658</t>
  </si>
  <si>
    <t>0261-4220609</t>
  </si>
  <si>
    <t>0358-4623764</t>
  </si>
  <si>
    <t>0358-463 06 51</t>
  </si>
  <si>
    <t>0358-4626663</t>
  </si>
  <si>
    <t>0358-465 02 72</t>
  </si>
  <si>
    <t>3584-820576</t>
  </si>
  <si>
    <t>0358-4655972</t>
  </si>
  <si>
    <t>03582-420521</t>
  </si>
  <si>
    <t>02657-420 766/431032</t>
  </si>
  <si>
    <t>03585-420114/420115</t>
  </si>
  <si>
    <t>03585-422161</t>
  </si>
  <si>
    <t>03541453538</t>
  </si>
  <si>
    <t>03548-426312</t>
  </si>
  <si>
    <t>03548-424423</t>
  </si>
  <si>
    <t>03548-452496</t>
  </si>
  <si>
    <t>03544-15412721</t>
  </si>
  <si>
    <t>02656-478736</t>
  </si>
  <si>
    <t>03544-472563</t>
  </si>
  <si>
    <t>03544-471 84 7</t>
  </si>
  <si>
    <t>03865-427 329 / 156 208 89</t>
  </si>
  <si>
    <t>03865-426786  / 3685-400863</t>
  </si>
  <si>
    <t>0381- 4301172</t>
  </si>
  <si>
    <t>0381-3182940</t>
  </si>
  <si>
    <t>0381-2572435</t>
  </si>
  <si>
    <t>0381-424 50 23/ 424 76 87</t>
  </si>
  <si>
    <t>0381-4234670 / 4233531</t>
  </si>
  <si>
    <t>3876-4722323</t>
  </si>
  <si>
    <t>0387- 423 30 78</t>
  </si>
  <si>
    <t>0387-4236700</t>
  </si>
  <si>
    <t>0387-4217211/4280603</t>
  </si>
  <si>
    <t xml:space="preserve"> 0387-4954289</t>
  </si>
  <si>
    <t>0388-491 12 92</t>
  </si>
  <si>
    <t>0388-4271737</t>
  </si>
  <si>
    <t>0388-4258953 / 4252566</t>
  </si>
  <si>
    <t>0388-425 24 03</t>
  </si>
  <si>
    <t>03886- 423230</t>
  </si>
  <si>
    <t>03886-431000</t>
  </si>
  <si>
    <t>03492-422 859</t>
  </si>
  <si>
    <t>03492-420889</t>
  </si>
  <si>
    <t>03496-427089</t>
  </si>
  <si>
    <t>03496-420330</t>
  </si>
  <si>
    <t>0342-4521905 / 5493234</t>
  </si>
  <si>
    <t>0342-4537898</t>
  </si>
  <si>
    <t>0343-4316070</t>
  </si>
  <si>
    <t>0343-4330066</t>
  </si>
  <si>
    <t>03498-427877</t>
  </si>
  <si>
    <t>3483 434741</t>
  </si>
  <si>
    <t>03482-429988</t>
  </si>
  <si>
    <t>03482-424713 PARTICULAR</t>
  </si>
  <si>
    <t>03482-481493</t>
  </si>
  <si>
    <t>03482-625431</t>
  </si>
  <si>
    <t>03482-481002 al 5</t>
  </si>
  <si>
    <t>03482-483132 / 482699</t>
  </si>
  <si>
    <t>03482-594199/15549167</t>
  </si>
  <si>
    <t>03722-425871</t>
  </si>
  <si>
    <t>0362-4425871</t>
  </si>
  <si>
    <t>03794-606039</t>
  </si>
  <si>
    <t>03794-424228 / 424298</t>
  </si>
  <si>
    <t>03734-470163</t>
  </si>
  <si>
    <t>03734470130</t>
  </si>
  <si>
    <t>03732-480046</t>
  </si>
  <si>
    <t>03732-15621438/422519</t>
  </si>
  <si>
    <t>03731-421726</t>
  </si>
  <si>
    <t>03752-438680</t>
  </si>
  <si>
    <t>03758- 421075</t>
  </si>
  <si>
    <t>03755-421820</t>
  </si>
  <si>
    <t>03755-400653</t>
  </si>
  <si>
    <t>3755-15535681</t>
  </si>
  <si>
    <t>03764-452151</t>
  </si>
  <si>
    <t>0385-491818</t>
  </si>
  <si>
    <t>0358-4654627</t>
  </si>
  <si>
    <t>3493-420895</t>
  </si>
  <si>
    <t>03573-422762 CASA/ NEGO4-24074</t>
  </si>
  <si>
    <t>03574-4-20758</t>
  </si>
  <si>
    <t>TE. 03576-421678</t>
  </si>
  <si>
    <t>03576- 425041</t>
  </si>
  <si>
    <t xml:space="preserve"> 03576-450532/ 3576-446276</t>
  </si>
  <si>
    <t>03562405395</t>
  </si>
  <si>
    <t>03572-480156</t>
  </si>
  <si>
    <t>0353-4522045</t>
  </si>
  <si>
    <t>03572-15691187</t>
  </si>
  <si>
    <t>0358-4621385</t>
  </si>
  <si>
    <t>351-8901013 AL 1020</t>
  </si>
  <si>
    <t>4803866</t>
  </si>
  <si>
    <t>4812980</t>
  </si>
  <si>
    <t>0351-4808462</t>
  </si>
  <si>
    <t>0351-4897473</t>
  </si>
  <si>
    <t>0351-4948090</t>
  </si>
  <si>
    <t>03482-451444</t>
  </si>
  <si>
    <t>03576-451267 / 0351-3541594</t>
  </si>
  <si>
    <t>3517025849</t>
  </si>
  <si>
    <t>03482- 420 064</t>
  </si>
  <si>
    <t>03521-420058</t>
  </si>
  <si>
    <t>03521-15475445</t>
  </si>
  <si>
    <t>0383-4431937</t>
  </si>
  <si>
    <t>0383-4429429</t>
  </si>
  <si>
    <t>03822-439387</t>
  </si>
  <si>
    <t>0380 442-7845</t>
  </si>
  <si>
    <t>0380 4422186</t>
  </si>
  <si>
    <t>03825-426934</t>
  </si>
  <si>
    <t>03825-422362</t>
  </si>
  <si>
    <t>3825-412107</t>
  </si>
  <si>
    <t>03854-422050</t>
  </si>
  <si>
    <t>0341-4583719 / 4590917</t>
  </si>
  <si>
    <t>0381-4330311</t>
  </si>
  <si>
    <t>4733891</t>
  </si>
  <si>
    <t>03544 421922</t>
  </si>
  <si>
    <t>0261-156545474</t>
  </si>
  <si>
    <t>0388-491 4681</t>
  </si>
  <si>
    <t>03884257623</t>
  </si>
  <si>
    <t>03533-455599</t>
  </si>
  <si>
    <t>0264-4178767</t>
  </si>
  <si>
    <t>03414901438</t>
  </si>
  <si>
    <t>03876-15662682</t>
  </si>
  <si>
    <t>03624-463282</t>
  </si>
  <si>
    <t>0376-4422206</t>
  </si>
  <si>
    <t>0341-4567899 / 4585331</t>
  </si>
  <si>
    <t>0261-155274514</t>
  </si>
  <si>
    <t>0358 4628085 Y 4628643</t>
  </si>
  <si>
    <t>0264-4285302</t>
  </si>
  <si>
    <t>03854 421719</t>
  </si>
  <si>
    <t>03576 422142</t>
  </si>
  <si>
    <t>03884912383</t>
  </si>
  <si>
    <t>0387-6122969</t>
  </si>
  <si>
    <t>3541451839</t>
  </si>
  <si>
    <t>03468-402444/462138/401490</t>
  </si>
  <si>
    <t>4710457</t>
  </si>
  <si>
    <t>03564-461539</t>
  </si>
  <si>
    <t>0364-4424101 JAVIER</t>
  </si>
  <si>
    <t>0381-452 31 32 / 424 65 24</t>
  </si>
  <si>
    <t>02656-478944</t>
  </si>
  <si>
    <t>03644-433036</t>
  </si>
  <si>
    <t>3514705103/ 3518015607 ALFREDO</t>
  </si>
  <si>
    <t>3498-428400 / 423380</t>
  </si>
  <si>
    <t>03549-424689</t>
  </si>
  <si>
    <t>TE. 02645-306778</t>
  </si>
  <si>
    <t>03572-15690373</t>
  </si>
  <si>
    <t>0351-4559984</t>
  </si>
  <si>
    <t>0351-4772777</t>
  </si>
  <si>
    <t>0358-4292052</t>
  </si>
  <si>
    <t>264-5053043</t>
  </si>
  <si>
    <t>0351-4877689</t>
  </si>
  <si>
    <t>4517479</t>
  </si>
  <si>
    <t>0342-154056016</t>
  </si>
  <si>
    <t>155201205</t>
  </si>
  <si>
    <t>03564-450330</t>
  </si>
  <si>
    <t>0351-4762058</t>
  </si>
  <si>
    <t>0381-6419053 / 0381-5017714</t>
  </si>
  <si>
    <t>0263-15597238/433148</t>
  </si>
  <si>
    <t>261-3950807</t>
  </si>
  <si>
    <t>0261-4317700</t>
  </si>
  <si>
    <t>03525-422142</t>
  </si>
  <si>
    <t>2645635550</t>
  </si>
  <si>
    <t>0264-4225104 / 4220297</t>
  </si>
  <si>
    <t>0264-4273872</t>
  </si>
  <si>
    <t>0263-4444512</t>
  </si>
  <si>
    <t>263-5030525</t>
  </si>
  <si>
    <t>02604-471929</t>
  </si>
  <si>
    <t>COMPRAS 2625 661887 JULIO</t>
  </si>
  <si>
    <t>0261-4933126</t>
  </si>
  <si>
    <t>0261-4952724</t>
  </si>
  <si>
    <t>02622-15661220</t>
  </si>
  <si>
    <t>02622-422150</t>
  </si>
  <si>
    <t>02622-425338</t>
  </si>
  <si>
    <t>02622-422536</t>
  </si>
  <si>
    <t>2622 422062</t>
  </si>
  <si>
    <t xml:space="preserve"> 3584247938</t>
  </si>
  <si>
    <t>3518810841</t>
  </si>
  <si>
    <t>0381-4283902 / 0381-4284426</t>
  </si>
  <si>
    <t>03543-434561</t>
  </si>
  <si>
    <t>03544-15404383/ 011-23379660</t>
  </si>
  <si>
    <t>03876-483082</t>
  </si>
  <si>
    <t>+5493547565363</t>
  </si>
  <si>
    <t>03547-502645</t>
  </si>
  <si>
    <t>03524-470510</t>
  </si>
  <si>
    <t>03525-497397</t>
  </si>
  <si>
    <t>03525-449296 / 466635</t>
  </si>
  <si>
    <t>03525-449296</t>
  </si>
  <si>
    <t>03525-464650</t>
  </si>
  <si>
    <t>03525-444444</t>
  </si>
  <si>
    <t>03525-421674 / 422882 / 421812</t>
  </si>
  <si>
    <t>03525-442310</t>
  </si>
  <si>
    <t>03525-401400</t>
  </si>
  <si>
    <t>03547-421561</t>
  </si>
  <si>
    <t>03541-421982</t>
  </si>
  <si>
    <t>03541-439019</t>
  </si>
  <si>
    <t>03571-422032</t>
  </si>
  <si>
    <t>03546-420075</t>
  </si>
  <si>
    <t>0388-154423403 0388-4259573</t>
  </si>
  <si>
    <t>03583-497204</t>
  </si>
  <si>
    <t>0351-4917206</t>
  </si>
  <si>
    <t>03525-642024</t>
  </si>
  <si>
    <t>3573-15411610</t>
  </si>
  <si>
    <t>03583-421826/ 358-4228250</t>
  </si>
  <si>
    <t>03468-490161</t>
  </si>
  <si>
    <t>0380 4427800</t>
  </si>
  <si>
    <t>0261-4286305/4286303</t>
  </si>
  <si>
    <t xml:space="preserve"> 3836027961</t>
  </si>
  <si>
    <t>0266-475010 / 0266-484668</t>
  </si>
  <si>
    <t>03385-498550</t>
  </si>
  <si>
    <t>03548-470172</t>
  </si>
  <si>
    <t>03548-15636860</t>
  </si>
  <si>
    <t>3548-583355</t>
  </si>
  <si>
    <t>351-3092897</t>
  </si>
  <si>
    <t>351-5420774</t>
  </si>
  <si>
    <t>3548-636271</t>
  </si>
  <si>
    <t>03525-402200</t>
  </si>
  <si>
    <t>2616086673</t>
  </si>
  <si>
    <t>03525-448641</t>
  </si>
  <si>
    <t>0351-4954704</t>
  </si>
  <si>
    <t>011-4256-7755</t>
  </si>
  <si>
    <t>03548-425018</t>
  </si>
  <si>
    <t>3525-489831</t>
  </si>
  <si>
    <t>3535-655293</t>
  </si>
  <si>
    <t>3525-448949</t>
  </si>
  <si>
    <t>54 9 3584 32-4521</t>
  </si>
  <si>
    <t>351-3611474</t>
  </si>
  <si>
    <t>0341-4286582</t>
  </si>
  <si>
    <t>0351-152738974 gerardo</t>
  </si>
  <si>
    <t>3524-471418</t>
  </si>
  <si>
    <t>0381-4333000</t>
  </si>
  <si>
    <t>03584363485</t>
  </si>
  <si>
    <t>3857472924</t>
  </si>
  <si>
    <t>351-4257595</t>
  </si>
  <si>
    <t>0351- 7047273</t>
  </si>
  <si>
    <t>3515607791</t>
  </si>
  <si>
    <t>3573458211</t>
  </si>
  <si>
    <t>4711338</t>
  </si>
  <si>
    <t>4998151</t>
  </si>
  <si>
    <t>2664-696549</t>
  </si>
  <si>
    <t>0388-155733905</t>
  </si>
  <si>
    <t>03514283902 / 381 155795718</t>
  </si>
  <si>
    <t>0336-4371020</t>
  </si>
  <si>
    <t>03537-415260</t>
  </si>
  <si>
    <t>02634495025</t>
  </si>
  <si>
    <t>3513166186</t>
  </si>
  <si>
    <t>0351-4783908</t>
  </si>
  <si>
    <t>3514591345</t>
  </si>
  <si>
    <t>3517357475</t>
  </si>
  <si>
    <t>03549-504672 / 421561</t>
  </si>
  <si>
    <t>03471-460471 / 462738</t>
  </si>
  <si>
    <t>03865-471 157</t>
  </si>
  <si>
    <t>0261-153647887</t>
  </si>
  <si>
    <t>3518752069</t>
  </si>
  <si>
    <t>03562-414452</t>
  </si>
  <si>
    <t>03547-422407</t>
  </si>
  <si>
    <t>4511571</t>
  </si>
  <si>
    <t>2612075354</t>
  </si>
  <si>
    <t>3515507519</t>
  </si>
  <si>
    <t>01167293822</t>
  </si>
  <si>
    <t>3544-641590</t>
  </si>
  <si>
    <t>3585714605</t>
  </si>
  <si>
    <t>03492-424519</t>
  </si>
  <si>
    <t>03751-420422</t>
  </si>
  <si>
    <t>4406000</t>
  </si>
  <si>
    <t>3525419125</t>
  </si>
  <si>
    <t>0353-4525920</t>
  </si>
  <si>
    <t>0264-4273678</t>
  </si>
  <si>
    <t>3515302916/3515554782</t>
  </si>
  <si>
    <t>3516501649</t>
  </si>
  <si>
    <t>0264-155013678Luciano Rodrigue</t>
  </si>
  <si>
    <t xml:space="preserve"> 0358-4650249</t>
  </si>
  <si>
    <t>03571-576347</t>
  </si>
  <si>
    <t>4574203</t>
  </si>
  <si>
    <t>0351-4723128</t>
  </si>
  <si>
    <t>3543618659</t>
  </si>
  <si>
    <t>03755-672250</t>
  </si>
  <si>
    <t>0342-5287985</t>
  </si>
  <si>
    <t>03471-423 499</t>
  </si>
  <si>
    <t>03471-524642</t>
  </si>
  <si>
    <t>358-4242210</t>
  </si>
  <si>
    <t>3541-617960</t>
  </si>
  <si>
    <t>03546-422817</t>
  </si>
  <si>
    <t>03525-680141</t>
  </si>
  <si>
    <t>03571-424895</t>
  </si>
  <si>
    <t>03562-422127</t>
  </si>
  <si>
    <t xml:space="preserve"> 3415001518</t>
  </si>
  <si>
    <t>0351-4610789</t>
  </si>
  <si>
    <t>3516341035</t>
  </si>
  <si>
    <t>0351-4556843</t>
  </si>
  <si>
    <t>03571-422 032</t>
  </si>
  <si>
    <t>4847044</t>
  </si>
  <si>
    <t>0261-156220298</t>
  </si>
  <si>
    <t>4713142</t>
  </si>
  <si>
    <t>3515424691</t>
  </si>
  <si>
    <t>4516475</t>
  </si>
  <si>
    <t>3513235974</t>
  </si>
  <si>
    <t>3583405672</t>
  </si>
  <si>
    <t>3533-425563</t>
  </si>
  <si>
    <t>1144365931</t>
  </si>
  <si>
    <t>03549-421665</t>
  </si>
  <si>
    <t>0343-4344344</t>
  </si>
  <si>
    <t>3543-438965</t>
  </si>
  <si>
    <t xml:space="preserve"> 4751622</t>
  </si>
  <si>
    <t>3546-401881</t>
  </si>
  <si>
    <t xml:space="preserve"> 3472444428</t>
  </si>
  <si>
    <t>02656-473016</t>
  </si>
  <si>
    <t>3574412938</t>
  </si>
  <si>
    <t>0263-4443633</t>
  </si>
  <si>
    <t>1135498939</t>
  </si>
  <si>
    <t>3525-402780</t>
  </si>
  <si>
    <t xml:space="preserve"> 03571-423262</t>
  </si>
  <si>
    <t>01142371079</t>
  </si>
  <si>
    <t xml:space="preserve"> 3514480468</t>
  </si>
  <si>
    <t xml:space="preserve"> 3856884832</t>
  </si>
  <si>
    <t>3493449403</t>
  </si>
  <si>
    <t xml:space="preserve"> 3854270116</t>
  </si>
  <si>
    <t>3854024594</t>
  </si>
  <si>
    <t>0261-4271664</t>
  </si>
  <si>
    <t xml:space="preserve"> 3774405152</t>
  </si>
  <si>
    <t xml:space="preserve"> 3582435484</t>
  </si>
  <si>
    <t xml:space="preserve"> 3525-402254</t>
  </si>
  <si>
    <t>2644178767-2644315316</t>
  </si>
  <si>
    <t xml:space="preserve"> 3534209070</t>
  </si>
  <si>
    <t xml:space="preserve"> 3534406889</t>
  </si>
  <si>
    <t xml:space="preserve"> 3541227666</t>
  </si>
  <si>
    <t xml:space="preserve"> 3541-212315</t>
  </si>
  <si>
    <t>4611414</t>
  </si>
  <si>
    <t>299445240</t>
  </si>
  <si>
    <t>2995099711</t>
  </si>
  <si>
    <t xml:space="preserve"> 2995318480</t>
  </si>
  <si>
    <t xml:space="preserve"> 0299-4782535</t>
  </si>
  <si>
    <t>3525-643837</t>
  </si>
  <si>
    <t>4801286</t>
  </si>
  <si>
    <t xml:space="preserve"> 4730202</t>
  </si>
  <si>
    <t>3573-15411602</t>
  </si>
  <si>
    <t>3516577268</t>
  </si>
  <si>
    <t xml:space="preserve"> 3462-4288894</t>
  </si>
  <si>
    <t>1163682642</t>
  </si>
  <si>
    <t>1147601234</t>
  </si>
  <si>
    <t>2657-424595</t>
  </si>
  <si>
    <t>1147626300</t>
  </si>
  <si>
    <t>2614191224</t>
  </si>
  <si>
    <t>2374636936</t>
  </si>
  <si>
    <t>0261-2151388</t>
  </si>
  <si>
    <t>351-8045526</t>
  </si>
  <si>
    <t>3548451117</t>
  </si>
  <si>
    <t xml:space="preserve"> 3573453986</t>
  </si>
  <si>
    <t xml:space="preserve"> 02612060500</t>
  </si>
  <si>
    <t xml:space="preserve"> 3534-139118</t>
  </si>
  <si>
    <t>3454218301</t>
  </si>
  <si>
    <t>3446440667</t>
  </si>
  <si>
    <t>3548245363</t>
  </si>
  <si>
    <t xml:space="preserve"> 2657-540494</t>
  </si>
  <si>
    <t>2622-525624</t>
  </si>
  <si>
    <t xml:space="preserve"> 3447481880</t>
  </si>
  <si>
    <t xml:space="preserve"> 3414928000</t>
  </si>
  <si>
    <t xml:space="preserve"> 1155739987</t>
  </si>
  <si>
    <t>2604671877</t>
  </si>
  <si>
    <t xml:space="preserve"> 3446-460429</t>
  </si>
  <si>
    <t xml:space="preserve"> 03382-429896</t>
  </si>
  <si>
    <t>0358-4629919</t>
  </si>
  <si>
    <t>3573-455968</t>
  </si>
  <si>
    <t>387-6936093</t>
  </si>
  <si>
    <t xml:space="preserve"> 3492-505820 / 21</t>
  </si>
  <si>
    <t xml:space="preserve"> 3476-665964</t>
  </si>
  <si>
    <t>3884311289</t>
  </si>
  <si>
    <t>0AA242</t>
  </si>
  <si>
    <t>CRAGNOLINI CLAUDIA DEL VALLE - GRION JOAQUIN</t>
  </si>
  <si>
    <t>LUIS D OLIVO EX CALLE 48 3643</t>
  </si>
  <si>
    <t>B20003</t>
  </si>
  <si>
    <t>MOLINS FERNANDO RAUL</t>
  </si>
  <si>
    <t>PERGAMINO</t>
  </si>
  <si>
    <t>JUAN B. JUSTO 2374</t>
  </si>
  <si>
    <t>2477427314</t>
  </si>
  <si>
    <t>5LA006</t>
  </si>
  <si>
    <t>DEALBERA JULIO DANIEL DOMINGO</t>
  </si>
  <si>
    <t>JUAN BAUTISTA ALBERD</t>
  </si>
  <si>
    <t>OBISPO COLOMBRES 400</t>
  </si>
  <si>
    <t>B20004</t>
  </si>
  <si>
    <t>CHATARD NEYRA Y CIA S.A.</t>
  </si>
  <si>
    <t>TIGRE</t>
  </si>
  <si>
    <t>AVENIDA CAZON 153</t>
  </si>
  <si>
    <t>1147490423</t>
  </si>
  <si>
    <t>2NG002</t>
  </si>
  <si>
    <t>DIEZ MACIEL  S. R. L.</t>
  </si>
  <si>
    <t>MACIEL</t>
  </si>
  <si>
    <t>BOULEVAR JOSE MANUEL MACIEL 45</t>
  </si>
  <si>
    <t>2NG003</t>
  </si>
  <si>
    <t>ROGELIO DIEZ SRL</t>
  </si>
  <si>
    <t>MONJE</t>
  </si>
  <si>
    <t>LISANDRO DE LA TORRE 305</t>
  </si>
  <si>
    <t>5KB005</t>
  </si>
  <si>
    <t>ROLDAN ROGELIO EDGARDO</t>
  </si>
  <si>
    <t>PASAJE ILLIA 0</t>
  </si>
  <si>
    <t>6A0104</t>
  </si>
  <si>
    <t>CAMPETELLA MARTINEZ EVELYN RUTH</t>
  </si>
  <si>
    <t>ZORRILLA DE SAN MARTIN 1563</t>
  </si>
  <si>
    <t>1DY048</t>
  </si>
  <si>
    <t>SAVORGNANO SEBASTIAN</t>
  </si>
  <si>
    <t>AV MARCELO T DE ALVEAR 2050</t>
  </si>
  <si>
    <t>3584158885</t>
  </si>
  <si>
    <t>0AA243</t>
  </si>
  <si>
    <t>CARLOS MENICHETTI SA</t>
  </si>
  <si>
    <t>ALMAFUERTE</t>
  </si>
  <si>
    <t>ISLAS MALVINAS 768</t>
  </si>
  <si>
    <t>471143</t>
  </si>
  <si>
    <t>1GT006</t>
  </si>
  <si>
    <t>EXPOSITO ROBERTO SEGUNDO</t>
  </si>
  <si>
    <t>SACANTA</t>
  </si>
  <si>
    <t>BV. MITRE 1373</t>
  </si>
  <si>
    <t>0AA244</t>
  </si>
  <si>
    <t>BECERRA MARIO ALBERTO</t>
  </si>
  <si>
    <t>CAPILLA DE REMEDIOS</t>
  </si>
  <si>
    <t>CNO CAPILLA DE LOS REMDIOS 0</t>
  </si>
  <si>
    <t>0AA245</t>
  </si>
  <si>
    <t>DE LA FUENTE DANIEL OSVALDO</t>
  </si>
  <si>
    <t>AV. DALINGER 57</t>
  </si>
  <si>
    <t>3547-432260</t>
  </si>
  <si>
    <t>0AA246</t>
  </si>
  <si>
    <t>HARON ANA MARIA</t>
  </si>
  <si>
    <t>0AA247</t>
  </si>
  <si>
    <t>MANSILLA MARIANO GABRIEL BENITO</t>
  </si>
  <si>
    <t>SANTO ROSALES 191</t>
  </si>
  <si>
    <t>0AA248</t>
  </si>
  <si>
    <t>IR SEGURIDAD S.R.L.</t>
  </si>
  <si>
    <t>CERRO DE LAS ROSAS</t>
  </si>
  <si>
    <t>0AA249</t>
  </si>
  <si>
    <t>PIPIXON S.A.S.</t>
  </si>
  <si>
    <t>AV SAN MARTIN 1250  Dpto:1</t>
  </si>
  <si>
    <t>1DB011</t>
  </si>
  <si>
    <t>JULIO SAEZ E HIJOS S A C I F I</t>
  </si>
  <si>
    <t xml:space="preserve">AV PRESIDENTE NESTOR KIRCHNER </t>
  </si>
  <si>
    <t>383422426</t>
  </si>
  <si>
    <t>1DY031</t>
  </si>
  <si>
    <t>PASTRE HECTOR FABIAN</t>
  </si>
  <si>
    <t>GOBERNADOR GUZMAN 2050</t>
  </si>
  <si>
    <t>0358-4634966 / 3585078902</t>
  </si>
  <si>
    <t>1DY049</t>
  </si>
  <si>
    <t>GRUPO OBERTO S.R.L.</t>
  </si>
  <si>
    <t>MANSILLA GRAL LUCIO VICTORIO 4</t>
  </si>
  <si>
    <t>2NF027</t>
  </si>
  <si>
    <t>FERRETERIA INDUSTRIAL NAIN S.A.</t>
  </si>
  <si>
    <t xml:space="preserve">PELLEGRINI 5810 Piso:0 Dpto:0 </t>
  </si>
  <si>
    <t>2NF028</t>
  </si>
  <si>
    <t>PASTORI MAXIMILIANO ANDRES</t>
  </si>
  <si>
    <t>ARIJON 1728</t>
  </si>
  <si>
    <t xml:space="preserve"> 3414615197</t>
  </si>
  <si>
    <t>6A0105</t>
  </si>
  <si>
    <t>HERRERA PAOLA ROXANA</t>
  </si>
  <si>
    <t>LOS ALEMANES 4448</t>
  </si>
  <si>
    <t>6A0106</t>
  </si>
  <si>
    <t>HERRACENTER S.R.L</t>
  </si>
  <si>
    <t>BARRIO COLON</t>
  </si>
  <si>
    <t>ASTURIAS 2824</t>
  </si>
  <si>
    <t>1FH017</t>
  </si>
  <si>
    <t>VISSIO MAXIMILIANO ARY</t>
  </si>
  <si>
    <t>GENERAL CABRERA</t>
  </si>
  <si>
    <t>LAS HERAS 1147 Piso:1 Dpto:C</t>
  </si>
  <si>
    <t>1GS017</t>
  </si>
  <si>
    <t>COMERCIAL DEM-BER SA</t>
  </si>
  <si>
    <t>BOULEVARD ALVEAR 49 Piso:-- Dp</t>
  </si>
  <si>
    <t>2DJ003</t>
  </si>
  <si>
    <t>IMPLEMENTOS AGRICOLAS HUGO FERRER S. R. L.</t>
  </si>
  <si>
    <t>SANTA LUCIA</t>
  </si>
  <si>
    <t>RUTA 20</t>
  </si>
  <si>
    <t>2DO005</t>
  </si>
  <si>
    <t>LAUFER SOCIEDAD ANONIMA</t>
  </si>
  <si>
    <t>MAZA 3700</t>
  </si>
  <si>
    <t>3735-413062</t>
  </si>
  <si>
    <t>5MF003</t>
  </si>
  <si>
    <t>PASTRANA JUAN IGNACIO</t>
  </si>
  <si>
    <t>PALPALA</t>
  </si>
  <si>
    <t>LOS TULIPANES 106</t>
  </si>
  <si>
    <t>7NU006</t>
  </si>
  <si>
    <t>TIENDA DE BULONES S. A. S.</t>
  </si>
  <si>
    <t xml:space="preserve"> 2995-889667</t>
  </si>
  <si>
    <t>7NU007</t>
  </si>
  <si>
    <t>SGALIPPA DINO BALDUINO, SGALIPPA WALTER GUILLERMO Y SGALIPPA</t>
  </si>
  <si>
    <t>FACUNDO QUIROGA 364</t>
  </si>
  <si>
    <t>7NU008</t>
  </si>
  <si>
    <t>FALBO DIEGO ALBERTO</t>
  </si>
  <si>
    <t>AVENIDA LURO 2805</t>
  </si>
  <si>
    <t xml:space="preserve"> 2954-444511</t>
  </si>
  <si>
    <t>DISCO DE CORTE CENTRO DEPRIMIDO</t>
  </si>
  <si>
    <t>IMPERMEABLE</t>
  </si>
  <si>
    <t>0AA250</t>
  </si>
  <si>
    <t>SANDRONE LEONARDO ANTONIO</t>
  </si>
  <si>
    <t>BV. RIVADAVIA 766</t>
  </si>
  <si>
    <t xml:space="preserve"> 3535692676</t>
  </si>
  <si>
    <t>0AA251</t>
  </si>
  <si>
    <t>NUEVO PINTHER S. A.</t>
  </si>
  <si>
    <t>SOLDADO CARRASCULL 1150</t>
  </si>
  <si>
    <t>2DS009</t>
  </si>
  <si>
    <t>SAEZ DANIEL EDUARDO</t>
  </si>
  <si>
    <t>H IRIGOYEN 434</t>
  </si>
  <si>
    <t>0AA002</t>
  </si>
  <si>
    <t>BULONERIA REGINATO S.R.L</t>
  </si>
  <si>
    <t>AV.CORONEL SUAREZ 349</t>
  </si>
  <si>
    <t>0381-4224103/4306239</t>
  </si>
  <si>
    <t>LISTA DE PRECIOS 20.05.2026</t>
  </si>
  <si>
    <t>JGO B.LLAVE 94 PZA 1/4Y1/2 IND</t>
  </si>
  <si>
    <t>LLAVE COMB (PUL) (IND) 15316</t>
  </si>
  <si>
    <t>LLAVE COMB. (PUL) (IND) 15318</t>
  </si>
  <si>
    <t>LLAVE ESTRIADA ACODADA (IND)</t>
  </si>
  <si>
    <t>JGO LLAVES FIJAS(8 PZAS) 15076</t>
  </si>
  <si>
    <t>JGO LLAVES FIJAS
(12P)</t>
  </si>
  <si>
    <t>MATERIAL: PP</t>
  </si>
  <si>
    <t>TALADRO EN ANGULO RECTO</t>
  </si>
  <si>
    <t>155mm, 6"</t>
  </si>
  <si>
    <t>Compatible con mangueras de hasta 1/2"x45m</t>
  </si>
  <si>
    <t>TAMAÑO MANGUERA: 1/2″x15m+1,5 m</t>
  </si>
  <si>
    <t>XL (12 UNIDADES)</t>
  </si>
  <si>
    <t>NIVELADOR ALUMINIO 35066</t>
  </si>
  <si>
    <t>Diámetro de cable aplicable: 1,0, 1,6, 2,0, 2,6, 3,2 mm</t>
  </si>
  <si>
    <t>ALICATE UNIVERSAL AISLADA PREM</t>
  </si>
  <si>
    <t>PINZA UNIVERSAL AISPREM V38118</t>
  </si>
  <si>
    <t>RODILLO DE VENTILACION</t>
  </si>
  <si>
    <t>500mm</t>
  </si>
  <si>
    <t>SISTEMA NIVELACION PORCELANATO</t>
  </si>
  <si>
    <t>50 x 20 x 2,2 mm</t>
  </si>
  <si>
    <t xml:space="preserve">Bolsa por 5 unidades </t>
  </si>
  <si>
    <t>CRIQUE HIDRAULICO BOTELLA (INDUSTRIAL)</t>
  </si>
  <si>
    <t>CRIQUE HIDRA  BOTELL IND 65390</t>
  </si>
  <si>
    <t>CRIQUE HIDRA BOTELL IND 65393</t>
  </si>
  <si>
    <t>CRIQUE HIDRAULICO BOTELLA 65410 (INDUSTRIAL)</t>
  </si>
  <si>
    <t>CRIQUE HIDRÁULICO BOTELLA (INDUSTRIAL)</t>
  </si>
  <si>
    <t>GATO HIDRÁULICO DE BOTELLA</t>
  </si>
  <si>
    <t>LINTERNA LED C/PUNTA MAGNET IND</t>
  </si>
  <si>
    <t>2T*4M</t>
  </si>
  <si>
    <t>115x22.2x0.8mm (4-1/2"x7/8")</t>
  </si>
  <si>
    <t>180x22.2x1.2mm (7"x7/8")</t>
  </si>
  <si>
    <t>230x22.2x1.4mm (9"x7/8")</t>
  </si>
  <si>
    <t>210mm(8-1/4")*60T*30mm</t>
  </si>
  <si>
    <t>254mm(10")*80T*30mm</t>
  </si>
  <si>
    <t>305mm(12")*100T*30mm</t>
  </si>
  <si>
    <t>CEPILLO C/RIZA C/TCA IND 77601</t>
  </si>
  <si>
    <t>CEPILLO C/RIZA C/TCA IND 77501</t>
  </si>
  <si>
    <t>CEPILLO C/RIZA C/TCA IND 77602</t>
  </si>
  <si>
    <t>CEPILLO COPA DE ALAMBRE CIRCULAR RIZADO CON TUERCA (INDUSTRIAL)</t>
  </si>
  <si>
    <t>CEPILLO C/RIZA C/TCA IND 77603</t>
  </si>
  <si>
    <t>CEPILLO C/RIZA C/TCA IND 77504</t>
  </si>
  <si>
    <t>CEPILLO COPA TRENZ C/TCA IND</t>
  </si>
  <si>
    <t>CEPILLO C/TRENZC/TCA IND 77507</t>
  </si>
  <si>
    <t>CEPCOPA TRENZ C/TCA IND 77612</t>
  </si>
  <si>
    <t>CEPCOPCIRCTRENZC/TCA IND 77509</t>
  </si>
  <si>
    <t>CEP. C/TRENZ C/TCA IND 77513</t>
  </si>
  <si>
    <t>CEP. AMOLA ANG C/TCA IND 77627</t>
  </si>
  <si>
    <t>CEP. AMOLA ANG C/TCA IND 77517</t>
  </si>
  <si>
    <t>CEPI CENT DEPR TRENZ C/TCA IND</t>
  </si>
  <si>
    <t>CEPILLO CIRCULAR RIZ S/TCA IND</t>
  </si>
  <si>
    <t>CEPILLO TRENZADO S/ TCA IND</t>
  </si>
  <si>
    <t>CEP.CIRC P/TALADRO C/VAST IND</t>
  </si>
  <si>
    <t>CEPILLO P/TALAD C/VAST IND</t>
  </si>
  <si>
    <t>CEPI COPA P/TALADR C/VAST IND</t>
  </si>
  <si>
    <t>JGO CEPILLO ACERO 5PZAS IND</t>
  </si>
  <si>
    <t>JGO 3 CEPILLOS PARA TALADRO</t>
  </si>
  <si>
    <t>180mm/7"60#</t>
  </si>
  <si>
    <t>180mm / 7" 240#</t>
  </si>
  <si>
    <t>180mm / 7" 320#</t>
  </si>
  <si>
    <t>225mm 9" 60#</t>
  </si>
  <si>
    <t>225mm 9" 80#</t>
  </si>
  <si>
    <t>225mm 9" 120#</t>
  </si>
  <si>
    <t>225mm 9" 240#</t>
  </si>
  <si>
    <t>225mm 9" 360#</t>
  </si>
  <si>
    <t>CANDADO DE BRONCE IND 55117</t>
  </si>
  <si>
    <t xml:space="preserve">CANDADO DE BRONCE (INDUSTRIAL) </t>
  </si>
  <si>
    <t>CANDADO DE BRONCE IND 55118</t>
  </si>
  <si>
    <t>CANDADO DE BRONCE IND 55119</t>
  </si>
  <si>
    <t>CANDADO DE BRONCE IND 55120</t>
  </si>
  <si>
    <t>CANDADO DE BRONCE INDUSTRIAL</t>
  </si>
  <si>
    <t>CANDADO DE BRONCE LARGO (IND)</t>
  </si>
  <si>
    <t>CANDADO BRONCE CODIGO (IND)</t>
  </si>
  <si>
    <t>CANDADO CON COD DE SEGURIDAD</t>
  </si>
  <si>
    <t>CINTA DE EMBALAR TRANSPARENTE</t>
  </si>
  <si>
    <t>CINTA DE EMBALAR</t>
  </si>
  <si>
    <t>18mm x 30m</t>
  </si>
  <si>
    <t>CINTA DE ENMASCARAR</t>
  </si>
  <si>
    <t>24mm x 30m</t>
  </si>
  <si>
    <t>36mm x 30m</t>
  </si>
  <si>
    <t>CINTA DE FIBRA DE VIDRO</t>
  </si>
  <si>
    <t>BRIDA DE CABLE DE NYLON</t>
  </si>
  <si>
    <t>BRIDA DE NYLON</t>
  </si>
  <si>
    <t>ESLINGAS D SEGURIDAD 2PZAS IND</t>
  </si>
  <si>
    <t>ESLINGAS DE SEGURIDAD IND</t>
  </si>
  <si>
    <t>ESLINGAS DE SEGURIDAD IND 2P</t>
  </si>
  <si>
    <t>ESLINGAS DE SEGURIDAD IND 4P</t>
  </si>
  <si>
    <t>CARRETILLA MANO PLEG ALUMINIO</t>
  </si>
  <si>
    <t>BOLSO DE HERRAMIENTAS (IND)</t>
  </si>
  <si>
    <t>17"</t>
  </si>
  <si>
    <t>BOLSO HERRAMIENTAS (IND)</t>
  </si>
  <si>
    <t>17″ (42x21x29cm)</t>
  </si>
  <si>
    <t>BOLSO HERRAM C/ CINTURON (IND)</t>
  </si>
  <si>
    <t>ANTIPARRAS  SEG (TRANSP) (IND)</t>
  </si>
  <si>
    <t>Talle M</t>
  </si>
  <si>
    <t>Talle XXXL</t>
  </si>
  <si>
    <t>110x90x10 mm</t>
  </si>
  <si>
    <t>CAPACIDAD 1000ML (x1 unidad)</t>
  </si>
  <si>
    <t>CAPACIDAD 1000ML (x2 unidades)</t>
  </si>
  <si>
    <t>STOCK</t>
  </si>
  <si>
    <t>ORDEN POR CARGAR</t>
  </si>
  <si>
    <t>STOCK AL 10.06.2026</t>
  </si>
  <si>
    <t>ORDEN PENDIENTE CARGAR AL 10/06</t>
  </si>
  <si>
    <t>Caja Chica (A VERIFICAR CON DEPOSITO)</t>
  </si>
  <si>
    <t>Caja Granel (COINCIDE CON CATALOGO)</t>
  </si>
  <si>
    <t>BUL A GRANEL (Adic. Cliente)</t>
  </si>
  <si>
    <t>BUL A FRACCION (Adic. Cliente)</t>
  </si>
  <si>
    <t>TOR A GRANEL (Adic. Cliente)</t>
  </si>
  <si>
    <t>TOR A FRACCION (Adic. Cliente)</t>
  </si>
  <si>
    <t>VARILLAS (Adic. Cliente)</t>
  </si>
  <si>
    <t>TOLSEN (Adic. Cliente)</t>
  </si>
  <si>
    <t>Transporte</t>
  </si>
  <si>
    <t>TRANSPORTE MARAVILLA</t>
  </si>
  <si>
    <t>TRANSPORTE DON ALFREDO</t>
  </si>
  <si>
    <t>TRANSPORTE LAN CARG</t>
  </si>
  <si>
    <t>EXPRESO FRONTERA</t>
  </si>
  <si>
    <t>EXPRESO LUJAN DE CUYO</t>
  </si>
  <si>
    <t>TRANSPORTE ENVIAR</t>
  </si>
  <si>
    <t>SAAVEDRA 1583</t>
  </si>
  <si>
    <t>------------------------------</t>
  </si>
  <si>
    <t>TRANSPORTE BRINATTI</t>
  </si>
  <si>
    <t>TRANSPORTE CAR-PACK</t>
  </si>
  <si>
    <t>EXPRESO BRIO</t>
  </si>
  <si>
    <t>TRANSPORTE LA SEVILLANITA</t>
  </si>
  <si>
    <t>ORION de Transporte G y Z S.A.</t>
  </si>
  <si>
    <t>TRANSPORTE DEL PRADO</t>
  </si>
  <si>
    <t>REPARTO</t>
  </si>
  <si>
    <t>PACHER</t>
  </si>
  <si>
    <t>EXPRESO OLIVA HNOS</t>
  </si>
  <si>
    <t>TRANSPORTE EL QUEBRACHITO</t>
  </si>
  <si>
    <t>LEDESMA</t>
  </si>
  <si>
    <t>ALTAMIRANO</t>
  </si>
  <si>
    <t>TRANSPORTE BALVERDE</t>
  </si>
  <si>
    <t>TCN ( TRANSP.CARGAS DEL NORTE )</t>
  </si>
  <si>
    <t>EXPRESO TRANSNORT SRL</t>
  </si>
  <si>
    <t>TRANSPORTE SANTA RITA</t>
  </si>
  <si>
    <t>EXPRESO RIVADAVIA S.R.L.</t>
  </si>
  <si>
    <t>TRADELOG</t>
  </si>
  <si>
    <t>TRANSPORTE GIULIANO</t>
  </si>
  <si>
    <t xml:space="preserve">TRANSPORTE HORIZONTE </t>
  </si>
  <si>
    <t>RUTAS</t>
  </si>
  <si>
    <t>CREDIFIN</t>
  </si>
  <si>
    <t>OMEGA</t>
  </si>
  <si>
    <t>PULQUI PACK LOGISTICA</t>
  </si>
  <si>
    <t>TRANSPORTE TITO</t>
  </si>
  <si>
    <t>TRANSPORTE RAOSA S.A.</t>
  </si>
  <si>
    <t>DEMONTE</t>
  </si>
  <si>
    <t>EXPRESO YOVAN</t>
  </si>
  <si>
    <t>CENTRAL ARGENTINO</t>
  </si>
  <si>
    <t>BRIO DEP. ROSARIO - REDESPACHO TIO RICO ( IRIONDO 3050 )</t>
  </si>
  <si>
    <t>RETIRA</t>
  </si>
  <si>
    <t>FERASI</t>
  </si>
  <si>
    <t>EL GALLEGO</t>
  </si>
  <si>
    <t>TRANSPORTE TREGO</t>
  </si>
  <si>
    <t>TRANSPORTE FLAVIO</t>
  </si>
  <si>
    <t>ORI</t>
  </si>
  <si>
    <t>DIEMAR</t>
  </si>
  <si>
    <t>TRANSPORTE CHILECITO S.R.L.</t>
  </si>
  <si>
    <t>TRANSPORTE NUEVA ALIANZA</t>
  </si>
  <si>
    <t>TISSERA</t>
  </si>
  <si>
    <t>TRANSPORTE EL AGUILA</t>
  </si>
  <si>
    <t>CRUZ DEL SUR</t>
  </si>
  <si>
    <t>COCONI</t>
  </si>
  <si>
    <t>TRANSPORTE  MENGO</t>
  </si>
  <si>
    <t>SERVICIOS DEL NOA</t>
  </si>
  <si>
    <t>TTE. MIGUEL</t>
  </si>
  <si>
    <t>MICRO CARGA</t>
  </si>
  <si>
    <t>TRANSPORTE HEREDIA</t>
  </si>
  <si>
    <t>EXPRESO LANCIONI</t>
  </si>
  <si>
    <t>RUTRANS</t>
  </si>
  <si>
    <t>TRANSPORTE GONZALEZ (MENDOZA)</t>
  </si>
  <si>
    <t>ANDREANI</t>
  </si>
  <si>
    <t>NODO 4</t>
  </si>
  <si>
    <t>TRANSCARGO</t>
  </si>
  <si>
    <t>VISINTIN</t>
  </si>
  <si>
    <t>TTE. SIERRAS</t>
  </si>
  <si>
    <t>BERUGO</t>
  </si>
  <si>
    <t>TARITOLAY</t>
  </si>
  <si>
    <t>FLETE EN DESTINO</t>
  </si>
  <si>
    <t>PONCE SUR</t>
  </si>
  <si>
    <t>MUÑOZ</t>
  </si>
  <si>
    <t>TRANSPORTE CALCABRINI</t>
  </si>
  <si>
    <t>GUILIANO -TRASBORDO TTE VALLE</t>
  </si>
  <si>
    <t>EL PETISO</t>
  </si>
  <si>
    <t>TRANSPORTE MIGUEL</t>
  </si>
  <si>
    <t>RETIRA AGROMAQ o LOZANO HNOS</t>
  </si>
  <si>
    <t>HUDSON - BERAZATEGHI</t>
  </si>
  <si>
    <t>CALLE 57 N 4968(ENTRE 149Y150)</t>
  </si>
  <si>
    <t>EXPRESO ANIBAL</t>
  </si>
  <si>
    <t>EXPRESO ASTUTTI</t>
  </si>
  <si>
    <t>TRNASPORTES BELGRANO</t>
  </si>
  <si>
    <t>COMISIONISTA MARCELO PAREDES</t>
  </si>
  <si>
    <t>PONCE</t>
  </si>
  <si>
    <t>BALBI</t>
  </si>
  <si>
    <t>TRANSPORTE CINGOLANI</t>
  </si>
  <si>
    <t>TDH ( EX. CEOLA )</t>
  </si>
  <si>
    <t>EXPRESO BRIO - FLETE ORIGEN</t>
  </si>
  <si>
    <t>LOGISTICA TOTAL</t>
  </si>
  <si>
    <t>TRANSPORTE TIC TAC ( DE CHAMORRO )</t>
  </si>
  <si>
    <t>TRANSPORTE RIVEROS</t>
  </si>
  <si>
    <t>TRANSPORTE SAN NICOLAS</t>
  </si>
  <si>
    <t>LOGISTICA DEL CENTRO</t>
  </si>
  <si>
    <t>TRANSPORTE BAJO - HASTA LAS 11AM JUEVES</t>
  </si>
  <si>
    <t>FOWLER &amp; URITORCO</t>
  </si>
  <si>
    <t>TIM CAR</t>
  </si>
  <si>
    <t>TRANSPORTE GONZALEZ ( MENDOZA )</t>
  </si>
  <si>
    <t>TRANSPORTE MOSTTO</t>
  </si>
  <si>
    <t>TRANSPORTE MARCELITO</t>
  </si>
  <si>
    <t>VIA CARGO</t>
  </si>
  <si>
    <t>TRANSPORTE TOMASSINI S.R.L</t>
  </si>
  <si>
    <t xml:space="preserve">TRANSPORTE TRANS-VEL </t>
  </si>
  <si>
    <t>ARANGO HASTA DEP. ROSARIO</t>
  </si>
  <si>
    <t>FRAY MOCHO 2274</t>
  </si>
  <si>
    <t>TRANSPORTE EL PAMPERO</t>
  </si>
  <si>
    <t>EXPRESO BILETTA</t>
  </si>
  <si>
    <t>0AA252</t>
  </si>
  <si>
    <t>MARIÑO MATIAS EMILIANO</t>
  </si>
  <si>
    <t>VILLA AMEGHINO</t>
  </si>
  <si>
    <t>SAN CAYETANO 3589</t>
  </si>
  <si>
    <t>0AA253</t>
  </si>
  <si>
    <t>DEBY-FERR S.R.L.</t>
  </si>
  <si>
    <t xml:space="preserve">CIUDAD DE CORDOBA </t>
  </si>
  <si>
    <t>EUFRASIO LOZA 445</t>
  </si>
  <si>
    <t>0351-8992874</t>
  </si>
  <si>
    <t>0AA254</t>
  </si>
  <si>
    <t>MENSIO CARLOS MARTIN</t>
  </si>
  <si>
    <t>RECTA MARTINOLLI 5786  Dpto:4</t>
  </si>
  <si>
    <t>0AA255</t>
  </si>
  <si>
    <t>ALMAQ S R L</t>
  </si>
  <si>
    <t>VILLA REVOL</t>
  </si>
  <si>
    <t>TANDIL 1486</t>
  </si>
  <si>
    <t>0AA256</t>
  </si>
  <si>
    <t>RUBIC SA S. A.</t>
  </si>
  <si>
    <t>20 DE JUNIO</t>
  </si>
  <si>
    <t>AVENIDA SANTA ANA 6363</t>
  </si>
  <si>
    <t>6A0107</t>
  </si>
  <si>
    <t>FORTE FERRETERIA S.A.S.</t>
  </si>
  <si>
    <t>0AA257</t>
  </si>
  <si>
    <t>GARCIA ARIAS TOM¤S GABRIEL</t>
  </si>
  <si>
    <t>RECONQUISTA 1877</t>
  </si>
  <si>
    <t>1DY050</t>
  </si>
  <si>
    <t>LEIS OSCAR JULIO</t>
  </si>
  <si>
    <t>VIAMONTE</t>
  </si>
  <si>
    <t>CORDOBA 186</t>
  </si>
  <si>
    <t>TRANSPORTE EL DANNY ( RETIRA )</t>
  </si>
  <si>
    <t>6A0108</t>
  </si>
  <si>
    <t>JUAREZ MIGUEL ANGEL</t>
  </si>
  <si>
    <t>BARRIO NUEVA ITALIA</t>
  </si>
  <si>
    <t>MARTINIANO CHILABERT 2013</t>
  </si>
  <si>
    <t>0AA258</t>
  </si>
  <si>
    <t>GALUPPO DANIEL ADRIAN</t>
  </si>
  <si>
    <t>BOULEVARD LOS ALEMANES 5234  D</t>
  </si>
  <si>
    <t>0AA259</t>
  </si>
  <si>
    <t>RODRIGUEZ ADRIAN ALB ERTO</t>
  </si>
  <si>
    <t>BUENOS AIRES 583  Dpto:B</t>
  </si>
  <si>
    <t>0AA260</t>
  </si>
  <si>
    <t>GALVAN DANIEL MARCELO</t>
  </si>
  <si>
    <t>AMEGHINO 496 Piso:0 Dpto:0 S:0</t>
  </si>
  <si>
    <t xml:space="preserve"> 3525608668</t>
  </si>
  <si>
    <t>YANI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</si>
</sst>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 &quot;$&quot;\ * #,##0.00_ ;_ &quot;$&quot;\ * \-#,##0.00_ ;_ &quot;$&quot;\ * &quot;-&quot;??_ ;_ @_ "/>
    <numFmt numFmtId="165" formatCode="0.0%"/>
    <numFmt numFmtId="166" formatCode="d\.m\.yyyy;@"/>
    <numFmt numFmtId="167" formatCode="dd/mm/yyyy;@"/>
    <numFmt numFmtId="168" formatCode="_-[$$-2C0A]\ * #,##0.00_-;\-[$$-2C0A]\ * #,##0.00_-;_-[$$-2C0A]\ * &quot;-&quot;??_-;_-@_-"/>
    <numFmt numFmtId="169" formatCode="###,##0.00"/>
  </numFmts>
  <fonts count="75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rgb="FF1F497D"/>
      <name val="Arial"/>
      <family val="2"/>
    </font>
    <font>
      <sz val="10"/>
      <color rgb="FF1F497D"/>
      <name val="Arial"/>
      <family val="2"/>
    </font>
    <font>
      <sz val="12"/>
      <color theme="1"/>
      <name val="Arial Narrow"/>
      <family val="2"/>
    </font>
    <font>
      <sz val="12"/>
      <name val="Arial Narrow"/>
      <family val="2"/>
    </font>
    <font>
      <sz val="8"/>
      <name val="Calibri"/>
      <family val="2"/>
      <scheme val="minor"/>
    </font>
    <font>
      <sz val="12"/>
      <name val="宋体"/>
      <charset val="134"/>
    </font>
    <font>
      <sz val="11"/>
      <color theme="1"/>
      <name val="Calibri"/>
      <family val="2"/>
    </font>
    <font>
      <sz val="11"/>
      <color theme="1"/>
      <name val="Calibri"/>
      <family val="2"/>
      <charset val="134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4"/>
      <color theme="1"/>
      <name val="Arial"/>
      <family val="2"/>
    </font>
    <font>
      <sz val="16"/>
      <color theme="1"/>
      <name val="Arial Narrow"/>
      <family val="2"/>
    </font>
    <font>
      <b/>
      <sz val="16"/>
      <color theme="1"/>
      <name val="Arial Narrow"/>
      <family val="2"/>
    </font>
    <font>
      <b/>
      <u/>
      <sz val="10"/>
      <color theme="1"/>
      <name val="Arial"/>
      <family val="2"/>
    </font>
    <font>
      <b/>
      <sz val="16"/>
      <name val="Arial"/>
      <family val="2"/>
    </font>
    <font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20"/>
      <name val="Calibri"/>
      <family val="2"/>
      <scheme val="minor"/>
    </font>
    <font>
      <sz val="16"/>
      <name val="Arial"/>
      <family val="2"/>
    </font>
    <font>
      <b/>
      <sz val="9"/>
      <name val="Calibri"/>
      <family val="2"/>
      <scheme val="minor"/>
    </font>
    <font>
      <b/>
      <sz val="12"/>
      <name val="Arial"/>
      <family val="2"/>
    </font>
    <font>
      <sz val="9"/>
      <name val="Arial Narrow"/>
      <family val="2"/>
    </font>
    <font>
      <sz val="16"/>
      <name val="Arial Narrow"/>
      <family val="2"/>
    </font>
    <font>
      <sz val="14"/>
      <color theme="1"/>
      <name val="Aptos Display"/>
      <family val="2"/>
    </font>
    <font>
      <sz val="14"/>
      <name val="Aptos Display"/>
      <family val="2"/>
    </font>
    <font>
      <sz val="12"/>
      <name val="Aptos Display"/>
      <family val="2"/>
    </font>
    <font>
      <b/>
      <sz val="16"/>
      <name val="Aptos Display"/>
      <family val="2"/>
    </font>
    <font>
      <sz val="16"/>
      <color theme="1"/>
      <name val="Aptos Display"/>
      <family val="2"/>
    </font>
    <font>
      <sz val="16"/>
      <color rgb="FFF7B743"/>
      <name val="Aptos Display"/>
      <family val="2"/>
    </font>
    <font>
      <sz val="16"/>
      <name val="Aptos Display"/>
      <family val="2"/>
    </font>
    <font>
      <b/>
      <sz val="16"/>
      <color theme="1"/>
      <name val="Aptos Display"/>
      <family val="2"/>
    </font>
    <font>
      <u/>
      <sz val="12"/>
      <color theme="10"/>
      <name val="Aptos Display"/>
      <family val="2"/>
    </font>
    <font>
      <b/>
      <sz val="22"/>
      <name val="Calibri"/>
      <family val="2"/>
      <scheme val="minor"/>
    </font>
    <font>
      <sz val="22"/>
      <color theme="1"/>
      <name val="Aptos Display"/>
      <family val="2"/>
    </font>
    <font>
      <b/>
      <sz val="28"/>
      <name val="Calibri"/>
      <family val="2"/>
      <scheme val="minor"/>
    </font>
    <font>
      <sz val="2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20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name val="Calibri"/>
      <family val="2"/>
      <scheme val="minor"/>
    </font>
    <font>
      <b/>
      <sz val="8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6AC6E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D7DCE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theme="0" tint="-0.14996795556505021"/>
      </left>
      <right style="medium">
        <color theme="0" tint="-0.14996795556505021"/>
      </right>
      <top style="medium">
        <color theme="0" tint="-0.14996795556505021"/>
      </top>
      <bottom style="medium">
        <color theme="0" tint="-0.14996795556505021"/>
      </bottom>
      <diagonal/>
    </border>
  </borders>
  <cellStyleXfs count="66">
    <xf numFmtId="0" fontId="0" fillId="0" borderId="0"/>
    <xf numFmtId="0" fontId="27" fillId="0" borderId="0" applyNumberFormat="0" applyFill="0" applyBorder="0" applyAlignment="0" applyProtection="0"/>
    <xf numFmtId="164" fontId="25" fillId="0" borderId="0" applyFont="0" applyFill="0" applyBorder="0" applyAlignment="0" applyProtection="0"/>
    <xf numFmtId="164" fontId="26" fillId="0" borderId="0" applyFont="0" applyFill="0" applyBorder="0" applyAlignment="0" applyProtection="0"/>
    <xf numFmtId="0" fontId="26" fillId="0" borderId="0"/>
    <xf numFmtId="0" fontId="23" fillId="0" borderId="0"/>
    <xf numFmtId="164" fontId="23" fillId="0" borderId="0" applyFont="0" applyFill="0" applyBorder="0" applyAlignment="0" applyProtection="0"/>
    <xf numFmtId="0" fontId="36" fillId="0" borderId="0"/>
    <xf numFmtId="0" fontId="36" fillId="0" borderId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0" fontId="37" fillId="0" borderId="0">
      <alignment vertical="center"/>
    </xf>
    <xf numFmtId="0" fontId="37" fillId="0" borderId="0">
      <alignment vertical="center"/>
    </xf>
    <xf numFmtId="0" fontId="38" fillId="0" borderId="0">
      <alignment vertical="center"/>
    </xf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43" fontId="25" fillId="0" borderId="0" applyFont="0" applyFill="0" applyBorder="0" applyAlignment="0" applyProtection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25" fillId="0" borderId="0"/>
    <xf numFmtId="0" fontId="27" fillId="0" borderId="0" applyNumberFormat="0" applyFill="0" applyBorder="0" applyAlignment="0" applyProtection="0"/>
    <xf numFmtId="164" fontId="2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2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72">
    <xf numFmtId="0" fontId="0" fillId="0" borderId="0" xfId="0"/>
    <xf numFmtId="0" fontId="31" fillId="0" borderId="0" xfId="0" applyFont="1" applyAlignment="1">
      <alignment vertical="center"/>
    </xf>
    <xf numFmtId="0" fontId="32" fillId="0" borderId="0" xfId="0" applyFont="1" applyAlignment="1">
      <alignment vertical="center"/>
    </xf>
    <xf numFmtId="0" fontId="0" fillId="3" borderId="0" xfId="0" applyFill="1" applyAlignment="1">
      <alignment vertical="center"/>
    </xf>
    <xf numFmtId="0" fontId="31" fillId="0" borderId="0" xfId="0" applyFont="1" applyAlignment="1">
      <alignment horizontal="center" vertical="center"/>
    </xf>
    <xf numFmtId="0" fontId="26" fillId="2" borderId="0" xfId="4" applyFill="1"/>
    <xf numFmtId="0" fontId="0" fillId="4" borderId="0" xfId="0" applyFill="1" applyAlignment="1">
      <alignment vertical="center"/>
    </xf>
    <xf numFmtId="0" fontId="0" fillId="3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3" fillId="2" borderId="0" xfId="0" applyFont="1" applyFill="1" applyAlignment="1">
      <alignment vertical="center"/>
    </xf>
    <xf numFmtId="0" fontId="33" fillId="4" borderId="0" xfId="0" applyFont="1" applyFill="1" applyAlignment="1">
      <alignment vertical="center"/>
    </xf>
    <xf numFmtId="0" fontId="40" fillId="2" borderId="0" xfId="0" applyFont="1" applyFill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5" borderId="1" xfId="0" applyFont="1" applyFill="1" applyBorder="1" applyAlignment="1">
      <alignment horizontal="center" vertical="center"/>
    </xf>
    <xf numFmtId="0" fontId="41" fillId="2" borderId="0" xfId="0" applyFont="1" applyFill="1" applyAlignment="1">
      <alignment horizontal="center" vertical="center"/>
    </xf>
    <xf numFmtId="0" fontId="40" fillId="0" borderId="1" xfId="0" applyFont="1" applyBorder="1" applyAlignment="1">
      <alignment horizontal="center" vertical="center" wrapText="1"/>
    </xf>
    <xf numFmtId="0" fontId="40" fillId="0" borderId="1" xfId="0" applyFont="1" applyBorder="1" applyAlignment="1">
      <alignment horizontal="center" vertical="center"/>
    </xf>
    <xf numFmtId="164" fontId="40" fillId="5" borderId="1" xfId="0" applyNumberFormat="1" applyFont="1" applyFill="1" applyBorder="1" applyAlignment="1">
      <alignment horizontal="center" vertical="center" wrapText="1"/>
    </xf>
    <xf numFmtId="0" fontId="45" fillId="2" borderId="0" xfId="0" applyFont="1" applyFill="1" applyAlignment="1">
      <alignment horizontal="center" vertical="center"/>
    </xf>
    <xf numFmtId="0" fontId="41" fillId="5" borderId="3" xfId="0" applyFont="1" applyFill="1" applyBorder="1" applyAlignment="1">
      <alignment horizontal="center" vertical="center"/>
    </xf>
    <xf numFmtId="0" fontId="40" fillId="2" borderId="0" xfId="0" applyFont="1" applyFill="1" applyAlignment="1">
      <alignment horizontal="center" vertical="center" wrapText="1"/>
    </xf>
    <xf numFmtId="0" fontId="41" fillId="5" borderId="1" xfId="0" applyFont="1" applyFill="1" applyBorder="1" applyAlignment="1">
      <alignment horizontal="center" vertical="center" wrapText="1"/>
    </xf>
    <xf numFmtId="0" fontId="24" fillId="2" borderId="0" xfId="0" applyFont="1" applyFill="1" applyAlignment="1">
      <alignment vertical="center"/>
    </xf>
    <xf numFmtId="0" fontId="46" fillId="6" borderId="1" xfId="0" applyFont="1" applyFill="1" applyBorder="1" applyAlignment="1">
      <alignment horizontal="center" vertical="center" wrapText="1"/>
    </xf>
    <xf numFmtId="0" fontId="46" fillId="6" borderId="4" xfId="4" applyFont="1" applyFill="1" applyBorder="1" applyAlignment="1" applyProtection="1">
      <alignment horizontal="center" vertical="center"/>
      <protection locked="0"/>
    </xf>
    <xf numFmtId="0" fontId="46" fillId="6" borderId="1" xfId="4" applyFont="1" applyFill="1" applyBorder="1" applyAlignment="1" applyProtection="1">
      <alignment horizontal="center" vertical="center"/>
      <protection locked="0"/>
    </xf>
    <xf numFmtId="0" fontId="46" fillId="6" borderId="1" xfId="0" applyFont="1" applyFill="1" applyBorder="1" applyAlignment="1">
      <alignment horizontal="center" vertical="center"/>
    </xf>
    <xf numFmtId="0" fontId="47" fillId="6" borderId="0" xfId="0" applyFont="1" applyFill="1" applyAlignment="1">
      <alignment horizontal="center" vertical="center"/>
    </xf>
    <xf numFmtId="0" fontId="24" fillId="2" borderId="0" xfId="0" applyFont="1" applyFill="1" applyAlignment="1">
      <alignment horizontal="center" vertical="center"/>
    </xf>
    <xf numFmtId="0" fontId="48" fillId="0" borderId="0" xfId="0" applyFont="1"/>
    <xf numFmtId="0" fontId="24" fillId="0" borderId="1" xfId="0" applyFont="1" applyBorder="1" applyAlignment="1">
      <alignment horizontal="center" vertical="center" wrapText="1"/>
    </xf>
    <xf numFmtId="0" fontId="24" fillId="0" borderId="1" xfId="0" applyFont="1" applyBorder="1" applyAlignment="1">
      <alignment horizontal="center" vertical="center"/>
    </xf>
    <xf numFmtId="0" fontId="24" fillId="0" borderId="1" xfId="14" applyFont="1" applyBorder="1" applyAlignment="1">
      <alignment horizontal="center" vertical="center"/>
    </xf>
    <xf numFmtId="0" fontId="40" fillId="0" borderId="0" xfId="0" applyFont="1"/>
    <xf numFmtId="0" fontId="48" fillId="0" borderId="0" xfId="0" applyFont="1" applyAlignment="1">
      <alignment vertical="center"/>
    </xf>
    <xf numFmtId="0" fontId="24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 wrapText="1"/>
    </xf>
    <xf numFmtId="0" fontId="40" fillId="5" borderId="3" xfId="0" applyFont="1" applyFill="1" applyBorder="1" applyAlignment="1">
      <alignment horizontal="center" vertical="center"/>
    </xf>
    <xf numFmtId="0" fontId="40" fillId="5" borderId="4" xfId="0" applyFont="1" applyFill="1" applyBorder="1" applyAlignment="1">
      <alignment horizontal="center" vertical="center"/>
    </xf>
    <xf numFmtId="0" fontId="0" fillId="2" borderId="0" xfId="0" applyFill="1" applyAlignment="1">
      <alignment vertical="center"/>
    </xf>
    <xf numFmtId="0" fontId="28" fillId="2" borderId="0" xfId="0" applyFont="1" applyFill="1" applyAlignment="1">
      <alignment horizontal="left" vertical="center"/>
    </xf>
    <xf numFmtId="0" fontId="26" fillId="2" borderId="0" xfId="0" applyFont="1" applyFill="1" applyAlignment="1">
      <alignment vertical="center"/>
    </xf>
    <xf numFmtId="0" fontId="29" fillId="2" borderId="0" xfId="0" applyFont="1" applyFill="1" applyAlignment="1">
      <alignment vertical="center"/>
    </xf>
    <xf numFmtId="14" fontId="29" fillId="2" borderId="0" xfId="0" applyNumberFormat="1" applyFont="1" applyFill="1" applyAlignment="1">
      <alignment horizontal="left" vertical="center"/>
    </xf>
    <xf numFmtId="0" fontId="24" fillId="2" borderId="0" xfId="0" applyFont="1" applyFill="1" applyAlignment="1">
      <alignment horizontal="left" vertical="center"/>
    </xf>
    <xf numFmtId="165" fontId="33" fillId="4" borderId="0" xfId="0" applyNumberFormat="1" applyFont="1" applyFill="1" applyAlignment="1">
      <alignment vertical="center"/>
    </xf>
    <xf numFmtId="0" fontId="47" fillId="3" borderId="0" xfId="0" applyFont="1" applyFill="1" applyAlignment="1">
      <alignment horizontal="center" vertical="center"/>
    </xf>
    <xf numFmtId="0" fontId="47" fillId="3" borderId="0" xfId="0" applyFont="1" applyFill="1" applyAlignment="1">
      <alignment vertical="center"/>
    </xf>
    <xf numFmtId="0" fontId="49" fillId="3" borderId="0" xfId="0" applyFont="1" applyFill="1" applyAlignment="1">
      <alignment horizontal="right" vertical="center"/>
    </xf>
    <xf numFmtId="0" fontId="50" fillId="2" borderId="0" xfId="0" applyFont="1" applyFill="1" applyAlignment="1">
      <alignment horizontal="center" vertical="center"/>
    </xf>
    <xf numFmtId="0" fontId="47" fillId="2" borderId="0" xfId="0" applyFont="1" applyFill="1" applyAlignment="1">
      <alignment horizontal="center" vertical="center"/>
    </xf>
    <xf numFmtId="0" fontId="47" fillId="2" borderId="0" xfId="0" applyFont="1" applyFill="1" applyAlignment="1">
      <alignment vertical="center"/>
    </xf>
    <xf numFmtId="0" fontId="52" fillId="2" borderId="0" xfId="0" applyFont="1" applyFill="1" applyAlignment="1">
      <alignment horizontal="right" vertical="center"/>
    </xf>
    <xf numFmtId="0" fontId="49" fillId="2" borderId="0" xfId="0" applyFont="1" applyFill="1" applyAlignment="1">
      <alignment horizontal="right" vertical="center"/>
    </xf>
    <xf numFmtId="0" fontId="34" fillId="2" borderId="0" xfId="0" applyFont="1" applyFill="1" applyAlignment="1">
      <alignment vertical="center"/>
    </xf>
    <xf numFmtId="0" fontId="54" fillId="2" borderId="0" xfId="0" applyFont="1" applyFill="1" applyAlignment="1">
      <alignment horizontal="right" vertical="center"/>
    </xf>
    <xf numFmtId="14" fontId="34" fillId="4" borderId="0" xfId="0" applyNumberFormat="1" applyFont="1" applyFill="1" applyAlignment="1">
      <alignment vertical="center"/>
    </xf>
    <xf numFmtId="0" fontId="34" fillId="4" borderId="0" xfId="0" applyFont="1" applyFill="1" applyAlignment="1">
      <alignment vertical="center"/>
    </xf>
    <xf numFmtId="0" fontId="54" fillId="4" borderId="0" xfId="0" applyFont="1" applyFill="1" applyAlignment="1">
      <alignment horizontal="right" vertical="center"/>
    </xf>
    <xf numFmtId="0" fontId="34" fillId="4" borderId="0" xfId="0" applyFont="1" applyFill="1" applyAlignment="1" applyProtection="1">
      <alignment horizontal="center" vertical="center"/>
      <protection locked="0"/>
    </xf>
    <xf numFmtId="0" fontId="56" fillId="2" borderId="1" xfId="0" applyFont="1" applyFill="1" applyBorder="1" applyAlignment="1">
      <alignment horizontal="left" vertical="center"/>
    </xf>
    <xf numFmtId="0" fontId="56" fillId="2" borderId="1" xfId="0" applyFont="1" applyFill="1" applyBorder="1" applyAlignment="1">
      <alignment vertical="center"/>
    </xf>
    <xf numFmtId="164" fontId="57" fillId="2" borderId="1" xfId="2" applyFont="1" applyFill="1" applyBorder="1" applyAlignment="1">
      <alignment horizontal="right" vertical="center"/>
    </xf>
    <xf numFmtId="164" fontId="57" fillId="2" borderId="1" xfId="2" applyFont="1" applyFill="1" applyBorder="1" applyAlignment="1">
      <alignment vertical="center"/>
    </xf>
    <xf numFmtId="0" fontId="59" fillId="6" borderId="1" xfId="0" applyFont="1" applyFill="1" applyBorder="1" applyAlignment="1">
      <alignment horizontal="center" vertical="center" wrapText="1"/>
    </xf>
    <xf numFmtId="0" fontId="60" fillId="0" borderId="0" xfId="0" applyFont="1" applyAlignment="1">
      <alignment vertical="center"/>
    </xf>
    <xf numFmtId="0" fontId="60" fillId="2" borderId="0" xfId="0" applyFont="1" applyFill="1" applyAlignment="1">
      <alignment vertical="center"/>
    </xf>
    <xf numFmtId="0" fontId="61" fillId="2" borderId="0" xfId="0" applyFont="1" applyFill="1" applyAlignment="1">
      <alignment vertical="center"/>
    </xf>
    <xf numFmtId="0" fontId="62" fillId="2" borderId="0" xfId="0" applyFont="1" applyFill="1" applyAlignment="1">
      <alignment vertical="center"/>
    </xf>
    <xf numFmtId="14" fontId="60" fillId="2" borderId="0" xfId="0" applyNumberFormat="1" applyFont="1" applyFill="1" applyAlignment="1">
      <alignment vertical="center"/>
    </xf>
    <xf numFmtId="14" fontId="62" fillId="2" borderId="0" xfId="0" applyNumberFormat="1" applyFont="1" applyFill="1" applyAlignment="1">
      <alignment vertical="center"/>
    </xf>
    <xf numFmtId="166" fontId="62" fillId="2" borderId="0" xfId="0" applyNumberFormat="1" applyFont="1" applyFill="1" applyAlignment="1">
      <alignment horizontal="right" vertical="center"/>
    </xf>
    <xf numFmtId="0" fontId="43" fillId="7" borderId="0" xfId="0" applyFont="1" applyFill="1" applyAlignment="1" applyProtection="1">
      <alignment vertical="center"/>
      <protection locked="0"/>
    </xf>
    <xf numFmtId="0" fontId="44" fillId="7" borderId="0" xfId="0" applyFont="1" applyFill="1" applyAlignment="1" applyProtection="1">
      <alignment horizontal="center" vertical="center"/>
      <protection locked="0"/>
    </xf>
    <xf numFmtId="0" fontId="55" fillId="7" borderId="0" xfId="0" applyFont="1" applyFill="1" applyAlignment="1" applyProtection="1">
      <alignment vertical="center"/>
      <protection locked="0"/>
    </xf>
    <xf numFmtId="0" fontId="55" fillId="7" borderId="0" xfId="0" applyFont="1" applyFill="1" applyAlignment="1" applyProtection="1">
      <alignment horizontal="right" vertical="center"/>
      <protection locked="0"/>
    </xf>
    <xf numFmtId="0" fontId="61" fillId="7" borderId="0" xfId="0" applyFont="1" applyFill="1" applyAlignment="1" applyProtection="1">
      <alignment vertical="center"/>
      <protection locked="0"/>
    </xf>
    <xf numFmtId="0" fontId="60" fillId="4" borderId="0" xfId="0" applyFont="1" applyFill="1" applyAlignment="1">
      <alignment vertical="center"/>
    </xf>
    <xf numFmtId="0" fontId="59" fillId="4" borderId="1" xfId="0" applyFont="1" applyFill="1" applyBorder="1" applyAlignment="1">
      <alignment horizontal="center" vertical="center" wrapText="1"/>
    </xf>
    <xf numFmtId="0" fontId="60" fillId="3" borderId="0" xfId="0" applyFont="1" applyFill="1" applyAlignment="1">
      <alignment horizontal="center" vertical="center" wrapText="1"/>
    </xf>
    <xf numFmtId="167" fontId="59" fillId="2" borderId="0" xfId="0" applyNumberFormat="1" applyFont="1" applyFill="1" applyAlignment="1">
      <alignment horizontal="center" vertical="center"/>
    </xf>
    <xf numFmtId="0" fontId="58" fillId="0" borderId="0" xfId="0" applyFont="1" applyAlignment="1">
      <alignment horizontal="left" vertical="center"/>
    </xf>
    <xf numFmtId="0" fontId="58" fillId="2" borderId="0" xfId="0" applyFont="1" applyFill="1" applyAlignment="1">
      <alignment horizontal="center" vertical="center"/>
    </xf>
    <xf numFmtId="0" fontId="58" fillId="2" borderId="0" xfId="0" applyFont="1" applyFill="1" applyAlignment="1">
      <alignment vertical="center"/>
    </xf>
    <xf numFmtId="0" fontId="58" fillId="0" borderId="0" xfId="0" applyFont="1" applyAlignment="1">
      <alignment vertical="center"/>
    </xf>
    <xf numFmtId="0" fontId="64" fillId="0" borderId="0" xfId="1" applyFont="1" applyAlignment="1">
      <alignment vertical="center"/>
    </xf>
    <xf numFmtId="0" fontId="47" fillId="7" borderId="0" xfId="0" applyFont="1" applyFill="1" applyAlignment="1">
      <alignment vertical="center"/>
    </xf>
    <xf numFmtId="0" fontId="62" fillId="0" borderId="0" xfId="0" applyFont="1" applyAlignment="1">
      <alignment vertical="center"/>
    </xf>
    <xf numFmtId="0" fontId="41" fillId="2" borderId="0" xfId="0" applyFont="1" applyFill="1" applyAlignment="1">
      <alignment vertical="center" wrapText="1"/>
    </xf>
    <xf numFmtId="0" fontId="63" fillId="4" borderId="3" xfId="0" applyFont="1" applyFill="1" applyBorder="1" applyAlignment="1">
      <alignment horizontal="center" vertical="center" wrapText="1"/>
    </xf>
    <xf numFmtId="0" fontId="63" fillId="4" borderId="1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right" vertical="center"/>
    </xf>
    <xf numFmtId="0" fontId="60" fillId="0" borderId="0" xfId="0" applyFont="1" applyAlignment="1">
      <alignment horizontal="center" vertical="center" wrapText="1"/>
    </xf>
    <xf numFmtId="0" fontId="0" fillId="0" borderId="1" xfId="0" applyBorder="1" applyAlignment="1">
      <alignment vertical="center"/>
    </xf>
    <xf numFmtId="168" fontId="49" fillId="3" borderId="0" xfId="0" applyNumberFormat="1" applyFont="1" applyFill="1" applyAlignment="1">
      <alignment horizontal="right" vertical="center"/>
    </xf>
    <xf numFmtId="168" fontId="30" fillId="2" borderId="0" xfId="0" applyNumberFormat="1" applyFont="1" applyFill="1" applyAlignment="1">
      <alignment horizontal="right" vertical="center"/>
    </xf>
    <xf numFmtId="168" fontId="50" fillId="2" borderId="0" xfId="0" applyNumberFormat="1" applyFont="1" applyFill="1" applyAlignment="1">
      <alignment horizontal="right" vertical="center"/>
    </xf>
    <xf numFmtId="168" fontId="59" fillId="2" borderId="0" xfId="0" applyNumberFormat="1" applyFont="1" applyFill="1" applyAlignment="1">
      <alignment vertical="center"/>
    </xf>
    <xf numFmtId="168" fontId="52" fillId="2" borderId="0" xfId="0" applyNumberFormat="1" applyFont="1" applyFill="1" applyAlignment="1">
      <alignment horizontal="right" vertical="center"/>
    </xf>
    <xf numFmtId="168" fontId="49" fillId="2" borderId="0" xfId="0" applyNumberFormat="1" applyFont="1" applyFill="1" applyAlignment="1">
      <alignment horizontal="right" vertical="center"/>
    </xf>
    <xf numFmtId="168" fontId="62" fillId="2" borderId="0" xfId="0" applyNumberFormat="1" applyFont="1" applyFill="1" applyAlignment="1">
      <alignment horizontal="right" vertical="center"/>
    </xf>
    <xf numFmtId="168" fontId="54" fillId="4" borderId="0" xfId="0" applyNumberFormat="1" applyFont="1" applyFill="1" applyAlignment="1">
      <alignment horizontal="right" vertical="center"/>
    </xf>
    <xf numFmtId="168" fontId="55" fillId="7" borderId="0" xfId="0" applyNumberFormat="1" applyFont="1" applyFill="1" applyAlignment="1" applyProtection="1">
      <alignment horizontal="right" vertical="center"/>
      <protection locked="0"/>
    </xf>
    <xf numFmtId="168" fontId="34" fillId="4" borderId="0" xfId="0" applyNumberFormat="1" applyFont="1" applyFill="1" applyAlignment="1" applyProtection="1">
      <alignment horizontal="center" vertical="center"/>
      <protection locked="0"/>
    </xf>
    <xf numFmtId="168" fontId="54" fillId="2" borderId="0" xfId="0" applyNumberFormat="1" applyFont="1" applyFill="1" applyAlignment="1">
      <alignment horizontal="right" vertical="center"/>
    </xf>
    <xf numFmtId="168" fontId="59" fillId="4" borderId="1" xfId="0" applyNumberFormat="1" applyFont="1" applyFill="1" applyBorder="1" applyAlignment="1">
      <alignment horizontal="center" vertical="center" wrapText="1"/>
    </xf>
    <xf numFmtId="168" fontId="57" fillId="2" borderId="1" xfId="2" applyNumberFormat="1" applyFont="1" applyFill="1" applyBorder="1" applyAlignment="1">
      <alignment vertical="center"/>
    </xf>
    <xf numFmtId="0" fontId="42" fillId="0" borderId="2" xfId="0" applyFont="1" applyBorder="1" applyAlignment="1">
      <alignment vertical="center"/>
    </xf>
    <xf numFmtId="0" fontId="42" fillId="0" borderId="1" xfId="0" applyFont="1" applyBorder="1" applyAlignment="1">
      <alignment vertical="center"/>
    </xf>
    <xf numFmtId="0" fontId="39" fillId="0" borderId="1" xfId="0" applyFont="1" applyBorder="1" applyAlignment="1">
      <alignment vertical="center"/>
    </xf>
    <xf numFmtId="0" fontId="65" fillId="6" borderId="0" xfId="0" applyFont="1" applyFill="1" applyAlignment="1">
      <alignment horizontal="right" vertical="center"/>
    </xf>
    <xf numFmtId="167" fontId="65" fillId="6" borderId="0" xfId="0" applyNumberFormat="1" applyFont="1" applyFill="1" applyAlignment="1">
      <alignment vertical="center"/>
    </xf>
    <xf numFmtId="0" fontId="0" fillId="6" borderId="0" xfId="0" applyFill="1" applyAlignment="1">
      <alignment vertical="center"/>
    </xf>
    <xf numFmtId="0" fontId="66" fillId="2" borderId="0" xfId="0" applyFont="1" applyFill="1" applyAlignment="1">
      <alignment vertical="center"/>
    </xf>
    <xf numFmtId="0" fontId="67" fillId="6" borderId="0" xfId="0" applyFont="1" applyFill="1" applyAlignment="1">
      <alignment horizontal="right" vertical="center"/>
    </xf>
    <xf numFmtId="0" fontId="68" fillId="6" borderId="0" xfId="0" applyFont="1" applyFill="1" applyAlignment="1">
      <alignment vertical="center"/>
    </xf>
    <xf numFmtId="0" fontId="69" fillId="2" borderId="0" xfId="0" applyFont="1" applyFill="1" applyAlignment="1">
      <alignment vertical="center"/>
    </xf>
    <xf numFmtId="0" fontId="70" fillId="6" borderId="0" xfId="0" applyFont="1" applyFill="1" applyAlignment="1">
      <alignment vertical="center"/>
    </xf>
    <xf numFmtId="0" fontId="69" fillId="0" borderId="0" xfId="0" applyFont="1" applyAlignment="1">
      <alignment vertical="center"/>
    </xf>
    <xf numFmtId="0" fontId="71" fillId="2" borderId="0" xfId="0" applyFont="1" applyFill="1" applyAlignment="1">
      <alignment horizontal="right" vertical="center"/>
    </xf>
    <xf numFmtId="0" fontId="69" fillId="2" borderId="0" xfId="0" applyFont="1" applyFill="1" applyAlignment="1">
      <alignment horizontal="right" vertical="center"/>
    </xf>
    <xf numFmtId="168" fontId="71" fillId="7" borderId="5" xfId="2" applyNumberFormat="1" applyFont="1" applyFill="1" applyBorder="1" applyAlignment="1">
      <alignment horizontal="center" vertical="center"/>
    </xf>
    <xf numFmtId="168" fontId="71" fillId="7" borderId="5" xfId="2" applyNumberFormat="1" applyFont="1" applyFill="1" applyBorder="1" applyAlignment="1">
      <alignment horizontal="right" vertical="center"/>
    </xf>
    <xf numFmtId="9" fontId="71" fillId="7" borderId="5" xfId="0" applyNumberFormat="1" applyFont="1" applyFill="1" applyBorder="1" applyAlignment="1">
      <alignment horizontal="center" vertical="center"/>
    </xf>
    <xf numFmtId="10" fontId="71" fillId="7" borderId="5" xfId="0" applyNumberFormat="1" applyFont="1" applyFill="1" applyBorder="1" applyAlignment="1">
      <alignment horizontal="center" vertical="center"/>
    </xf>
    <xf numFmtId="167" fontId="71" fillId="7" borderId="5" xfId="0" applyNumberFormat="1" applyFont="1" applyFill="1" applyBorder="1" applyAlignment="1">
      <alignment horizontal="center" vertical="center"/>
    </xf>
    <xf numFmtId="0" fontId="71" fillId="7" borderId="5" xfId="0" applyFont="1" applyFill="1" applyBorder="1" applyAlignment="1">
      <alignment horizontal="center" vertical="center"/>
    </xf>
    <xf numFmtId="0" fontId="72" fillId="4" borderId="0" xfId="0" applyFont="1" applyFill="1" applyAlignment="1">
      <alignment horizontal="right" vertical="center"/>
    </xf>
    <xf numFmtId="0" fontId="73" fillId="7" borderId="1" xfId="0" applyFont="1" applyFill="1" applyBorder="1" applyAlignment="1" applyProtection="1">
      <alignment horizontal="center" vertical="center"/>
      <protection locked="0"/>
    </xf>
    <xf numFmtId="168" fontId="40" fillId="2" borderId="0" xfId="2" applyNumberFormat="1" applyFont="1" applyFill="1" applyAlignment="1">
      <alignment horizontal="center" vertical="center"/>
    </xf>
    <xf numFmtId="168" fontId="40" fillId="0" borderId="1" xfId="2" applyNumberFormat="1" applyFont="1" applyBorder="1" applyAlignment="1">
      <alignment horizontal="center" vertical="center" wrapText="1"/>
    </xf>
    <xf numFmtId="0" fontId="24" fillId="3" borderId="1" xfId="0" applyFont="1" applyFill="1" applyBorder="1" applyAlignment="1">
      <alignment horizontal="center" vertical="center"/>
    </xf>
    <xf numFmtId="0" fontId="40" fillId="3" borderId="1" xfId="0" applyFont="1" applyFill="1" applyBorder="1" applyAlignment="1">
      <alignment horizontal="center" vertical="center"/>
    </xf>
    <xf numFmtId="0" fontId="40" fillId="3" borderId="1" xfId="0" applyFont="1" applyFill="1" applyBorder="1" applyAlignment="1">
      <alignment horizontal="center" vertical="center" wrapText="1"/>
    </xf>
    <xf numFmtId="168" fontId="40" fillId="3" borderId="1" xfId="0" applyNumberFormat="1" applyFont="1" applyFill="1" applyBorder="1" applyAlignment="1">
      <alignment horizontal="center" vertical="center" wrapText="1"/>
    </xf>
    <xf numFmtId="168" fontId="40" fillId="0" borderId="0" xfId="2" applyNumberFormat="1" applyFont="1" applyAlignment="1">
      <alignment horizontal="center" vertical="center"/>
    </xf>
    <xf numFmtId="0" fontId="46" fillId="0" borderId="1" xfId="0" applyFont="1" applyBorder="1" applyAlignment="1">
      <alignment horizontal="center" vertical="center" wrapText="1"/>
    </xf>
    <xf numFmtId="0" fontId="46" fillId="0" borderId="1" xfId="0" applyFont="1" applyBorder="1" applyAlignment="1" applyProtection="1">
      <alignment horizontal="center" vertical="center"/>
      <protection locked="0"/>
    </xf>
    <xf numFmtId="0" fontId="46" fillId="0" borderId="1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0" fillId="5" borderId="1" xfId="0" applyFont="1" applyFill="1" applyBorder="1" applyAlignment="1">
      <alignment horizontal="center" vertical="center" wrapText="1"/>
    </xf>
    <xf numFmtId="0" fontId="50" fillId="2" borderId="0" xfId="0" applyFont="1" applyFill="1" applyAlignment="1">
      <alignment horizontal="right" vertical="center"/>
    </xf>
    <xf numFmtId="0" fontId="59" fillId="2" borderId="0" xfId="0" applyFont="1" applyFill="1" applyAlignment="1">
      <alignment vertical="center"/>
    </xf>
    <xf numFmtId="0" fontId="51" fillId="2" borderId="0" xfId="0" applyFont="1" applyFill="1" applyAlignment="1">
      <alignment horizontal="right" vertical="center"/>
    </xf>
    <xf numFmtId="0" fontId="53" fillId="2" borderId="0" xfId="0" applyFont="1" applyFill="1" applyAlignment="1">
      <alignment horizontal="center" vertical="center"/>
    </xf>
    <xf numFmtId="0" fontId="62" fillId="2" borderId="0" xfId="0" applyFont="1" applyFill="1" applyAlignment="1">
      <alignment horizontal="center" vertical="center"/>
    </xf>
    <xf numFmtId="0" fontId="62" fillId="2" borderId="0" xfId="0" applyFont="1" applyFill="1" applyAlignment="1">
      <alignment horizontal="right" vertical="center"/>
    </xf>
    <xf numFmtId="0" fontId="57" fillId="2" borderId="1" xfId="28" applyNumberFormat="1" applyFont="1" applyFill="1" applyBorder="1" applyAlignment="1">
      <alignment vertical="center"/>
    </xf>
    <xf numFmtId="0" fontId="40" fillId="8" borderId="1" xfId="0" applyFont="1" applyFill="1" applyBorder="1" applyAlignment="1">
      <alignment horizontal="center" vertical="center" wrapText="1"/>
    </xf>
    <xf numFmtId="0" fontId="40" fillId="9" borderId="1" xfId="0" applyFont="1" applyFill="1" applyBorder="1" applyAlignment="1">
      <alignment horizontal="center" vertical="center" wrapText="1"/>
    </xf>
    <xf numFmtId="0" fontId="74" fillId="8" borderId="1" xfId="0" applyFont="1" applyFill="1" applyBorder="1" applyAlignment="1">
      <alignment horizontal="center" vertical="center" wrapText="1"/>
    </xf>
    <xf numFmtId="0" fontId="74" fillId="9" borderId="1" xfId="0" applyFont="1" applyFill="1" applyBorder="1" applyAlignment="1">
      <alignment horizontal="center" vertical="center" wrapText="1"/>
    </xf>
    <xf numFmtId="0" fontId="49" fillId="3" borderId="0" xfId="0" applyFont="1" applyFill="1" applyAlignment="1">
      <alignment horizontal="center" vertical="center"/>
    </xf>
    <xf numFmtId="0" fontId="30" fillId="2" borderId="0" xfId="0" applyFont="1" applyFill="1" applyAlignment="1">
      <alignment horizontal="center" vertical="center"/>
    </xf>
    <xf numFmtId="0" fontId="59" fillId="2" borderId="0" xfId="0" applyFont="1" applyFill="1" applyAlignment="1">
      <alignment horizontal="center" vertical="center"/>
    </xf>
    <xf numFmtId="0" fontId="52" fillId="2" borderId="0" xfId="0" applyFont="1" applyFill="1" applyAlignment="1">
      <alignment horizontal="center" vertical="center"/>
    </xf>
    <xf numFmtId="0" fontId="49" fillId="2" borderId="0" xfId="0" applyFont="1" applyFill="1" applyAlignment="1">
      <alignment horizontal="center" vertical="center"/>
    </xf>
    <xf numFmtId="0" fontId="54" fillId="4" borderId="0" xfId="0" applyFont="1" applyFill="1" applyAlignment="1">
      <alignment horizontal="center" vertical="center"/>
    </xf>
    <xf numFmtId="0" fontId="55" fillId="7" borderId="0" xfId="0" applyFont="1" applyFill="1" applyAlignment="1" applyProtection="1">
      <alignment horizontal="center" vertical="center"/>
      <protection locked="0"/>
    </xf>
    <xf numFmtId="0" fontId="54" fillId="2" borderId="0" xfId="0" applyFont="1" applyFill="1" applyAlignment="1">
      <alignment horizontal="center" vertical="center"/>
    </xf>
    <xf numFmtId="0" fontId="57" fillId="2" borderId="1" xfId="2" applyNumberFormat="1" applyFont="1" applyFill="1" applyBorder="1" applyAlignment="1">
      <alignment horizontal="center" vertical="center"/>
    </xf>
    <xf numFmtId="0" fontId="0" fillId="10" borderId="0" xfId="0" applyFill="1"/>
    <xf numFmtId="49" fontId="0" fillId="0" borderId="0" xfId="0" applyNumberFormat="1"/>
    <xf numFmtId="169" fontId="0" fillId="0" borderId="0" xfId="0" applyNumberFormat="1"/>
    <xf numFmtId="0" fontId="69" fillId="7" borderId="0" xfId="0" applyFont="1" applyFill="1" applyAlignment="1">
      <alignment vertical="center"/>
    </xf>
    <xf numFmtId="0" fontId="69" fillId="7" borderId="1" xfId="0" applyFont="1" applyFill="1" applyBorder="1" applyAlignment="1">
      <alignment vertical="center"/>
    </xf>
    <xf numFmtId="0" fontId="63" fillId="4" borderId="3" xfId="0" applyFont="1" applyFill="1" applyBorder="1" applyAlignment="1">
      <alignment horizontal="center" vertical="center" wrapText="1"/>
    </xf>
    <xf numFmtId="0" fontId="63" fillId="4" borderId="1" xfId="0" applyFont="1" applyFill="1" applyBorder="1" applyAlignment="1">
      <alignment horizontal="center" vertical="center" wrapText="1"/>
    </xf>
    <xf numFmtId="0" fontId="30" fillId="2" borderId="0" xfId="0" applyFont="1" applyFill="1" applyAlignment="1">
      <alignment horizontal="right" vertical="center"/>
    </xf>
    <xf numFmtId="167" fontId="59" fillId="2" borderId="0" xfId="0" applyNumberFormat="1" applyFont="1" applyFill="1" applyAlignment="1">
      <alignment horizontal="center" vertical="center"/>
    </xf>
    <xf numFmtId="0" fontId="68" fillId="6" borderId="0" xfId="0" applyFont="1" applyFill="1" applyAlignment="1" applyProtection="1">
      <alignment horizontal="center" vertical="center"/>
      <protection locked="0"/>
    </xf>
  </cellXfs>
  <cellStyles count="66">
    <cellStyle name="Hipervínculo" xfId="1" builtinId="8"/>
    <cellStyle name="Hipervínculo 2" xfId="35" xr:uid="{DF463E4C-5435-405F-AF05-80A34D837888}"/>
    <cellStyle name="Millares" xfId="28" builtinId="3"/>
    <cellStyle name="Millares 2" xfId="57" xr:uid="{460ABCEA-AE8B-4AD3-8141-B0F616C1B8D7}"/>
    <cellStyle name="Moneda" xfId="2" builtinId="4"/>
    <cellStyle name="Moneda 2" xfId="3" xr:uid="{00000000-0005-0000-0000-000002000000}"/>
    <cellStyle name="Moneda 2 2" xfId="11" xr:uid="{4FBFFAEC-1B2C-49D0-8B3C-4396ABE446AC}"/>
    <cellStyle name="Moneda 2 2 2" xfId="43" xr:uid="{CC5B6E5E-AE3C-4622-A623-46445EF85790}"/>
    <cellStyle name="Moneda 2 3" xfId="37" xr:uid="{1AB45870-CD47-455B-9CA3-68560B6F4A58}"/>
    <cellStyle name="Moneda 3" xfId="10" xr:uid="{2531AF3E-07D5-41B8-ACA1-29F5B8B27693}"/>
    <cellStyle name="Moneda 3 2" xfId="42" xr:uid="{9E5FA5E6-49E8-4437-8B17-91E6DF378438}"/>
    <cellStyle name="Moneda 4" xfId="9" xr:uid="{ECD4B2D8-018B-4CB9-821D-1549D3FCFA37}"/>
    <cellStyle name="Moneda 4 2" xfId="41" xr:uid="{8E0840B2-F2AA-4D3E-83E7-F39DC6CFA2C7}"/>
    <cellStyle name="Moneda 5" xfId="6" xr:uid="{5FD16645-E852-4FFD-9F43-02BDAD1ECCEA}"/>
    <cellStyle name="Moneda 5 2" xfId="40" xr:uid="{A39B00EA-5BC7-4563-8513-F332DF8ADBDE}"/>
    <cellStyle name="Moneda 6" xfId="36" xr:uid="{8CA523D3-C90C-45C0-869E-CAE24ADD8BE2}"/>
    <cellStyle name="Normal" xfId="0" builtinId="0"/>
    <cellStyle name="Normal 10" xfId="20" xr:uid="{C5AAD6FC-49A1-4369-A9A0-D08FEC18340A}"/>
    <cellStyle name="Normal 10 2" xfId="49" xr:uid="{3E03C533-FDC9-4DAE-A836-FD3E054944AB}"/>
    <cellStyle name="Normal 11" xfId="21" xr:uid="{BA2A3CCD-62B7-4F43-980A-73F69E53179C}"/>
    <cellStyle name="Normal 11 2" xfId="50" xr:uid="{C92756E5-E955-4A3C-926F-199310C8DFB1}"/>
    <cellStyle name="Normal 12" xfId="22" xr:uid="{07AB5000-E213-48F1-8525-D20810E02DA8}"/>
    <cellStyle name="Normal 12 2" xfId="51" xr:uid="{04366A52-E5EB-4CCF-96E5-2125894C27AF}"/>
    <cellStyle name="Normal 13" xfId="23" xr:uid="{4732857E-1FBD-46C6-8F10-D70CD8D9243E}"/>
    <cellStyle name="Normal 13 2" xfId="52" xr:uid="{899029CE-1507-483F-87E0-921E132D4911}"/>
    <cellStyle name="Normal 14" xfId="24" xr:uid="{7E32C6EA-5C0B-4AB7-91D6-15ED5E8664A5}"/>
    <cellStyle name="Normal 14 2" xfId="53" xr:uid="{CDCDE413-7525-4483-A86E-7812AE8F1788}"/>
    <cellStyle name="Normal 15" xfId="25" xr:uid="{C87B781E-FE7A-4A6D-A13F-722E52C25C63}"/>
    <cellStyle name="Normal 15 2" xfId="54" xr:uid="{6982082C-CEC4-4527-9550-78CBCB05779E}"/>
    <cellStyle name="Normal 16" xfId="26" xr:uid="{B9FC58F6-E632-4C5C-99ED-834F33B5A1B0}"/>
    <cellStyle name="Normal 16 2" xfId="55" xr:uid="{3D7B4C72-DA8F-4604-A2CB-7B818B29F20D}"/>
    <cellStyle name="Normal 17" xfId="27" xr:uid="{29A70F89-3515-40A1-BB38-F4B5E224034F}"/>
    <cellStyle name="Normal 17 2" xfId="56" xr:uid="{3999148F-91C0-4D22-B45E-191B8075BC75}"/>
    <cellStyle name="Normal 18" xfId="29" xr:uid="{03D36984-7BB8-496A-811C-B1E1A88F80F9}"/>
    <cellStyle name="Normal 18 2" xfId="58" xr:uid="{B3E64BC5-2346-46EF-B1F7-E2E6399BE0A1}"/>
    <cellStyle name="Normal 19" xfId="30" xr:uid="{9B93265F-4FEE-4DF1-984E-2B0900292E47}"/>
    <cellStyle name="Normal 19 2" xfId="59" xr:uid="{F2319F12-E915-4EF2-9B84-58133167ACE5}"/>
    <cellStyle name="Normal 2" xfId="4" xr:uid="{00000000-0005-0000-0000-000004000000}"/>
    <cellStyle name="Normal 2 2" xfId="38" xr:uid="{B3D9280A-9AD3-4DDC-B902-A5D3F60ED960}"/>
    <cellStyle name="Normal 20" xfId="31" xr:uid="{FE1B0A7A-CE30-4B7D-A1DF-91C26DDB55A6}"/>
    <cellStyle name="Normal 20 2" xfId="60" xr:uid="{9A620CBC-B69F-4121-B937-A23804D94706}"/>
    <cellStyle name="Normal 21" xfId="32" xr:uid="{17D9F218-6ABD-4EA7-878B-63851BA29D38}"/>
    <cellStyle name="Normal 21 2" xfId="61" xr:uid="{E2DB5E32-5E48-42DF-9B11-D157CE3C5AC8}"/>
    <cellStyle name="Normal 22" xfId="34" xr:uid="{D2E1C726-B159-4D00-8138-7D3BB29DED1D}"/>
    <cellStyle name="Normal 23" xfId="33" xr:uid="{3E63C7FA-AE65-4A34-8078-1D6AEEEBB471}"/>
    <cellStyle name="Normal 24" xfId="62" xr:uid="{3329DF08-1E04-4E78-AC22-D4CD06D740FD}"/>
    <cellStyle name="Normal 25" xfId="63" xr:uid="{1C4CDD92-67C6-42EE-9F0E-286E4449DD8D}"/>
    <cellStyle name="Normal 26" xfId="64" xr:uid="{03D9AA62-2352-4A56-83B2-4D9E0BC6A07F}"/>
    <cellStyle name="Normal 27" xfId="65" xr:uid="{26C01A5A-551C-4672-ABA6-F591A0FB1AE2}"/>
    <cellStyle name="Normal 3" xfId="5" xr:uid="{68451AF1-3AC0-4C68-826B-719D982E6B73}"/>
    <cellStyle name="Normal 3 2" xfId="39" xr:uid="{96356F81-7010-48BF-9E4D-62F6600CA220}"/>
    <cellStyle name="Normal 4" xfId="14" xr:uid="{18AC0E9C-9C11-47C3-9464-9ADC9A07B9A9}"/>
    <cellStyle name="Normal 5" xfId="15" xr:uid="{77B9A56D-E4EE-489A-B706-C6C1976A6559}"/>
    <cellStyle name="Normal 5 2" xfId="44" xr:uid="{1384C5A0-E99C-485E-844B-0EF09FB2C54A}"/>
    <cellStyle name="Normal 6" xfId="16" xr:uid="{AD10008B-310E-4844-8D05-811413F3C6C5}"/>
    <cellStyle name="Normal 6 2" xfId="45" xr:uid="{B8F4AF01-E515-4507-B391-3C404FE60FD8}"/>
    <cellStyle name="Normal 7" xfId="17" xr:uid="{C38078E4-0C77-4C2A-A298-830030FE4680}"/>
    <cellStyle name="Normal 7 2" xfId="46" xr:uid="{4DE39A84-39DC-4CCF-B97B-FAB1E5944229}"/>
    <cellStyle name="Normal 8" xfId="18" xr:uid="{8BFEB0C3-E78F-445E-B673-ED8E46E1ACD1}"/>
    <cellStyle name="Normal 8 2" xfId="47" xr:uid="{B07FCCCD-A935-4B94-A3CF-206278C5ECBB}"/>
    <cellStyle name="Normal 9" xfId="19" xr:uid="{E15D894A-3584-4E62-AA63-00EC5D90E947}"/>
    <cellStyle name="Normal 9 2" xfId="48" xr:uid="{D35A8A58-3EE2-4578-9731-7F80D3612839}"/>
    <cellStyle name="常规 28" xfId="12" xr:uid="{C093DB11-75C5-43D9-B753-A583E6BEB4DE}"/>
    <cellStyle name="常规 33" xfId="13" xr:uid="{AED381DD-A83B-4F0C-8FF7-A4D3E43C3FB9}"/>
    <cellStyle name="常规 4 89" xfId="8" xr:uid="{E22BEC19-7549-46FA-9065-84CD351BAAEF}"/>
    <cellStyle name="常规 9 14" xfId="7" xr:uid="{DA343041-B534-4013-A1D9-CA829DC80B9C}"/>
  </cellStyles>
  <dxfs count="2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6AC6E"/>
      <color rgb="FFF49B52"/>
      <color rgb="FFF7B743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292554</xdr:colOff>
      <xdr:row>1</xdr:row>
      <xdr:rowOff>133351</xdr:rowOff>
    </xdr:from>
    <xdr:to>
      <xdr:col>7</xdr:col>
      <xdr:colOff>901390</xdr:colOff>
      <xdr:row>3</xdr:row>
      <xdr:rowOff>194688</xdr:rowOff>
    </xdr:to>
    <xdr:pic>
      <xdr:nvPicPr>
        <xdr:cNvPr id="5129" name="Imagen 1">
          <a:extLst>
            <a:ext uri="{FF2B5EF4-FFF2-40B4-BE49-F238E27FC236}">
              <a16:creationId xmlns:a16="http://schemas.microsoft.com/office/drawing/2014/main" id="{00000000-0008-0000-0000-000009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9804" y="260351"/>
          <a:ext cx="2040761" cy="8265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161925</xdr:colOff>
      <xdr:row>1</xdr:row>
      <xdr:rowOff>28576</xdr:rowOff>
    </xdr:from>
    <xdr:to>
      <xdr:col>3</xdr:col>
      <xdr:colOff>463709</xdr:colOff>
      <xdr:row>3</xdr:row>
      <xdr:rowOff>114300</xdr:rowOff>
    </xdr:to>
    <xdr:pic>
      <xdr:nvPicPr>
        <xdr:cNvPr id="5130" name="Imagen 2">
          <a:extLst>
            <a:ext uri="{FF2B5EF4-FFF2-40B4-BE49-F238E27FC236}">
              <a16:creationId xmlns:a16="http://schemas.microsoft.com/office/drawing/2014/main" id="{00000000-0008-0000-0000-00000A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7175" y="161926"/>
          <a:ext cx="2930684" cy="8667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669608</xdr:colOff>
      <xdr:row>0</xdr:row>
      <xdr:rowOff>181452</xdr:rowOff>
    </xdr:from>
    <xdr:to>
      <xdr:col>5</xdr:col>
      <xdr:colOff>106879</xdr:colOff>
      <xdr:row>4</xdr:row>
      <xdr:rowOff>130370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27458" y="181452"/>
          <a:ext cx="2111414" cy="825218"/>
        </a:xfrm>
        <a:prstGeom prst="rect">
          <a:avLst/>
        </a:prstGeom>
      </xdr:spPr>
    </xdr:pic>
    <xdr:clientData/>
  </xdr:twoCellAnchor>
  <xdr:twoCellAnchor editAs="oneCell">
    <xdr:from>
      <xdr:col>0</xdr:col>
      <xdr:colOff>209959</xdr:colOff>
      <xdr:row>0</xdr:row>
      <xdr:rowOff>172961</xdr:rowOff>
    </xdr:from>
    <xdr:to>
      <xdr:col>1</xdr:col>
      <xdr:colOff>2373710</xdr:colOff>
      <xdr:row>4</xdr:row>
      <xdr:rowOff>128274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959" y="172961"/>
          <a:ext cx="2770970" cy="812563"/>
        </a:xfrm>
        <a:prstGeom prst="rect">
          <a:avLst/>
        </a:prstGeom>
      </xdr:spPr>
    </xdr:pic>
    <xdr:clientData/>
  </xdr:twoCellAnchor>
  <xdr:oneCellAnchor>
    <xdr:from>
      <xdr:col>3</xdr:col>
      <xdr:colOff>669608</xdr:colOff>
      <xdr:row>0</xdr:row>
      <xdr:rowOff>181452</xdr:rowOff>
    </xdr:from>
    <xdr:ext cx="2108928" cy="818592"/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08458" y="181452"/>
          <a:ext cx="2108928" cy="818592"/>
        </a:xfrm>
        <a:prstGeom prst="rect">
          <a:avLst/>
        </a:prstGeom>
      </xdr:spPr>
    </xdr:pic>
    <xdr:clientData/>
  </xdr:oneCellAnchor>
  <xdr:oneCellAnchor>
    <xdr:from>
      <xdr:col>0</xdr:col>
      <xdr:colOff>209959</xdr:colOff>
      <xdr:row>0</xdr:row>
      <xdr:rowOff>182486</xdr:rowOff>
    </xdr:from>
    <xdr:ext cx="2745086" cy="824987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959" y="182486"/>
          <a:ext cx="2745086" cy="824987"/>
        </a:xfrm>
        <a:prstGeom prst="rect">
          <a:avLst/>
        </a:prstGeom>
      </xdr:spPr>
    </xdr:pic>
    <xdr:clientData/>
  </xdr:oneCellAnchor>
  <xdr:oneCellAnchor>
    <xdr:from>
      <xdr:col>3</xdr:col>
      <xdr:colOff>593408</xdr:colOff>
      <xdr:row>1</xdr:row>
      <xdr:rowOff>10002</xdr:rowOff>
    </xdr:from>
    <xdr:ext cx="2108928" cy="818592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283" y="229077"/>
          <a:ext cx="2108928" cy="818592"/>
        </a:xfrm>
        <a:prstGeom prst="rect">
          <a:avLst/>
        </a:prstGeom>
      </xdr:spPr>
    </xdr:pic>
    <xdr:clientData/>
  </xdr:oneCellAnchor>
  <xdr:oneCellAnchor>
    <xdr:from>
      <xdr:col>0</xdr:col>
      <xdr:colOff>209959</xdr:colOff>
      <xdr:row>0</xdr:row>
      <xdr:rowOff>182486</xdr:rowOff>
    </xdr:from>
    <xdr:ext cx="2745086" cy="824987"/>
    <xdr:pic>
      <xdr:nvPicPr>
        <xdr:cNvPr id="8" name="Imagen 7">
          <a:extLst>
            <a:ext uri="{FF2B5EF4-FFF2-40B4-BE49-F238E27FC236}">
              <a16:creationId xmlns:a16="http://schemas.microsoft.com/office/drawing/2014/main" id="{7EE39C65-BDC5-4447-9B94-3BA982F900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959" y="182486"/>
          <a:ext cx="2745086" cy="824987"/>
        </a:xfrm>
        <a:prstGeom prst="rect">
          <a:avLst/>
        </a:prstGeom>
      </xdr:spPr>
    </xdr:pic>
    <xdr:clientData/>
  </xdr:oneCellAnchor>
  <xdr:oneCellAnchor>
    <xdr:from>
      <xdr:col>3</xdr:col>
      <xdr:colOff>593408</xdr:colOff>
      <xdr:row>1</xdr:row>
      <xdr:rowOff>10002</xdr:rowOff>
    </xdr:from>
    <xdr:ext cx="2108928" cy="818592"/>
    <xdr:pic>
      <xdr:nvPicPr>
        <xdr:cNvPr id="9" name="Imagen 8">
          <a:extLst>
            <a:ext uri="{FF2B5EF4-FFF2-40B4-BE49-F238E27FC236}">
              <a16:creationId xmlns:a16="http://schemas.microsoft.com/office/drawing/2014/main" id="{960FA8BA-7566-42B6-822A-DD0E2DC5D3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283" y="229077"/>
          <a:ext cx="2108928" cy="818592"/>
        </a:xfrm>
        <a:prstGeom prst="rect">
          <a:avLst/>
        </a:prstGeom>
      </xdr:spPr>
    </xdr:pic>
    <xdr:clientData/>
  </xdr:oneCellAnchor>
  <xdr:oneCellAnchor>
    <xdr:from>
      <xdr:col>3</xdr:col>
      <xdr:colOff>841058</xdr:colOff>
      <xdr:row>1</xdr:row>
      <xdr:rowOff>10002</xdr:rowOff>
    </xdr:from>
    <xdr:ext cx="2108928" cy="818592"/>
    <xdr:pic>
      <xdr:nvPicPr>
        <xdr:cNvPr id="10" name="Imagen 9">
          <a:extLst>
            <a:ext uri="{FF2B5EF4-FFF2-40B4-BE49-F238E27FC236}">
              <a16:creationId xmlns:a16="http://schemas.microsoft.com/office/drawing/2014/main" id="{678D4728-E43D-48A8-A05F-8A9B86B0B2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9933" y="229077"/>
          <a:ext cx="2108928" cy="818592"/>
        </a:xfrm>
        <a:prstGeom prst="rect">
          <a:avLst/>
        </a:prstGeom>
      </xdr:spPr>
    </xdr:pic>
    <xdr:clientData/>
  </xdr:oneCellAnchor>
  <xdr:twoCellAnchor editAs="oneCell">
    <xdr:from>
      <xdr:col>0</xdr:col>
      <xdr:colOff>85725</xdr:colOff>
      <xdr:row>0</xdr:row>
      <xdr:rowOff>85725</xdr:rowOff>
    </xdr:from>
    <xdr:to>
      <xdr:col>1</xdr:col>
      <xdr:colOff>2571750</xdr:colOff>
      <xdr:row>4</xdr:row>
      <xdr:rowOff>188900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D4D9DAD2-1530-4242-9726-530FD90D0A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" y="85725"/>
          <a:ext cx="3095625" cy="979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841058</xdr:colOff>
      <xdr:row>1</xdr:row>
      <xdr:rowOff>10002</xdr:rowOff>
    </xdr:from>
    <xdr:ext cx="2108928" cy="818592"/>
    <xdr:pic>
      <xdr:nvPicPr>
        <xdr:cNvPr id="12" name="Imagen 11">
          <a:extLst>
            <a:ext uri="{FF2B5EF4-FFF2-40B4-BE49-F238E27FC236}">
              <a16:creationId xmlns:a16="http://schemas.microsoft.com/office/drawing/2014/main" id="{37F672A9-D364-4CDE-B674-E01F7B2C2F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27558" y="229077"/>
          <a:ext cx="2108928" cy="818592"/>
        </a:xfrm>
        <a:prstGeom prst="rect">
          <a:avLst/>
        </a:prstGeom>
      </xdr:spPr>
    </xdr:pic>
    <xdr:clientData/>
  </xdr:oneCellAnchor>
  <xdr:twoCellAnchor editAs="oneCell">
    <xdr:from>
      <xdr:col>0</xdr:col>
      <xdr:colOff>85725</xdr:colOff>
      <xdr:row>0</xdr:row>
      <xdr:rowOff>85725</xdr:rowOff>
    </xdr:from>
    <xdr:to>
      <xdr:col>1</xdr:col>
      <xdr:colOff>2571750</xdr:colOff>
      <xdr:row>4</xdr:row>
      <xdr:rowOff>188900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F46DF01B-13E0-4BF4-A655-806E67D53E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" y="85725"/>
          <a:ext cx="3095625" cy="979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cordobabulonessa.com.ar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6">
    <pageSetUpPr fitToPage="1"/>
  </sheetPr>
  <dimension ref="A1:Q1048575"/>
  <sheetViews>
    <sheetView windowProtection="1" showGridLines="0" tabSelected="1" showRuler="0" view="pageBreakPreview" zoomScale="41" zoomScaleNormal="110" zoomScaleSheetLayoutView="41" zoomScalePageLayoutView="110" workbookViewId="0">
      <pane ySplit="23" topLeftCell="A24" activePane="bottomLeft" state="frozen"/>
      <selection activeCell="H447" sqref="H447"/>
      <selection pane="bottomLeft" activeCell="J14" sqref="J14"/>
    </sheetView>
  </sheetViews>
  <sheetFormatPr baseColWidth="10" defaultColWidth="10.625" defaultRowHeight="25.5" customHeight="1"/>
  <cols>
    <col min="1" max="1" width="1.125" style="3" customWidth="1"/>
    <col min="2" max="2" width="17.5" style="27" customWidth="1"/>
    <col min="3" max="3" width="17" style="140" customWidth="1"/>
    <col min="4" max="5" width="17" style="91" customWidth="1"/>
    <col min="6" max="6" width="43.75" style="3" customWidth="1"/>
    <col min="7" max="7" width="19" style="3" customWidth="1"/>
    <col min="8" max="8" width="24.625" style="46" customWidth="1"/>
    <col min="9" max="9" width="25.25" style="47" bestFit="1" customWidth="1"/>
    <col min="10" max="10" width="24.125" style="48" customWidth="1"/>
    <col min="11" max="11" width="24.375" style="95" customWidth="1"/>
    <col min="12" max="12" width="24.25" style="48" customWidth="1"/>
    <col min="13" max="13" width="33.375" style="48" bestFit="1" customWidth="1"/>
    <col min="14" max="14" width="22" style="91" customWidth="1"/>
    <col min="15" max="16" width="24.375" style="153" customWidth="1"/>
    <col min="17" max="17" width="22" style="91" customWidth="1"/>
    <col min="18" max="16384" width="10.625" style="3"/>
  </cols>
  <sheetData>
    <row r="1" spans="1:16" ht="10.35" customHeight="1">
      <c r="B1" s="7"/>
      <c r="C1" s="7"/>
      <c r="D1" s="3"/>
      <c r="E1" s="3"/>
    </row>
    <row r="2" spans="1:16" ht="25.35" customHeight="1">
      <c r="B2" s="8"/>
      <c r="C2" s="8"/>
      <c r="D2" s="39"/>
      <c r="E2" s="39"/>
      <c r="F2" s="40"/>
      <c r="G2" s="39"/>
      <c r="H2" s="169" t="s">
        <v>4456</v>
      </c>
      <c r="I2" s="169"/>
      <c r="J2" s="169"/>
      <c r="K2" s="96"/>
      <c r="L2" s="142"/>
      <c r="M2" s="142"/>
      <c r="O2" s="154"/>
      <c r="P2" s="154"/>
    </row>
    <row r="3" spans="1:16" ht="36">
      <c r="B3" s="4"/>
      <c r="C3" s="8"/>
      <c r="D3" s="41"/>
      <c r="E3" s="41"/>
      <c r="F3" s="1"/>
      <c r="G3" s="42"/>
      <c r="H3" s="49"/>
      <c r="I3" s="115" t="s">
        <v>3665</v>
      </c>
      <c r="J3" s="115">
        <f ca="1">RANDBETWEEN(1,1000)</f>
        <v>487</v>
      </c>
      <c r="K3" s="97"/>
      <c r="L3" s="142"/>
      <c r="M3" s="142"/>
      <c r="O3" s="49"/>
      <c r="P3" s="49"/>
    </row>
    <row r="4" spans="1:16" ht="27" customHeight="1">
      <c r="B4" s="8"/>
      <c r="C4" s="8"/>
      <c r="D4" s="41"/>
      <c r="E4" s="41"/>
      <c r="F4" s="2"/>
      <c r="G4" s="43"/>
      <c r="H4" s="50"/>
      <c r="I4" s="111" t="s">
        <v>3666</v>
      </c>
      <c r="J4" s="112">
        <f ca="1">NOW()</f>
        <v>46183.452740162036</v>
      </c>
      <c r="K4" s="98"/>
      <c r="L4" s="143"/>
      <c r="M4" s="144"/>
      <c r="O4" s="155"/>
      <c r="P4" s="155"/>
    </row>
    <row r="5" spans="1:16" ht="17.25" customHeight="1">
      <c r="B5" s="81" t="s">
        <v>0</v>
      </c>
      <c r="C5" s="82"/>
      <c r="D5" s="83"/>
      <c r="E5" s="83"/>
      <c r="F5" s="84"/>
      <c r="G5" s="44"/>
      <c r="H5" s="169"/>
      <c r="I5" s="169"/>
      <c r="J5" s="169"/>
      <c r="K5" s="96"/>
      <c r="L5" s="142"/>
      <c r="M5" s="142"/>
      <c r="O5" s="154"/>
      <c r="P5" s="154"/>
    </row>
    <row r="6" spans="1:16" ht="17.25" customHeight="1">
      <c r="B6" s="81" t="s">
        <v>1</v>
      </c>
      <c r="C6" s="82"/>
      <c r="D6" s="83"/>
      <c r="E6" s="83" t="s">
        <v>466</v>
      </c>
      <c r="F6" s="84"/>
      <c r="G6" s="22"/>
      <c r="H6" s="50"/>
      <c r="I6" s="51"/>
      <c r="J6" s="52"/>
      <c r="K6" s="99"/>
      <c r="L6" s="52"/>
      <c r="M6" s="52"/>
      <c r="O6" s="156"/>
      <c r="P6" s="156"/>
    </row>
    <row r="7" spans="1:16" ht="17.25" customHeight="1">
      <c r="B7" s="81" t="s">
        <v>2</v>
      </c>
      <c r="C7" s="82"/>
      <c r="D7" s="83"/>
      <c r="E7" s="84" t="s">
        <v>464</v>
      </c>
      <c r="F7" s="84"/>
      <c r="G7" s="22"/>
      <c r="H7" s="50"/>
      <c r="I7" s="51"/>
      <c r="J7" s="53"/>
      <c r="K7" s="100"/>
      <c r="L7" s="53"/>
      <c r="M7" s="53"/>
      <c r="O7" s="157"/>
      <c r="P7" s="157"/>
    </row>
    <row r="8" spans="1:16" ht="17.25" customHeight="1" thickBot="1">
      <c r="B8" s="81" t="s">
        <v>3</v>
      </c>
      <c r="C8" s="82"/>
      <c r="D8" s="83"/>
      <c r="E8" s="85" t="s">
        <v>465</v>
      </c>
      <c r="F8" s="83"/>
      <c r="G8" s="50"/>
      <c r="H8" s="170"/>
      <c r="I8" s="170"/>
      <c r="J8" s="80"/>
      <c r="K8" s="100"/>
      <c r="L8" s="145"/>
      <c r="M8" s="145"/>
      <c r="O8" s="157"/>
      <c r="P8" s="157"/>
    </row>
    <row r="9" spans="1:16" ht="39.75" customHeight="1" thickBot="1">
      <c r="A9" s="113"/>
      <c r="B9" s="118" t="s">
        <v>4</v>
      </c>
      <c r="C9" s="116"/>
      <c r="D9" s="171"/>
      <c r="E9" s="171"/>
      <c r="F9" s="114" t="str">
        <f>IFERROR(VLOOKUP($D9,nomina!$A:$O,3,FALSE),"")</f>
        <v/>
      </c>
      <c r="G9" s="65"/>
      <c r="H9" s="67"/>
      <c r="I9" s="126" t="s">
        <v>3610</v>
      </c>
      <c r="J9" s="122">
        <f>SUMIF(N24:N501,0.21,J24:J501)</f>
        <v>0</v>
      </c>
      <c r="K9" s="100"/>
      <c r="L9" s="145"/>
      <c r="M9" s="146"/>
      <c r="O9" s="157"/>
      <c r="P9" s="157"/>
    </row>
    <row r="10" spans="1:16" ht="39.75" customHeight="1" thickBot="1">
      <c r="A10" s="65"/>
      <c r="B10" s="117" t="s">
        <v>3326</v>
      </c>
      <c r="C10" s="117" t="str">
        <f>IFERROR(VLOOKUP($D$9,nomina!$A:$J,7,FALSE),"")</f>
        <v/>
      </c>
      <c r="D10" s="119"/>
      <c r="E10" s="119"/>
      <c r="F10" s="120" t="s">
        <v>467</v>
      </c>
      <c r="G10" s="66" t="str">
        <f>IFERROR(VLOOKUP($D9,nomina!A:N,2,FALSE),"")</f>
        <v/>
      </c>
      <c r="H10" s="67"/>
      <c r="I10" s="126" t="s">
        <v>3609</v>
      </c>
      <c r="J10" s="122">
        <f ca="1">SUMIF(N24:N499,0.105,J24:J498)</f>
        <v>0</v>
      </c>
      <c r="K10" s="100"/>
      <c r="L10" s="145"/>
      <c r="M10" s="146"/>
      <c r="O10" s="157"/>
      <c r="P10" s="157"/>
    </row>
    <row r="11" spans="1:16" ht="42" customHeight="1" thickBot="1">
      <c r="B11" s="117" t="s">
        <v>3327</v>
      </c>
      <c r="C11" s="117" t="str">
        <f>IFERROR(VLOOKUP($D$9,nomina!$A:$J,8,FALSE),"")</f>
        <v/>
      </c>
      <c r="D11" s="117"/>
      <c r="E11" s="117"/>
      <c r="F11" s="120" t="s">
        <v>468</v>
      </c>
      <c r="G11" s="66" t="str">
        <f>IFERROR(VLOOKUP($D9,nomina!$A:$O,4,FALSE),"")</f>
        <v/>
      </c>
      <c r="H11" s="87"/>
      <c r="I11" s="124">
        <v>0.21</v>
      </c>
      <c r="J11" s="123">
        <f>(J9*0.21)</f>
        <v>0</v>
      </c>
      <c r="K11" s="100"/>
      <c r="L11" s="145"/>
      <c r="M11" s="147"/>
      <c r="O11" s="157"/>
      <c r="P11" s="157"/>
    </row>
    <row r="12" spans="1:16" ht="42" customHeight="1" thickBot="1">
      <c r="B12" s="117" t="s">
        <v>3541</v>
      </c>
      <c r="C12" s="117" t="str">
        <f>IFERROR(VLOOKUP(D9,nomina!A:N,5,FALSE)," ")</f>
        <v xml:space="preserve"> </v>
      </c>
      <c r="D12" s="117"/>
      <c r="E12" s="117"/>
      <c r="F12" s="120"/>
      <c r="G12" s="66"/>
      <c r="H12" s="87"/>
      <c r="I12" s="125">
        <v>0.105</v>
      </c>
      <c r="J12" s="123">
        <f ca="1">(J10*0.105)</f>
        <v>0</v>
      </c>
      <c r="K12" s="100"/>
      <c r="L12" s="145"/>
      <c r="M12" s="147"/>
      <c r="O12" s="157"/>
      <c r="P12" s="157"/>
    </row>
    <row r="13" spans="1:16" ht="42" customHeight="1" thickBot="1">
      <c r="B13" s="117" t="s">
        <v>3328</v>
      </c>
      <c r="C13" s="117" t="str">
        <f>IFERROR(VLOOKUP($D$9,nomina!$A:$J,6,FALSE),"")</f>
        <v/>
      </c>
      <c r="D13" s="117"/>
      <c r="E13" s="117"/>
      <c r="F13" s="120"/>
      <c r="G13" s="66"/>
      <c r="H13" s="87"/>
      <c r="I13" s="127" t="s">
        <v>1997</v>
      </c>
      <c r="J13" s="123">
        <f ca="1">SUM(J9:J12)</f>
        <v>0</v>
      </c>
      <c r="K13" s="100"/>
      <c r="L13" s="145"/>
      <c r="M13" s="147"/>
      <c r="O13" s="157"/>
      <c r="P13" s="157"/>
    </row>
    <row r="14" spans="1:16" ht="42" customHeight="1">
      <c r="B14" s="66"/>
      <c r="C14" s="66"/>
      <c r="D14" s="66"/>
      <c r="E14" s="66"/>
      <c r="F14" s="66"/>
      <c r="G14" s="66"/>
      <c r="H14" s="70"/>
      <c r="I14" s="68"/>
      <c r="J14" s="71"/>
      <c r="K14" s="100"/>
      <c r="L14" s="147"/>
      <c r="M14" s="147"/>
      <c r="O14" s="157"/>
      <c r="P14" s="157"/>
    </row>
    <row r="15" spans="1:16" ht="42" customHeight="1">
      <c r="B15" s="66"/>
      <c r="C15" s="66"/>
      <c r="D15" s="66"/>
      <c r="E15" s="66"/>
      <c r="F15" s="121" t="s">
        <v>3664</v>
      </c>
      <c r="G15" s="165" t="str">
        <f>IFERROR(VLOOKUP($D$9,nomina!A:O,15,FALSE),"")</f>
        <v/>
      </c>
      <c r="H15" s="76"/>
      <c r="I15" s="86"/>
      <c r="J15" s="71"/>
      <c r="K15" s="101"/>
      <c r="L15" s="147"/>
      <c r="M15" s="147"/>
      <c r="O15" s="146"/>
      <c r="P15" s="146"/>
    </row>
    <row r="16" spans="1:16" ht="21">
      <c r="B16" s="66"/>
      <c r="C16" s="66" t="str">
        <f>IFERROR(VLOOKUP(D9,nomina!#REF!,12,FALSE),"")</f>
        <v/>
      </c>
      <c r="D16" s="66"/>
      <c r="E16" s="66"/>
      <c r="F16" s="66"/>
      <c r="G16" s="69"/>
      <c r="H16" s="68"/>
      <c r="I16" s="68"/>
      <c r="J16" s="71"/>
      <c r="K16" s="101"/>
      <c r="L16" s="147"/>
      <c r="M16" s="147"/>
      <c r="O16" s="146"/>
      <c r="P16" s="146"/>
    </row>
    <row r="17" spans="2:17" ht="15.75">
      <c r="B17" s="10"/>
      <c r="C17" s="10"/>
      <c r="D17" s="10"/>
      <c r="E17" s="10"/>
      <c r="F17" s="10"/>
      <c r="G17" s="45"/>
      <c r="H17" s="56"/>
      <c r="I17" s="57"/>
      <c r="J17" s="58"/>
      <c r="K17" s="102"/>
      <c r="L17" s="58"/>
      <c r="M17" s="58"/>
      <c r="N17" s="58"/>
      <c r="O17" s="158"/>
      <c r="P17" s="158"/>
    </row>
    <row r="18" spans="2:17" ht="38.25" customHeight="1">
      <c r="B18" s="72"/>
      <c r="C18" s="72"/>
      <c r="D18" s="72"/>
      <c r="E18" s="72"/>
      <c r="F18" s="73"/>
      <c r="G18" s="72"/>
      <c r="H18" s="74"/>
      <c r="I18" s="74"/>
      <c r="J18" s="75"/>
      <c r="K18" s="103"/>
      <c r="L18" s="75"/>
      <c r="M18" s="75"/>
      <c r="N18" s="75"/>
      <c r="O18" s="159"/>
      <c r="P18" s="159"/>
    </row>
    <row r="19" spans="2:17" ht="38.25" customHeight="1">
      <c r="B19" s="72"/>
      <c r="C19" s="72"/>
      <c r="D19" s="72"/>
      <c r="E19" s="72"/>
      <c r="F19" s="72"/>
      <c r="G19" s="72"/>
      <c r="H19" s="74"/>
      <c r="I19" s="74"/>
      <c r="J19" s="75"/>
      <c r="K19" s="103"/>
      <c r="L19" s="75"/>
      <c r="M19" s="75"/>
      <c r="N19" s="75"/>
      <c r="O19" s="159"/>
      <c r="P19" s="159"/>
    </row>
    <row r="20" spans="2:17" ht="29.25" customHeight="1">
      <c r="B20" s="10"/>
      <c r="C20" s="10"/>
      <c r="D20" s="10"/>
      <c r="E20" s="10"/>
      <c r="F20" s="128" t="s">
        <v>463</v>
      </c>
      <c r="G20" s="77"/>
      <c r="H20" s="166" t="str">
        <f>IFERROR(VLOOKUP($D$9,nomina!A:O,14,FALSE),"")</f>
        <v/>
      </c>
      <c r="I20" s="129">
        <v>18</v>
      </c>
      <c r="J20" s="59"/>
      <c r="K20" s="104"/>
      <c r="L20" s="59"/>
      <c r="M20" s="59"/>
      <c r="N20" s="59"/>
      <c r="O20" s="59"/>
      <c r="P20" s="59"/>
    </row>
    <row r="21" spans="2:17" ht="29.25" customHeight="1">
      <c r="B21" s="10"/>
      <c r="C21" s="10"/>
      <c r="D21" s="10"/>
      <c r="E21" s="10"/>
      <c r="F21" s="128" t="s">
        <v>3329</v>
      </c>
      <c r="G21" s="77"/>
      <c r="H21" s="129"/>
      <c r="I21" s="129"/>
      <c r="J21" s="59"/>
      <c r="K21" s="104"/>
      <c r="L21" s="59"/>
      <c r="M21" s="59"/>
      <c r="N21" s="59"/>
      <c r="O21" s="59"/>
      <c r="P21" s="59"/>
    </row>
    <row r="22" spans="2:17" ht="15.75">
      <c r="B22" s="9"/>
      <c r="C22" s="9"/>
      <c r="D22" s="9"/>
      <c r="E22" s="9"/>
      <c r="F22" s="9"/>
      <c r="G22" s="9"/>
      <c r="H22" s="54"/>
      <c r="I22" s="54"/>
      <c r="J22" s="55"/>
      <c r="K22" s="105"/>
      <c r="L22" s="55"/>
      <c r="M22" s="55"/>
      <c r="N22" s="92"/>
      <c r="O22" s="160"/>
      <c r="P22" s="160"/>
    </row>
    <row r="23" spans="2:17" s="79" customFormat="1" ht="59.25" customHeight="1">
      <c r="B23" s="89" t="s">
        <v>1998</v>
      </c>
      <c r="C23" s="167" t="s">
        <v>1999</v>
      </c>
      <c r="D23" s="168"/>
      <c r="E23" s="168"/>
      <c r="F23" s="90" t="s">
        <v>1993</v>
      </c>
      <c r="G23" s="90" t="s">
        <v>1994</v>
      </c>
      <c r="H23" s="78" t="s">
        <v>1995</v>
      </c>
      <c r="I23" s="78" t="s">
        <v>1996</v>
      </c>
      <c r="J23" s="78" t="s">
        <v>3325</v>
      </c>
      <c r="K23" s="106" t="s">
        <v>3608</v>
      </c>
      <c r="L23" s="78" t="s">
        <v>4298</v>
      </c>
      <c r="M23" s="78" t="s">
        <v>4299</v>
      </c>
      <c r="N23" s="90" t="s">
        <v>3554</v>
      </c>
      <c r="O23" s="78" t="s">
        <v>4300</v>
      </c>
      <c r="P23" s="78" t="s">
        <v>4301</v>
      </c>
      <c r="Q23" s="93"/>
    </row>
    <row r="24" spans="2:17" ht="52.5" customHeight="1">
      <c r="B24" s="23"/>
      <c r="C24" s="137"/>
      <c r="D24" s="108"/>
      <c r="E24" s="109"/>
      <c r="F24" s="60" t="str">
        <f>IFERROR(VLOOKUP(B24,TOLSEN!A:D,3,FALSE),"0")</f>
        <v>0</v>
      </c>
      <c r="G24" s="61" t="str">
        <f>IFERROR(VLOOKUP(B24,TOLSEN!A:D,4,FALSE),"0")</f>
        <v>0</v>
      </c>
      <c r="H24" s="62" t="str">
        <f>IFERROR(VLOOKUP(B24,TOLSEN!A:K,6,FALSE),"0")</f>
        <v>0</v>
      </c>
      <c r="I24" s="62" t="str">
        <f>IFERROR(VLOOKUP(B24,TOLSEN!A:AC,7,FALSE),"0")</f>
        <v>0</v>
      </c>
      <c r="J24" s="63">
        <f t="shared" ref="J24:J87" si="0">(I24*C24)</f>
        <v>0</v>
      </c>
      <c r="K24" s="107" t="e">
        <f t="shared" ref="K24:K87" si="1">(J24*(1+N24))</f>
        <v>#VALUE!</v>
      </c>
      <c r="L24" s="148">
        <f>IFERROR(VLOOKUP($B24,TOLSEN!A:I,8,FALSE),0)</f>
        <v>0</v>
      </c>
      <c r="M24" s="148">
        <f>IFERROR(VLOOKUP($B24,TOLSEN!A:K,9,FALSE),0)</f>
        <v>0</v>
      </c>
      <c r="N24" s="94" t="str">
        <f>IFERROR(VLOOKUP(B24,TOLSEN!A:K,5,FALSE)," ")</f>
        <v xml:space="preserve"> </v>
      </c>
      <c r="O24" s="161" t="str">
        <f>IFERROR(VLOOKUP($B24,TOLSEN!$A:$K,10,FALSE)," ")</f>
        <v xml:space="preserve"> </v>
      </c>
      <c r="P24" s="161" t="str">
        <f>IFERROR(VLOOKUP($B24,TOLSEN!$A:$K,11,FALSE)," ")</f>
        <v xml:space="preserve"> </v>
      </c>
    </row>
    <row r="25" spans="2:17" ht="52.5" customHeight="1">
      <c r="B25" s="23"/>
      <c r="C25" s="137"/>
      <c r="D25" s="108"/>
      <c r="E25" s="109"/>
      <c r="F25" s="60" t="str">
        <f>IFERROR(VLOOKUP(B25,TOLSEN!A:D,3,FALSE),"0")</f>
        <v>0</v>
      </c>
      <c r="G25" s="61" t="str">
        <f>IFERROR(VLOOKUP(B25,TOLSEN!A:D,4,FALSE),"0")</f>
        <v>0</v>
      </c>
      <c r="H25" s="62" t="str">
        <f>IFERROR(VLOOKUP(B25,TOLSEN!A:K,6,FALSE),"0")</f>
        <v>0</v>
      </c>
      <c r="I25" s="62" t="str">
        <f>IFERROR(VLOOKUP(B25,TOLSEN!A:AC,7,FALSE),"0")</f>
        <v>0</v>
      </c>
      <c r="J25" s="63">
        <f t="shared" si="0"/>
        <v>0</v>
      </c>
      <c r="K25" s="107" t="e">
        <f t="shared" si="1"/>
        <v>#VALUE!</v>
      </c>
      <c r="L25" s="148">
        <f>IFERROR(VLOOKUP($B25,TOLSEN!A:I,8,FALSE),0)</f>
        <v>0</v>
      </c>
      <c r="M25" s="148">
        <f>IFERROR(VLOOKUP($B25,TOLSEN!A:K,9,FALSE),0)</f>
        <v>0</v>
      </c>
      <c r="N25" s="94" t="str">
        <f>IFERROR(VLOOKUP(B25,TOLSEN!A:K,5,FALSE)," ")</f>
        <v xml:space="preserve"> </v>
      </c>
      <c r="O25" s="161" t="str">
        <f>IFERROR(VLOOKUP($B25,TOLSEN!$A:$K,10,FALSE)," ")</f>
        <v xml:space="preserve"> </v>
      </c>
      <c r="P25" s="161" t="str">
        <f>IFERROR(VLOOKUP($B25,TOLSEN!$A:$K,11,FALSE)," ")</f>
        <v xml:space="preserve"> </v>
      </c>
    </row>
    <row r="26" spans="2:17" ht="52.5" customHeight="1">
      <c r="B26" s="23"/>
      <c r="C26" s="137"/>
      <c r="D26" s="108"/>
      <c r="E26" s="109"/>
      <c r="F26" s="60" t="str">
        <f>IFERROR(VLOOKUP(B26,TOLSEN!A:D,3,FALSE),"0")</f>
        <v>0</v>
      </c>
      <c r="G26" s="61" t="str">
        <f>IFERROR(VLOOKUP(B26,TOLSEN!A:D,4,FALSE),"0")</f>
        <v>0</v>
      </c>
      <c r="H26" s="62" t="str">
        <f>IFERROR(VLOOKUP(B26,TOLSEN!A:K,6,FALSE),"0")</f>
        <v>0</v>
      </c>
      <c r="I26" s="62" t="str">
        <f>IFERROR(VLOOKUP(B26,TOLSEN!A:AC,7,FALSE),"0")</f>
        <v>0</v>
      </c>
      <c r="J26" s="63">
        <f t="shared" si="0"/>
        <v>0</v>
      </c>
      <c r="K26" s="107" t="e">
        <f t="shared" si="1"/>
        <v>#VALUE!</v>
      </c>
      <c r="L26" s="148">
        <f>IFERROR(VLOOKUP($B26,TOLSEN!A:I,8,FALSE),0)</f>
        <v>0</v>
      </c>
      <c r="M26" s="148">
        <f>IFERROR(VLOOKUP($B26,TOLSEN!A:K,9,FALSE),0)</f>
        <v>0</v>
      </c>
      <c r="N26" s="94" t="str">
        <f>IFERROR(VLOOKUP(B26,TOLSEN!A:K,5,FALSE)," ")</f>
        <v xml:space="preserve"> </v>
      </c>
      <c r="O26" s="161" t="str">
        <f>IFERROR(VLOOKUP($B26,TOLSEN!$A:$K,10,FALSE)," ")</f>
        <v xml:space="preserve"> </v>
      </c>
      <c r="P26" s="161" t="str">
        <f>IFERROR(VLOOKUP($B26,TOLSEN!$A:$K,11,FALSE)," ")</f>
        <v xml:space="preserve"> </v>
      </c>
    </row>
    <row r="27" spans="2:17" ht="52.5" customHeight="1">
      <c r="B27" s="23"/>
      <c r="C27" s="137"/>
      <c r="D27" s="108"/>
      <c r="E27" s="109"/>
      <c r="F27" s="60" t="str">
        <f>IFERROR(VLOOKUP(B27,TOLSEN!A:D,3,FALSE),"0")</f>
        <v>0</v>
      </c>
      <c r="G27" s="61" t="str">
        <f>IFERROR(VLOOKUP(B27,TOLSEN!A:D,4,FALSE),"0")</f>
        <v>0</v>
      </c>
      <c r="H27" s="62" t="str">
        <f>IFERROR(VLOOKUP(B27,TOLSEN!A:K,6,FALSE),"0")</f>
        <v>0</v>
      </c>
      <c r="I27" s="62" t="str">
        <f>IFERROR(VLOOKUP(B27,TOLSEN!A:AC,7,FALSE),"0")</f>
        <v>0</v>
      </c>
      <c r="J27" s="63">
        <f t="shared" si="0"/>
        <v>0</v>
      </c>
      <c r="K27" s="107" t="e">
        <f t="shared" si="1"/>
        <v>#VALUE!</v>
      </c>
      <c r="L27" s="148">
        <f>IFERROR(VLOOKUP($B27,TOLSEN!A:I,8,FALSE),0)</f>
        <v>0</v>
      </c>
      <c r="M27" s="148">
        <f>IFERROR(VLOOKUP($B27,TOLSEN!A:K,9,FALSE),0)</f>
        <v>0</v>
      </c>
      <c r="N27" s="94" t="str">
        <f>IFERROR(VLOOKUP(B27,TOLSEN!A:K,5,FALSE)," ")</f>
        <v xml:space="preserve"> </v>
      </c>
      <c r="O27" s="161" t="str">
        <f>IFERROR(VLOOKUP($B27,TOLSEN!$A:$K,10,FALSE)," ")</f>
        <v xml:space="preserve"> </v>
      </c>
      <c r="P27" s="161" t="str">
        <f>IFERROR(VLOOKUP($B27,TOLSEN!$A:$K,11,FALSE)," ")</f>
        <v xml:space="preserve"> </v>
      </c>
    </row>
    <row r="28" spans="2:17" ht="52.5" customHeight="1">
      <c r="B28" s="23"/>
      <c r="C28" s="137"/>
      <c r="D28" s="108"/>
      <c r="E28" s="109"/>
      <c r="F28" s="60" t="str">
        <f>IFERROR(VLOOKUP(B28,TOLSEN!A:D,3,FALSE),"0")</f>
        <v>0</v>
      </c>
      <c r="G28" s="61" t="str">
        <f>IFERROR(VLOOKUP(B28,TOLSEN!A:D,4,FALSE),"0")</f>
        <v>0</v>
      </c>
      <c r="H28" s="62" t="str">
        <f>IFERROR(VLOOKUP(B28,TOLSEN!A:K,6,FALSE),"0")</f>
        <v>0</v>
      </c>
      <c r="I28" s="62" t="str">
        <f>IFERROR(VLOOKUP(B28,TOLSEN!A:AC,7,FALSE),"0")</f>
        <v>0</v>
      </c>
      <c r="J28" s="63">
        <f t="shared" si="0"/>
        <v>0</v>
      </c>
      <c r="K28" s="107" t="e">
        <f t="shared" si="1"/>
        <v>#VALUE!</v>
      </c>
      <c r="L28" s="148">
        <f>IFERROR(VLOOKUP($B28,TOLSEN!A:I,8,FALSE),0)</f>
        <v>0</v>
      </c>
      <c r="M28" s="148">
        <f>IFERROR(VLOOKUP($B28,TOLSEN!A:K,9,FALSE),0)</f>
        <v>0</v>
      </c>
      <c r="N28" s="94" t="str">
        <f>IFERROR(VLOOKUP(B28,TOLSEN!A:K,5,FALSE)," ")</f>
        <v xml:space="preserve"> </v>
      </c>
      <c r="O28" s="161" t="str">
        <f>IFERROR(VLOOKUP($B28,TOLSEN!$A:$K,10,FALSE)," ")</f>
        <v xml:space="preserve"> </v>
      </c>
      <c r="P28" s="161" t="str">
        <f>IFERROR(VLOOKUP($B28,TOLSEN!$A:$K,11,FALSE)," ")</f>
        <v xml:space="preserve"> </v>
      </c>
    </row>
    <row r="29" spans="2:17" ht="52.5" customHeight="1">
      <c r="B29" s="23"/>
      <c r="C29" s="137"/>
      <c r="D29" s="108"/>
      <c r="E29" s="109"/>
      <c r="F29" s="60" t="str">
        <f>IFERROR(VLOOKUP(B29,TOLSEN!A:D,3,FALSE),"0")</f>
        <v>0</v>
      </c>
      <c r="G29" s="61" t="str">
        <f>IFERROR(VLOOKUP(B29,TOLSEN!A:D,4,FALSE),"0")</f>
        <v>0</v>
      </c>
      <c r="H29" s="62" t="str">
        <f>IFERROR(VLOOKUP(B29,TOLSEN!A:K,6,FALSE),"0")</f>
        <v>0</v>
      </c>
      <c r="I29" s="62" t="str">
        <f>IFERROR(VLOOKUP(B29,TOLSEN!A:AC,7,FALSE),"0")</f>
        <v>0</v>
      </c>
      <c r="J29" s="63">
        <f t="shared" si="0"/>
        <v>0</v>
      </c>
      <c r="K29" s="107" t="e">
        <f t="shared" si="1"/>
        <v>#VALUE!</v>
      </c>
      <c r="L29" s="148">
        <f>IFERROR(VLOOKUP($B29,TOLSEN!A:I,8,FALSE),0)</f>
        <v>0</v>
      </c>
      <c r="M29" s="148">
        <f>IFERROR(VLOOKUP($B29,TOLSEN!A:K,9,FALSE),0)</f>
        <v>0</v>
      </c>
      <c r="N29" s="94" t="str">
        <f>IFERROR(VLOOKUP(B29,TOLSEN!A:K,5,FALSE)," ")</f>
        <v xml:space="preserve"> </v>
      </c>
      <c r="O29" s="161" t="str">
        <f>IFERROR(VLOOKUP($B29,TOLSEN!$A:$K,10,FALSE)," ")</f>
        <v xml:space="preserve"> </v>
      </c>
      <c r="P29" s="161" t="str">
        <f>IFERROR(VLOOKUP($B29,TOLSEN!$A:$K,11,FALSE)," ")</f>
        <v xml:space="preserve"> </v>
      </c>
    </row>
    <row r="30" spans="2:17" ht="52.5" customHeight="1">
      <c r="B30" s="23"/>
      <c r="C30" s="137"/>
      <c r="D30" s="108"/>
      <c r="E30" s="109"/>
      <c r="F30" s="60" t="str">
        <f>IFERROR(VLOOKUP(B30,TOLSEN!A:D,3,FALSE),"0")</f>
        <v>0</v>
      </c>
      <c r="G30" s="61" t="str">
        <f>IFERROR(VLOOKUP(B30,TOLSEN!A:D,4,FALSE),"0")</f>
        <v>0</v>
      </c>
      <c r="H30" s="62" t="str">
        <f>IFERROR(VLOOKUP(B30,TOLSEN!A:K,6,FALSE),"0")</f>
        <v>0</v>
      </c>
      <c r="I30" s="62" t="str">
        <f>IFERROR(VLOOKUP(B30,TOLSEN!A:AC,7,FALSE),"0")</f>
        <v>0</v>
      </c>
      <c r="J30" s="63">
        <f t="shared" si="0"/>
        <v>0</v>
      </c>
      <c r="K30" s="107" t="e">
        <f t="shared" si="1"/>
        <v>#VALUE!</v>
      </c>
      <c r="L30" s="148">
        <f>IFERROR(VLOOKUP($B30,TOLSEN!A:I,8,FALSE),0)</f>
        <v>0</v>
      </c>
      <c r="M30" s="148">
        <f>IFERROR(VLOOKUP($B30,TOLSEN!A:K,9,FALSE),0)</f>
        <v>0</v>
      </c>
      <c r="N30" s="94" t="str">
        <f>IFERROR(VLOOKUP(B30,TOLSEN!A:K,5,FALSE)," ")</f>
        <v xml:space="preserve"> </v>
      </c>
      <c r="O30" s="161" t="str">
        <f>IFERROR(VLOOKUP($B30,TOLSEN!$A:$K,10,FALSE)," ")</f>
        <v xml:space="preserve"> </v>
      </c>
      <c r="P30" s="161" t="str">
        <f>IFERROR(VLOOKUP($B30,TOLSEN!$A:$K,11,FALSE)," ")</f>
        <v xml:space="preserve"> </v>
      </c>
    </row>
    <row r="31" spans="2:17" ht="52.5" customHeight="1">
      <c r="B31" s="23"/>
      <c r="C31" s="137"/>
      <c r="D31" s="108"/>
      <c r="E31" s="109"/>
      <c r="F31" s="60" t="str">
        <f>IFERROR(VLOOKUP(B31,TOLSEN!A:D,3,FALSE),"0")</f>
        <v>0</v>
      </c>
      <c r="G31" s="61" t="str">
        <f>IFERROR(VLOOKUP(B31,TOLSEN!A:D,4,FALSE),"0")</f>
        <v>0</v>
      </c>
      <c r="H31" s="62" t="str">
        <f>IFERROR(VLOOKUP(B31,TOLSEN!A:K,6,FALSE),"0")</f>
        <v>0</v>
      </c>
      <c r="I31" s="62" t="str">
        <f>IFERROR(VLOOKUP(B31,TOLSEN!A:AC,7,FALSE),"0")</f>
        <v>0</v>
      </c>
      <c r="J31" s="63">
        <f t="shared" si="0"/>
        <v>0</v>
      </c>
      <c r="K31" s="107" t="e">
        <f t="shared" si="1"/>
        <v>#VALUE!</v>
      </c>
      <c r="L31" s="148">
        <f>IFERROR(VLOOKUP($B31,TOLSEN!A:I,8,FALSE),0)</f>
        <v>0</v>
      </c>
      <c r="M31" s="148">
        <f>IFERROR(VLOOKUP($B31,TOLSEN!A:K,9,FALSE),0)</f>
        <v>0</v>
      </c>
      <c r="N31" s="94" t="str">
        <f>IFERROR(VLOOKUP(B31,TOLSEN!A:K,5,FALSE)," ")</f>
        <v xml:space="preserve"> </v>
      </c>
      <c r="O31" s="161" t="str">
        <f>IFERROR(VLOOKUP($B31,TOLSEN!$A:$K,10,FALSE)," ")</f>
        <v xml:space="preserve"> </v>
      </c>
      <c r="P31" s="161" t="str">
        <f>IFERROR(VLOOKUP($B31,TOLSEN!$A:$K,11,FALSE)," ")</f>
        <v xml:space="preserve"> </v>
      </c>
    </row>
    <row r="32" spans="2:17" ht="52.5" customHeight="1">
      <c r="B32" s="23"/>
      <c r="C32" s="137"/>
      <c r="D32" s="108"/>
      <c r="E32" s="109"/>
      <c r="F32" s="60" t="str">
        <f>IFERROR(VLOOKUP(B32,TOLSEN!A:D,3,FALSE),"0")</f>
        <v>0</v>
      </c>
      <c r="G32" s="61" t="str">
        <f>IFERROR(VLOOKUP(B32,TOLSEN!A:D,4,FALSE),"0")</f>
        <v>0</v>
      </c>
      <c r="H32" s="62" t="str">
        <f>IFERROR(VLOOKUP(B32,TOLSEN!A:K,6,FALSE),"0")</f>
        <v>0</v>
      </c>
      <c r="I32" s="62" t="str">
        <f>IFERROR(VLOOKUP(B32,TOLSEN!A:AC,7,FALSE),"0")</f>
        <v>0</v>
      </c>
      <c r="J32" s="63">
        <f t="shared" si="0"/>
        <v>0</v>
      </c>
      <c r="K32" s="107" t="e">
        <f t="shared" si="1"/>
        <v>#VALUE!</v>
      </c>
      <c r="L32" s="148">
        <f>IFERROR(VLOOKUP($B32,TOLSEN!A:I,8,FALSE),0)</f>
        <v>0</v>
      </c>
      <c r="M32" s="148">
        <f>IFERROR(VLOOKUP($B32,TOLSEN!A:K,9,FALSE),0)</f>
        <v>0</v>
      </c>
      <c r="N32" s="94" t="str">
        <f>IFERROR(VLOOKUP(B32,TOLSEN!A:K,5,FALSE)," ")</f>
        <v xml:space="preserve"> </v>
      </c>
      <c r="O32" s="161" t="str">
        <f>IFERROR(VLOOKUP($B32,TOLSEN!$A:$K,10,FALSE)," ")</f>
        <v xml:space="preserve"> </v>
      </c>
      <c r="P32" s="161" t="str">
        <f>IFERROR(VLOOKUP($B32,TOLSEN!$A:$K,11,FALSE)," ")</f>
        <v xml:space="preserve"> </v>
      </c>
    </row>
    <row r="33" spans="2:16" ht="52.5" customHeight="1">
      <c r="B33" s="64"/>
      <c r="C33" s="137"/>
      <c r="D33" s="108"/>
      <c r="E33" s="109"/>
      <c r="F33" s="60" t="str">
        <f>IFERROR(VLOOKUP(B33,TOLSEN!A:D,3,FALSE),"0")</f>
        <v>0</v>
      </c>
      <c r="G33" s="61" t="str">
        <f>IFERROR(VLOOKUP(B33,TOLSEN!A:D,4,FALSE),"0")</f>
        <v>0</v>
      </c>
      <c r="H33" s="62" t="str">
        <f>IFERROR(VLOOKUP(B33,TOLSEN!A:K,6,FALSE),"0")</f>
        <v>0</v>
      </c>
      <c r="I33" s="62" t="str">
        <f>IFERROR(VLOOKUP(B33,TOLSEN!A:AC,7,FALSE),"0")</f>
        <v>0</v>
      </c>
      <c r="J33" s="63">
        <f t="shared" si="0"/>
        <v>0</v>
      </c>
      <c r="K33" s="107" t="e">
        <f t="shared" si="1"/>
        <v>#VALUE!</v>
      </c>
      <c r="L33" s="148">
        <f>IFERROR(VLOOKUP($B33,TOLSEN!A:I,8,FALSE),0)</f>
        <v>0</v>
      </c>
      <c r="M33" s="148">
        <f>IFERROR(VLOOKUP($B33,TOLSEN!A:K,9,FALSE),0)</f>
        <v>0</v>
      </c>
      <c r="N33" s="94" t="str">
        <f>IFERROR(VLOOKUP(B33,TOLSEN!A:K,5,FALSE)," ")</f>
        <v xml:space="preserve"> </v>
      </c>
      <c r="O33" s="161" t="str">
        <f>IFERROR(VLOOKUP($B33,TOLSEN!$A:$K,10,FALSE)," ")</f>
        <v xml:space="preserve"> </v>
      </c>
      <c r="P33" s="161" t="str">
        <f>IFERROR(VLOOKUP($B33,TOLSEN!$A:$K,11,FALSE)," ")</f>
        <v xml:space="preserve"> </v>
      </c>
    </row>
    <row r="34" spans="2:16" ht="52.5" customHeight="1">
      <c r="B34" s="23"/>
      <c r="C34" s="137"/>
      <c r="D34" s="108"/>
      <c r="E34" s="109"/>
      <c r="F34" s="60" t="str">
        <f>IFERROR(VLOOKUP(B34,TOLSEN!A:D,3,FALSE),"0")</f>
        <v>0</v>
      </c>
      <c r="G34" s="61" t="str">
        <f>IFERROR(VLOOKUP(B34,TOLSEN!A:D,4,FALSE),"0")</f>
        <v>0</v>
      </c>
      <c r="H34" s="62" t="str">
        <f>IFERROR(VLOOKUP(B34,TOLSEN!A:K,6,FALSE),"0")</f>
        <v>0</v>
      </c>
      <c r="I34" s="62" t="str">
        <f>IFERROR(VLOOKUP(B34,TOLSEN!A:AC,7,FALSE),"0")</f>
        <v>0</v>
      </c>
      <c r="J34" s="63">
        <f t="shared" si="0"/>
        <v>0</v>
      </c>
      <c r="K34" s="107" t="e">
        <f t="shared" si="1"/>
        <v>#VALUE!</v>
      </c>
      <c r="L34" s="148">
        <f>IFERROR(VLOOKUP($B34,TOLSEN!A:I,8,FALSE),0)</f>
        <v>0</v>
      </c>
      <c r="M34" s="148">
        <f>IFERROR(VLOOKUP($B34,TOLSEN!A:K,9,FALSE),0)</f>
        <v>0</v>
      </c>
      <c r="N34" s="94" t="str">
        <f>IFERROR(VLOOKUP(B34,TOLSEN!A:K,5,FALSE)," ")</f>
        <v xml:space="preserve"> </v>
      </c>
      <c r="O34" s="161" t="str">
        <f>IFERROR(VLOOKUP($B34,TOLSEN!$A:$K,10,FALSE)," ")</f>
        <v xml:space="preserve"> </v>
      </c>
      <c r="P34" s="161" t="str">
        <f>IFERROR(VLOOKUP($B34,TOLSEN!$A:$K,11,FALSE)," ")</f>
        <v xml:space="preserve"> </v>
      </c>
    </row>
    <row r="35" spans="2:16" ht="52.5" customHeight="1">
      <c r="B35" s="23"/>
      <c r="C35" s="137"/>
      <c r="D35" s="108"/>
      <c r="E35" s="109"/>
      <c r="F35" s="60" t="str">
        <f>IFERROR(VLOOKUP(B35,TOLSEN!A:D,3,FALSE),"0")</f>
        <v>0</v>
      </c>
      <c r="G35" s="61" t="str">
        <f>IFERROR(VLOOKUP(B35,TOLSEN!A:D,4,FALSE),"0")</f>
        <v>0</v>
      </c>
      <c r="H35" s="62" t="str">
        <f>IFERROR(VLOOKUP(B35,TOLSEN!A:K,6,FALSE),"0")</f>
        <v>0</v>
      </c>
      <c r="I35" s="62" t="str">
        <f>IFERROR(VLOOKUP(B35,TOLSEN!A:AC,7,FALSE),"0")</f>
        <v>0</v>
      </c>
      <c r="J35" s="63">
        <f t="shared" si="0"/>
        <v>0</v>
      </c>
      <c r="K35" s="107" t="e">
        <f t="shared" si="1"/>
        <v>#VALUE!</v>
      </c>
      <c r="L35" s="148">
        <f>IFERROR(VLOOKUP($B35,TOLSEN!A:I,8,FALSE),0)</f>
        <v>0</v>
      </c>
      <c r="M35" s="148">
        <f>IFERROR(VLOOKUP($B35,TOLSEN!A:K,9,FALSE),0)</f>
        <v>0</v>
      </c>
      <c r="N35" s="94" t="str">
        <f>IFERROR(VLOOKUP(B35,TOLSEN!A:K,5,FALSE)," ")</f>
        <v xml:space="preserve"> </v>
      </c>
      <c r="O35" s="161" t="str">
        <f>IFERROR(VLOOKUP($B35,TOLSEN!$A:$K,10,FALSE)," ")</f>
        <v xml:space="preserve"> </v>
      </c>
      <c r="P35" s="161" t="str">
        <f>IFERROR(VLOOKUP($B35,TOLSEN!$A:$K,11,FALSE)," ")</f>
        <v xml:space="preserve"> </v>
      </c>
    </row>
    <row r="36" spans="2:16" ht="52.5" customHeight="1">
      <c r="B36" s="23"/>
      <c r="C36" s="137"/>
      <c r="D36" s="108"/>
      <c r="E36" s="109"/>
      <c r="F36" s="60" t="str">
        <f>IFERROR(VLOOKUP(B36,TOLSEN!A:D,3,FALSE),"0")</f>
        <v>0</v>
      </c>
      <c r="G36" s="61" t="str">
        <f>IFERROR(VLOOKUP(B36,TOLSEN!A:D,4,FALSE),"0")</f>
        <v>0</v>
      </c>
      <c r="H36" s="62" t="str">
        <f>IFERROR(VLOOKUP(B36,TOLSEN!A:K,6,FALSE),"0")</f>
        <v>0</v>
      </c>
      <c r="I36" s="62" t="str">
        <f>IFERROR(VLOOKUP(B36,TOLSEN!A:AC,7,FALSE),"0")</f>
        <v>0</v>
      </c>
      <c r="J36" s="63">
        <f t="shared" si="0"/>
        <v>0</v>
      </c>
      <c r="K36" s="107" t="e">
        <f t="shared" si="1"/>
        <v>#VALUE!</v>
      </c>
      <c r="L36" s="148">
        <f>IFERROR(VLOOKUP($B36,TOLSEN!A:I,8,FALSE),0)</f>
        <v>0</v>
      </c>
      <c r="M36" s="148">
        <f>IFERROR(VLOOKUP($B36,TOLSEN!A:K,9,FALSE),0)</f>
        <v>0</v>
      </c>
      <c r="N36" s="94" t="str">
        <f>IFERROR(VLOOKUP(B36,TOLSEN!A:K,5,FALSE)," ")</f>
        <v xml:space="preserve"> </v>
      </c>
      <c r="O36" s="161" t="str">
        <f>IFERROR(VLOOKUP($B36,TOLSEN!$A:$K,10,FALSE)," ")</f>
        <v xml:space="preserve"> </v>
      </c>
      <c r="P36" s="161" t="str">
        <f>IFERROR(VLOOKUP($B36,TOLSEN!$A:$K,11,FALSE)," ")</f>
        <v xml:space="preserve"> </v>
      </c>
    </row>
    <row r="37" spans="2:16" ht="52.5" customHeight="1">
      <c r="B37" s="23"/>
      <c r="C37" s="137"/>
      <c r="D37" s="108"/>
      <c r="E37" s="109"/>
      <c r="F37" s="60" t="str">
        <f>IFERROR(VLOOKUP(B37,TOLSEN!A:D,3,FALSE),"0")</f>
        <v>0</v>
      </c>
      <c r="G37" s="61" t="str">
        <f>IFERROR(VLOOKUP(B37,TOLSEN!A:D,4,FALSE),"0")</f>
        <v>0</v>
      </c>
      <c r="H37" s="62" t="str">
        <f>IFERROR(VLOOKUP(B37,TOLSEN!A:K,6,FALSE),"0")</f>
        <v>0</v>
      </c>
      <c r="I37" s="62" t="str">
        <f>IFERROR(VLOOKUP(B37,TOLSEN!A:AC,7,FALSE),"0")</f>
        <v>0</v>
      </c>
      <c r="J37" s="63">
        <f t="shared" si="0"/>
        <v>0</v>
      </c>
      <c r="K37" s="107" t="e">
        <f t="shared" si="1"/>
        <v>#VALUE!</v>
      </c>
      <c r="L37" s="148">
        <f>IFERROR(VLOOKUP($B37,TOLSEN!A:I,8,FALSE),0)</f>
        <v>0</v>
      </c>
      <c r="M37" s="148">
        <f>IFERROR(VLOOKUP($B37,TOLSEN!A:K,9,FALSE),0)</f>
        <v>0</v>
      </c>
      <c r="N37" s="94" t="str">
        <f>IFERROR(VLOOKUP(B37,TOLSEN!A:K,5,FALSE)," ")</f>
        <v xml:space="preserve"> </v>
      </c>
      <c r="O37" s="161" t="str">
        <f>IFERROR(VLOOKUP($B37,TOLSEN!$A:$K,10,FALSE)," ")</f>
        <v xml:space="preserve"> </v>
      </c>
      <c r="P37" s="161" t="str">
        <f>IFERROR(VLOOKUP($B37,TOLSEN!$A:$K,11,FALSE)," ")</f>
        <v xml:space="preserve"> </v>
      </c>
    </row>
    <row r="38" spans="2:16" ht="52.5" customHeight="1">
      <c r="B38" s="23"/>
      <c r="C38" s="137"/>
      <c r="D38" s="108"/>
      <c r="E38" s="109"/>
      <c r="F38" s="60" t="str">
        <f>IFERROR(VLOOKUP(B38,TOLSEN!A:D,3,FALSE),"0")</f>
        <v>0</v>
      </c>
      <c r="G38" s="61" t="str">
        <f>IFERROR(VLOOKUP(B38,TOLSEN!A:D,4,FALSE),"0")</f>
        <v>0</v>
      </c>
      <c r="H38" s="62" t="str">
        <f>IFERROR(VLOOKUP(B38,TOLSEN!A:K,6,FALSE),"0")</f>
        <v>0</v>
      </c>
      <c r="I38" s="62" t="str">
        <f>IFERROR(VLOOKUP(B38,TOLSEN!A:AC,7,FALSE),"0")</f>
        <v>0</v>
      </c>
      <c r="J38" s="63">
        <f t="shared" si="0"/>
        <v>0</v>
      </c>
      <c r="K38" s="107" t="e">
        <f t="shared" si="1"/>
        <v>#VALUE!</v>
      </c>
      <c r="L38" s="148">
        <f>IFERROR(VLOOKUP($B38,TOLSEN!A:I,8,FALSE),0)</f>
        <v>0</v>
      </c>
      <c r="M38" s="148">
        <f>IFERROR(VLOOKUP($B38,TOLSEN!A:K,9,FALSE),0)</f>
        <v>0</v>
      </c>
      <c r="N38" s="94" t="str">
        <f>IFERROR(VLOOKUP(B38,TOLSEN!A:K,5,FALSE)," ")</f>
        <v xml:space="preserve"> </v>
      </c>
      <c r="O38" s="161" t="str">
        <f>IFERROR(VLOOKUP($B38,TOLSEN!$A:$K,10,FALSE)," ")</f>
        <v xml:space="preserve"> </v>
      </c>
      <c r="P38" s="161" t="str">
        <f>IFERROR(VLOOKUP($B38,TOLSEN!$A:$K,11,FALSE)," ")</f>
        <v xml:space="preserve"> </v>
      </c>
    </row>
    <row r="39" spans="2:16" ht="52.5" customHeight="1">
      <c r="B39" s="23"/>
      <c r="C39" s="137"/>
      <c r="D39" s="108"/>
      <c r="E39" s="109"/>
      <c r="F39" s="60" t="str">
        <f>IFERROR(VLOOKUP(B39,TOLSEN!A:D,3,FALSE),"0")</f>
        <v>0</v>
      </c>
      <c r="G39" s="61" t="str">
        <f>IFERROR(VLOOKUP(B39,TOLSEN!A:D,4,FALSE),"0")</f>
        <v>0</v>
      </c>
      <c r="H39" s="62" t="str">
        <f>IFERROR(VLOOKUP(B39,TOLSEN!A:K,6,FALSE),"0")</f>
        <v>0</v>
      </c>
      <c r="I39" s="62" t="str">
        <f>IFERROR(VLOOKUP(B39,TOLSEN!A:AC,7,FALSE),"0")</f>
        <v>0</v>
      </c>
      <c r="J39" s="63">
        <f t="shared" si="0"/>
        <v>0</v>
      </c>
      <c r="K39" s="107" t="e">
        <f t="shared" si="1"/>
        <v>#VALUE!</v>
      </c>
      <c r="L39" s="148">
        <f>IFERROR(VLOOKUP($B39,TOLSEN!A:I,8,FALSE),0)</f>
        <v>0</v>
      </c>
      <c r="M39" s="148">
        <f>IFERROR(VLOOKUP($B39,TOLSEN!A:K,9,FALSE),0)</f>
        <v>0</v>
      </c>
      <c r="N39" s="94" t="str">
        <f>IFERROR(VLOOKUP(B39,TOLSEN!A:K,5,FALSE)," ")</f>
        <v xml:space="preserve"> </v>
      </c>
      <c r="O39" s="161" t="str">
        <f>IFERROR(VLOOKUP($B39,TOLSEN!$A:$K,10,FALSE)," ")</f>
        <v xml:space="preserve"> </v>
      </c>
      <c r="P39" s="161" t="str">
        <f>IFERROR(VLOOKUP($B39,TOLSEN!$A:$K,11,FALSE)," ")</f>
        <v xml:space="preserve"> </v>
      </c>
    </row>
    <row r="40" spans="2:16" ht="52.5" customHeight="1">
      <c r="B40" s="23"/>
      <c r="C40" s="137"/>
      <c r="D40" s="108"/>
      <c r="E40" s="109"/>
      <c r="F40" s="60" t="str">
        <f>IFERROR(VLOOKUP(B40,TOLSEN!A:D,3,FALSE),"0")</f>
        <v>0</v>
      </c>
      <c r="G40" s="61" t="str">
        <f>IFERROR(VLOOKUP(B40,TOLSEN!A:D,4,FALSE),"0")</f>
        <v>0</v>
      </c>
      <c r="H40" s="62" t="str">
        <f>IFERROR(VLOOKUP(B40,TOLSEN!A:K,6,FALSE),"0")</f>
        <v>0</v>
      </c>
      <c r="I40" s="62" t="str">
        <f>IFERROR(VLOOKUP(B40,TOLSEN!A:AC,7,FALSE),"0")</f>
        <v>0</v>
      </c>
      <c r="J40" s="63">
        <f t="shared" si="0"/>
        <v>0</v>
      </c>
      <c r="K40" s="107" t="e">
        <f t="shared" si="1"/>
        <v>#VALUE!</v>
      </c>
      <c r="L40" s="148">
        <f>IFERROR(VLOOKUP($B40,TOLSEN!A:I,8,FALSE),0)</f>
        <v>0</v>
      </c>
      <c r="M40" s="148">
        <f>IFERROR(VLOOKUP($B40,TOLSEN!A:K,9,FALSE),0)</f>
        <v>0</v>
      </c>
      <c r="N40" s="94" t="str">
        <f>IFERROR(VLOOKUP(B40,TOLSEN!A:K,5,FALSE)," ")</f>
        <v xml:space="preserve"> </v>
      </c>
      <c r="O40" s="161" t="str">
        <f>IFERROR(VLOOKUP($B40,TOLSEN!$A:$K,10,FALSE)," ")</f>
        <v xml:space="preserve"> </v>
      </c>
      <c r="P40" s="161" t="str">
        <f>IFERROR(VLOOKUP($B40,TOLSEN!$A:$K,11,FALSE)," ")</f>
        <v xml:space="preserve"> </v>
      </c>
    </row>
    <row r="41" spans="2:16" ht="52.5" customHeight="1">
      <c r="B41" s="23"/>
      <c r="C41" s="137"/>
      <c r="D41" s="108"/>
      <c r="E41" s="109"/>
      <c r="F41" s="60" t="str">
        <f>IFERROR(VLOOKUP(B41,TOLSEN!A:D,3,FALSE),"0")</f>
        <v>0</v>
      </c>
      <c r="G41" s="61" t="str">
        <f>IFERROR(VLOOKUP(B41,TOLSEN!A:D,4,FALSE),"0")</f>
        <v>0</v>
      </c>
      <c r="H41" s="62" t="str">
        <f>IFERROR(VLOOKUP(B41,TOLSEN!A:K,6,FALSE),"0")</f>
        <v>0</v>
      </c>
      <c r="I41" s="62" t="str">
        <f>IFERROR(VLOOKUP(B41,TOLSEN!A:AC,7,FALSE),"0")</f>
        <v>0</v>
      </c>
      <c r="J41" s="63">
        <f t="shared" si="0"/>
        <v>0</v>
      </c>
      <c r="K41" s="107" t="e">
        <f t="shared" si="1"/>
        <v>#VALUE!</v>
      </c>
      <c r="L41" s="148">
        <f>IFERROR(VLOOKUP($B41,TOLSEN!A:I,8,FALSE),0)</f>
        <v>0</v>
      </c>
      <c r="M41" s="148">
        <f>IFERROR(VLOOKUP($B41,TOLSEN!A:K,9,FALSE),0)</f>
        <v>0</v>
      </c>
      <c r="N41" s="94" t="str">
        <f>IFERROR(VLOOKUP(B41,TOLSEN!A:K,5,FALSE)," ")</f>
        <v xml:space="preserve"> </v>
      </c>
      <c r="O41" s="161" t="str">
        <f>IFERROR(VLOOKUP($B41,TOLSEN!$A:$K,10,FALSE)," ")</f>
        <v xml:space="preserve"> </v>
      </c>
      <c r="P41" s="161" t="str">
        <f>IFERROR(VLOOKUP($B41,TOLSEN!$A:$K,11,FALSE)," ")</f>
        <v xml:space="preserve"> </v>
      </c>
    </row>
    <row r="42" spans="2:16" ht="52.5" customHeight="1">
      <c r="B42" s="23"/>
      <c r="C42" s="137"/>
      <c r="D42" s="108"/>
      <c r="E42" s="109"/>
      <c r="F42" s="60" t="str">
        <f>IFERROR(VLOOKUP(B42,TOLSEN!A:D,3,FALSE),"0")</f>
        <v>0</v>
      </c>
      <c r="G42" s="61" t="str">
        <f>IFERROR(VLOOKUP(B42,TOLSEN!A:D,4,FALSE),"0")</f>
        <v>0</v>
      </c>
      <c r="H42" s="62" t="str">
        <f>IFERROR(VLOOKUP(B42,TOLSEN!A:K,6,FALSE),"0")</f>
        <v>0</v>
      </c>
      <c r="I42" s="62" t="str">
        <f>IFERROR(VLOOKUP(B42,TOLSEN!A:AC,7,FALSE),"0")</f>
        <v>0</v>
      </c>
      <c r="J42" s="63">
        <f t="shared" si="0"/>
        <v>0</v>
      </c>
      <c r="K42" s="107" t="e">
        <f t="shared" si="1"/>
        <v>#VALUE!</v>
      </c>
      <c r="L42" s="148">
        <f>IFERROR(VLOOKUP($B42,TOLSEN!A:I,8,FALSE),0)</f>
        <v>0</v>
      </c>
      <c r="M42" s="148">
        <f>IFERROR(VLOOKUP($B42,TOLSEN!A:K,9,FALSE),0)</f>
        <v>0</v>
      </c>
      <c r="N42" s="94" t="str">
        <f>IFERROR(VLOOKUP(B42,TOLSEN!A:K,5,FALSE)," ")</f>
        <v xml:space="preserve"> </v>
      </c>
      <c r="O42" s="161" t="str">
        <f>IFERROR(VLOOKUP($B42,TOLSEN!$A:$K,10,FALSE)," ")</f>
        <v xml:space="preserve"> </v>
      </c>
      <c r="P42" s="161" t="str">
        <f>IFERROR(VLOOKUP($B42,TOLSEN!$A:$K,11,FALSE)," ")</f>
        <v xml:space="preserve"> </v>
      </c>
    </row>
    <row r="43" spans="2:16" ht="52.5" customHeight="1">
      <c r="B43" s="23"/>
      <c r="C43" s="137"/>
      <c r="D43" s="108"/>
      <c r="E43" s="109"/>
      <c r="F43" s="60" t="str">
        <f>IFERROR(VLOOKUP(B43,TOLSEN!A:D,3,FALSE),"0")</f>
        <v>0</v>
      </c>
      <c r="G43" s="61" t="str">
        <f>IFERROR(VLOOKUP(B43,TOLSEN!A:D,4,FALSE),"0")</f>
        <v>0</v>
      </c>
      <c r="H43" s="62" t="str">
        <f>IFERROR(VLOOKUP(B43,TOLSEN!A:K,6,FALSE),"0")</f>
        <v>0</v>
      </c>
      <c r="I43" s="62" t="str">
        <f>IFERROR(VLOOKUP(B43,TOLSEN!A:AC,7,FALSE),"0")</f>
        <v>0</v>
      </c>
      <c r="J43" s="63">
        <f t="shared" si="0"/>
        <v>0</v>
      </c>
      <c r="K43" s="107" t="e">
        <f t="shared" si="1"/>
        <v>#VALUE!</v>
      </c>
      <c r="L43" s="148">
        <f>IFERROR(VLOOKUP($B43,TOLSEN!A:I,8,FALSE),0)</f>
        <v>0</v>
      </c>
      <c r="M43" s="148">
        <f>IFERROR(VLOOKUP($B43,TOLSEN!A:K,9,FALSE),0)</f>
        <v>0</v>
      </c>
      <c r="N43" s="94" t="str">
        <f>IFERROR(VLOOKUP(B43,TOLSEN!A:K,5,FALSE)," ")</f>
        <v xml:space="preserve"> </v>
      </c>
      <c r="O43" s="161" t="str">
        <f>IFERROR(VLOOKUP($B43,TOLSEN!$A:$K,10,FALSE)," ")</f>
        <v xml:space="preserve"> </v>
      </c>
      <c r="P43" s="161" t="str">
        <f>IFERROR(VLOOKUP($B43,TOLSEN!$A:$K,11,FALSE)," ")</f>
        <v xml:space="preserve"> </v>
      </c>
    </row>
    <row r="44" spans="2:16" ht="52.5" customHeight="1">
      <c r="B44" s="23"/>
      <c r="C44" s="137"/>
      <c r="D44" s="108"/>
      <c r="E44" s="109"/>
      <c r="F44" s="60" t="str">
        <f>IFERROR(VLOOKUP(B44,TOLSEN!A:D,3,FALSE),"0")</f>
        <v>0</v>
      </c>
      <c r="G44" s="61" t="str">
        <f>IFERROR(VLOOKUP(B44,TOLSEN!A:D,4,FALSE),"0")</f>
        <v>0</v>
      </c>
      <c r="H44" s="62" t="str">
        <f>IFERROR(VLOOKUP(B44,TOLSEN!A:K,6,FALSE),"0")</f>
        <v>0</v>
      </c>
      <c r="I44" s="62" t="str">
        <f>IFERROR(VLOOKUP(B44,TOLSEN!A:AC,7,FALSE),"0")</f>
        <v>0</v>
      </c>
      <c r="J44" s="63">
        <f t="shared" si="0"/>
        <v>0</v>
      </c>
      <c r="K44" s="107" t="e">
        <f t="shared" si="1"/>
        <v>#VALUE!</v>
      </c>
      <c r="L44" s="148">
        <f>IFERROR(VLOOKUP($B44,TOLSEN!A:I,8,FALSE),0)</f>
        <v>0</v>
      </c>
      <c r="M44" s="148">
        <f>IFERROR(VLOOKUP($B44,TOLSEN!A:K,9,FALSE),0)</f>
        <v>0</v>
      </c>
      <c r="N44" s="94" t="str">
        <f>IFERROR(VLOOKUP(B44,TOLSEN!A:K,5,FALSE)," ")</f>
        <v xml:space="preserve"> </v>
      </c>
      <c r="O44" s="161" t="str">
        <f>IFERROR(VLOOKUP($B44,TOLSEN!$A:$K,10,FALSE)," ")</f>
        <v xml:space="preserve"> </v>
      </c>
      <c r="P44" s="161" t="str">
        <f>IFERROR(VLOOKUP($B44,TOLSEN!$A:$K,11,FALSE)," ")</f>
        <v xml:space="preserve"> </v>
      </c>
    </row>
    <row r="45" spans="2:16" ht="52.5" customHeight="1">
      <c r="B45" s="23"/>
      <c r="C45" s="137"/>
      <c r="D45" s="108"/>
      <c r="E45" s="109"/>
      <c r="F45" s="60" t="str">
        <f>IFERROR(VLOOKUP(B45,TOLSEN!A:D,3,FALSE),"0")</f>
        <v>0</v>
      </c>
      <c r="G45" s="61" t="str">
        <f>IFERROR(VLOOKUP(B45,TOLSEN!A:D,4,FALSE),"0")</f>
        <v>0</v>
      </c>
      <c r="H45" s="62" t="str">
        <f>IFERROR(VLOOKUP(B45,TOLSEN!A:K,6,FALSE),"0")</f>
        <v>0</v>
      </c>
      <c r="I45" s="62" t="str">
        <f>IFERROR(VLOOKUP(B45,TOLSEN!A:AC,7,FALSE),"0")</f>
        <v>0</v>
      </c>
      <c r="J45" s="63">
        <f t="shared" si="0"/>
        <v>0</v>
      </c>
      <c r="K45" s="107" t="e">
        <f t="shared" si="1"/>
        <v>#VALUE!</v>
      </c>
      <c r="L45" s="148">
        <f>IFERROR(VLOOKUP($B45,TOLSEN!A:I,8,FALSE),0)</f>
        <v>0</v>
      </c>
      <c r="M45" s="148">
        <f>IFERROR(VLOOKUP($B45,TOLSEN!A:K,9,FALSE),0)</f>
        <v>0</v>
      </c>
      <c r="N45" s="94" t="str">
        <f>IFERROR(VLOOKUP(B45,TOLSEN!A:K,5,FALSE)," ")</f>
        <v xml:space="preserve"> </v>
      </c>
      <c r="O45" s="161" t="str">
        <f>IFERROR(VLOOKUP($B45,TOLSEN!$A:$K,10,FALSE)," ")</f>
        <v xml:space="preserve"> </v>
      </c>
      <c r="P45" s="161" t="str">
        <f>IFERROR(VLOOKUP($B45,TOLSEN!$A:$K,11,FALSE)," ")</f>
        <v xml:space="preserve"> </v>
      </c>
    </row>
    <row r="46" spans="2:16" ht="52.5" customHeight="1">
      <c r="B46" s="23"/>
      <c r="C46" s="137"/>
      <c r="D46" s="108"/>
      <c r="E46" s="109"/>
      <c r="F46" s="60" t="str">
        <f>IFERROR(VLOOKUP(B46,TOLSEN!A:D,3,FALSE),"0")</f>
        <v>0</v>
      </c>
      <c r="G46" s="61" t="str">
        <f>IFERROR(VLOOKUP(B46,TOLSEN!A:D,4,FALSE),"0")</f>
        <v>0</v>
      </c>
      <c r="H46" s="62" t="str">
        <f>IFERROR(VLOOKUP(B46,TOLSEN!A:K,6,FALSE),"0")</f>
        <v>0</v>
      </c>
      <c r="I46" s="62" t="str">
        <f>IFERROR(VLOOKUP(B46,TOLSEN!A:AC,7,FALSE),"0")</f>
        <v>0</v>
      </c>
      <c r="J46" s="63">
        <f t="shared" si="0"/>
        <v>0</v>
      </c>
      <c r="K46" s="107" t="e">
        <f t="shared" si="1"/>
        <v>#VALUE!</v>
      </c>
      <c r="L46" s="148">
        <f>IFERROR(VLOOKUP($B46,TOLSEN!A:I,8,FALSE),0)</f>
        <v>0</v>
      </c>
      <c r="M46" s="148">
        <f>IFERROR(VLOOKUP($B46,TOLSEN!A:K,9,FALSE),0)</f>
        <v>0</v>
      </c>
      <c r="N46" s="94" t="str">
        <f>IFERROR(VLOOKUP(B46,TOLSEN!A:K,5,FALSE)," ")</f>
        <v xml:space="preserve"> </v>
      </c>
      <c r="O46" s="161" t="str">
        <f>IFERROR(VLOOKUP($B46,TOLSEN!$A:$K,10,FALSE)," ")</f>
        <v xml:space="preserve"> </v>
      </c>
      <c r="P46" s="161" t="str">
        <f>IFERROR(VLOOKUP($B46,TOLSEN!$A:$K,11,FALSE)," ")</f>
        <v xml:space="preserve"> </v>
      </c>
    </row>
    <row r="47" spans="2:16" ht="52.5" customHeight="1">
      <c r="B47" s="23"/>
      <c r="C47" s="137"/>
      <c r="D47" s="108"/>
      <c r="E47" s="109"/>
      <c r="F47" s="60" t="str">
        <f>IFERROR(VLOOKUP(B47,TOLSEN!A:D,3,FALSE),"0")</f>
        <v>0</v>
      </c>
      <c r="G47" s="61" t="str">
        <f>IFERROR(VLOOKUP(B47,TOLSEN!A:D,4,FALSE),"0")</f>
        <v>0</v>
      </c>
      <c r="H47" s="62" t="str">
        <f>IFERROR(VLOOKUP(B47,TOLSEN!A:K,6,FALSE),"0")</f>
        <v>0</v>
      </c>
      <c r="I47" s="62" t="str">
        <f>IFERROR(VLOOKUP(B47,TOLSEN!A:AC,7,FALSE),"0")</f>
        <v>0</v>
      </c>
      <c r="J47" s="63">
        <f t="shared" si="0"/>
        <v>0</v>
      </c>
      <c r="K47" s="107" t="e">
        <f t="shared" si="1"/>
        <v>#VALUE!</v>
      </c>
      <c r="L47" s="148">
        <f>IFERROR(VLOOKUP($B47,TOLSEN!A:I,8,FALSE),0)</f>
        <v>0</v>
      </c>
      <c r="M47" s="148">
        <f>IFERROR(VLOOKUP($B47,TOLSEN!A:K,9,FALSE),0)</f>
        <v>0</v>
      </c>
      <c r="N47" s="94" t="str">
        <f>IFERROR(VLOOKUP(B47,TOLSEN!A:K,5,FALSE)," ")</f>
        <v xml:space="preserve"> </v>
      </c>
      <c r="O47" s="161" t="str">
        <f>IFERROR(VLOOKUP($B47,TOLSEN!$A:$K,10,FALSE)," ")</f>
        <v xml:space="preserve"> </v>
      </c>
      <c r="P47" s="161" t="str">
        <f>IFERROR(VLOOKUP($B47,TOLSEN!$A:$K,11,FALSE)," ")</f>
        <v xml:space="preserve"> </v>
      </c>
    </row>
    <row r="48" spans="2:16" ht="52.5" customHeight="1">
      <c r="B48" s="23"/>
      <c r="C48" s="137"/>
      <c r="D48" s="108"/>
      <c r="E48" s="109"/>
      <c r="F48" s="60" t="str">
        <f>IFERROR(VLOOKUP(B48,TOLSEN!A:D,3,FALSE),"0")</f>
        <v>0</v>
      </c>
      <c r="G48" s="61" t="str">
        <f>IFERROR(VLOOKUP(B48,TOLSEN!A:D,4,FALSE),"0")</f>
        <v>0</v>
      </c>
      <c r="H48" s="62" t="str">
        <f>IFERROR(VLOOKUP(B48,TOLSEN!A:K,6,FALSE),"0")</f>
        <v>0</v>
      </c>
      <c r="I48" s="62" t="str">
        <f>IFERROR(VLOOKUP(B48,TOLSEN!A:AC,7,FALSE),"0")</f>
        <v>0</v>
      </c>
      <c r="J48" s="63">
        <f t="shared" si="0"/>
        <v>0</v>
      </c>
      <c r="K48" s="107" t="e">
        <f t="shared" si="1"/>
        <v>#VALUE!</v>
      </c>
      <c r="L48" s="148">
        <f>IFERROR(VLOOKUP($B48,TOLSEN!A:I,8,FALSE),0)</f>
        <v>0</v>
      </c>
      <c r="M48" s="148">
        <f>IFERROR(VLOOKUP($B48,TOLSEN!A:K,9,FALSE),0)</f>
        <v>0</v>
      </c>
      <c r="N48" s="94" t="str">
        <f>IFERROR(VLOOKUP(B48,TOLSEN!A:K,5,FALSE)," ")</f>
        <v xml:space="preserve"> </v>
      </c>
      <c r="O48" s="161" t="str">
        <f>IFERROR(VLOOKUP($B48,TOLSEN!$A:$K,10,FALSE)," ")</f>
        <v xml:space="preserve"> </v>
      </c>
      <c r="P48" s="161" t="str">
        <f>IFERROR(VLOOKUP($B48,TOLSEN!$A:$K,11,FALSE)," ")</f>
        <v xml:space="preserve"> </v>
      </c>
    </row>
    <row r="49" spans="1:16" ht="52.5" customHeight="1">
      <c r="B49" s="23"/>
      <c r="C49" s="137"/>
      <c r="D49" s="108"/>
      <c r="E49" s="109"/>
      <c r="F49" s="60" t="str">
        <f>IFERROR(VLOOKUP(B49,TOLSEN!A:D,3,FALSE),"0")</f>
        <v>0</v>
      </c>
      <c r="G49" s="61" t="str">
        <f>IFERROR(VLOOKUP(B49,TOLSEN!A:D,4,FALSE),"0")</f>
        <v>0</v>
      </c>
      <c r="H49" s="62" t="str">
        <f>IFERROR(VLOOKUP(B49,TOLSEN!A:K,6,FALSE),"0")</f>
        <v>0</v>
      </c>
      <c r="I49" s="62" t="str">
        <f>IFERROR(VLOOKUP(B49,TOLSEN!A:AC,7,FALSE),"0")</f>
        <v>0</v>
      </c>
      <c r="J49" s="63">
        <f t="shared" si="0"/>
        <v>0</v>
      </c>
      <c r="K49" s="107" t="e">
        <f t="shared" si="1"/>
        <v>#VALUE!</v>
      </c>
      <c r="L49" s="148">
        <f>IFERROR(VLOOKUP($B49,TOLSEN!A:I,8,FALSE),0)</f>
        <v>0</v>
      </c>
      <c r="M49" s="148">
        <f>IFERROR(VLOOKUP($B49,TOLSEN!A:K,9,FALSE),0)</f>
        <v>0</v>
      </c>
      <c r="N49" s="94" t="str">
        <f>IFERROR(VLOOKUP(B49,TOLSEN!A:K,5,FALSE)," ")</f>
        <v xml:space="preserve"> </v>
      </c>
      <c r="O49" s="161" t="str">
        <f>IFERROR(VLOOKUP($B49,TOLSEN!$A:$K,10,FALSE)," ")</f>
        <v xml:space="preserve"> </v>
      </c>
      <c r="P49" s="161" t="str">
        <f>IFERROR(VLOOKUP($B49,TOLSEN!$A:$K,11,FALSE)," ")</f>
        <v xml:space="preserve"> </v>
      </c>
    </row>
    <row r="50" spans="1:16" ht="52.5" customHeight="1">
      <c r="B50" s="23"/>
      <c r="C50" s="137"/>
      <c r="D50" s="108"/>
      <c r="E50" s="109"/>
      <c r="F50" s="60" t="str">
        <f>IFERROR(VLOOKUP(B50,TOLSEN!A:D,3,FALSE),"0")</f>
        <v>0</v>
      </c>
      <c r="G50" s="61" t="str">
        <f>IFERROR(VLOOKUP(B50,TOLSEN!A:D,4,FALSE),"0")</f>
        <v>0</v>
      </c>
      <c r="H50" s="62" t="str">
        <f>IFERROR(VLOOKUP(B50,TOLSEN!A:K,6,FALSE),"0")</f>
        <v>0</v>
      </c>
      <c r="I50" s="62" t="str">
        <f>IFERROR(VLOOKUP(B50,TOLSEN!A:AC,7,FALSE),"0")</f>
        <v>0</v>
      </c>
      <c r="J50" s="63">
        <f t="shared" si="0"/>
        <v>0</v>
      </c>
      <c r="K50" s="107" t="e">
        <f t="shared" si="1"/>
        <v>#VALUE!</v>
      </c>
      <c r="L50" s="148">
        <f>IFERROR(VLOOKUP($B50,TOLSEN!A:I,8,FALSE),0)</f>
        <v>0</v>
      </c>
      <c r="M50" s="148">
        <f>IFERROR(VLOOKUP($B50,TOLSEN!A:K,9,FALSE),0)</f>
        <v>0</v>
      </c>
      <c r="N50" s="94" t="str">
        <f>IFERROR(VLOOKUP(B50,TOLSEN!A:K,5,FALSE)," ")</f>
        <v xml:space="preserve"> </v>
      </c>
      <c r="O50" s="161" t="str">
        <f>IFERROR(VLOOKUP($B50,TOLSEN!$A:$K,10,FALSE)," ")</f>
        <v xml:space="preserve"> </v>
      </c>
      <c r="P50" s="161" t="str">
        <f>IFERROR(VLOOKUP($B50,TOLSEN!$A:$K,11,FALSE)," ")</f>
        <v xml:space="preserve"> </v>
      </c>
    </row>
    <row r="51" spans="1:16" ht="52.5" customHeight="1">
      <c r="B51" s="23"/>
      <c r="C51" s="137"/>
      <c r="D51" s="108"/>
      <c r="E51" s="109"/>
      <c r="F51" s="60" t="str">
        <f>IFERROR(VLOOKUP(B51,TOLSEN!A:D,3,FALSE),"0")</f>
        <v>0</v>
      </c>
      <c r="G51" s="61" t="str">
        <f>IFERROR(VLOOKUP(B51,TOLSEN!A:D,4,FALSE),"0")</f>
        <v>0</v>
      </c>
      <c r="H51" s="62" t="str">
        <f>IFERROR(VLOOKUP(B51,TOLSEN!A:K,6,FALSE),"0")</f>
        <v>0</v>
      </c>
      <c r="I51" s="62" t="str">
        <f>IFERROR(VLOOKUP(B51,TOLSEN!A:AC,7,FALSE),"0")</f>
        <v>0</v>
      </c>
      <c r="J51" s="63">
        <f t="shared" si="0"/>
        <v>0</v>
      </c>
      <c r="K51" s="107" t="e">
        <f t="shared" si="1"/>
        <v>#VALUE!</v>
      </c>
      <c r="L51" s="148">
        <f>IFERROR(VLOOKUP($B51,TOLSEN!A:I,8,FALSE),0)</f>
        <v>0</v>
      </c>
      <c r="M51" s="148">
        <f>IFERROR(VLOOKUP($B51,TOLSEN!A:K,9,FALSE),0)</f>
        <v>0</v>
      </c>
      <c r="N51" s="94" t="str">
        <f>IFERROR(VLOOKUP(B51,TOLSEN!A:K,5,FALSE)," ")</f>
        <v xml:space="preserve"> </v>
      </c>
      <c r="O51" s="161" t="str">
        <f>IFERROR(VLOOKUP($B51,TOLSEN!$A:$K,10,FALSE)," ")</f>
        <v xml:space="preserve"> </v>
      </c>
      <c r="P51" s="161" t="str">
        <f>IFERROR(VLOOKUP($B51,TOLSEN!$A:$K,11,FALSE)," ")</f>
        <v xml:space="preserve"> </v>
      </c>
    </row>
    <row r="52" spans="1:16" ht="52.5" customHeight="1">
      <c r="A52" s="3">
        <v>25007</v>
      </c>
      <c r="B52" s="23"/>
      <c r="C52" s="137"/>
      <c r="D52" s="108"/>
      <c r="E52" s="109"/>
      <c r="F52" s="60" t="str">
        <f>IFERROR(VLOOKUP(B52,TOLSEN!A:D,3,FALSE),"0")</f>
        <v>0</v>
      </c>
      <c r="G52" s="61" t="str">
        <f>IFERROR(VLOOKUP(B52,TOLSEN!A:D,4,FALSE),"0")</f>
        <v>0</v>
      </c>
      <c r="H52" s="62" t="str">
        <f>IFERROR(VLOOKUP(B52,TOLSEN!A:K,6,FALSE),"0")</f>
        <v>0</v>
      </c>
      <c r="I52" s="62" t="str">
        <f>IFERROR(VLOOKUP(B52,TOLSEN!A:AC,7,FALSE),"0")</f>
        <v>0</v>
      </c>
      <c r="J52" s="63">
        <f t="shared" si="0"/>
        <v>0</v>
      </c>
      <c r="K52" s="107" t="e">
        <f t="shared" si="1"/>
        <v>#VALUE!</v>
      </c>
      <c r="L52" s="148">
        <f>IFERROR(VLOOKUP($B52,TOLSEN!A:I,8,FALSE),0)</f>
        <v>0</v>
      </c>
      <c r="M52" s="148">
        <f>IFERROR(VLOOKUP($B52,TOLSEN!A:K,9,FALSE),0)</f>
        <v>0</v>
      </c>
      <c r="N52" s="94" t="str">
        <f>IFERROR(VLOOKUP(B52,TOLSEN!A:K,5,FALSE)," ")</f>
        <v xml:space="preserve"> </v>
      </c>
      <c r="O52" s="161" t="str">
        <f>IFERROR(VLOOKUP($B52,TOLSEN!$A:$K,10,FALSE)," ")</f>
        <v xml:space="preserve"> </v>
      </c>
      <c r="P52" s="161" t="str">
        <f>IFERROR(VLOOKUP($B52,TOLSEN!$A:$K,11,FALSE)," ")</f>
        <v xml:space="preserve"> </v>
      </c>
    </row>
    <row r="53" spans="1:16" ht="52.5" customHeight="1">
      <c r="B53" s="23"/>
      <c r="C53" s="137"/>
      <c r="D53" s="108"/>
      <c r="E53" s="109"/>
      <c r="F53" s="60" t="str">
        <f>IFERROR(VLOOKUP(B53,TOLSEN!A:D,3,FALSE),"0")</f>
        <v>0</v>
      </c>
      <c r="G53" s="61" t="str">
        <f>IFERROR(VLOOKUP(B53,TOLSEN!A:D,4,FALSE),"0")</f>
        <v>0</v>
      </c>
      <c r="H53" s="62" t="str">
        <f>IFERROR(VLOOKUP(B53,TOLSEN!A:K,6,FALSE),"0")</f>
        <v>0</v>
      </c>
      <c r="I53" s="62" t="str">
        <f>IFERROR(VLOOKUP(B53,TOLSEN!A:AC,7,FALSE),"0")</f>
        <v>0</v>
      </c>
      <c r="J53" s="63">
        <f t="shared" si="0"/>
        <v>0</v>
      </c>
      <c r="K53" s="107" t="e">
        <f t="shared" si="1"/>
        <v>#VALUE!</v>
      </c>
      <c r="L53" s="148">
        <f>IFERROR(VLOOKUP($B53,TOLSEN!A:I,8,FALSE),0)</f>
        <v>0</v>
      </c>
      <c r="M53" s="148">
        <f>IFERROR(VLOOKUP($B53,TOLSEN!A:K,9,FALSE),0)</f>
        <v>0</v>
      </c>
      <c r="N53" s="94" t="str">
        <f>IFERROR(VLOOKUP(B53,TOLSEN!A:K,5,FALSE)," ")</f>
        <v xml:space="preserve"> </v>
      </c>
      <c r="O53" s="161" t="str">
        <f>IFERROR(VLOOKUP($B53,TOLSEN!$A:$K,10,FALSE)," ")</f>
        <v xml:space="preserve"> </v>
      </c>
      <c r="P53" s="161" t="str">
        <f>IFERROR(VLOOKUP($B53,TOLSEN!$A:$K,11,FALSE)," ")</f>
        <v xml:space="preserve"> </v>
      </c>
    </row>
    <row r="54" spans="1:16" ht="52.5" customHeight="1">
      <c r="B54" s="23"/>
      <c r="C54" s="137"/>
      <c r="D54" s="108"/>
      <c r="E54" s="109"/>
      <c r="F54" s="60" t="str">
        <f>IFERROR(VLOOKUP(B54,TOLSEN!A:D,3,FALSE),"0")</f>
        <v>0</v>
      </c>
      <c r="G54" s="61" t="str">
        <f>IFERROR(VLOOKUP(B54,TOLSEN!A:D,4,FALSE),"0")</f>
        <v>0</v>
      </c>
      <c r="H54" s="62" t="str">
        <f>IFERROR(VLOOKUP(B54,TOLSEN!A:K,6,FALSE),"0")</f>
        <v>0</v>
      </c>
      <c r="I54" s="62" t="str">
        <f>IFERROR(VLOOKUP(B54,TOLSEN!A:AC,7,FALSE),"0")</f>
        <v>0</v>
      </c>
      <c r="J54" s="63">
        <f t="shared" si="0"/>
        <v>0</v>
      </c>
      <c r="K54" s="107" t="e">
        <f t="shared" si="1"/>
        <v>#VALUE!</v>
      </c>
      <c r="L54" s="148">
        <f>IFERROR(VLOOKUP($B54,TOLSEN!A:I,8,FALSE),0)</f>
        <v>0</v>
      </c>
      <c r="M54" s="148">
        <f>IFERROR(VLOOKUP($B54,TOLSEN!A:K,9,FALSE),0)</f>
        <v>0</v>
      </c>
      <c r="N54" s="94" t="str">
        <f>IFERROR(VLOOKUP(B54,TOLSEN!A:K,5,FALSE)," ")</f>
        <v xml:space="preserve"> </v>
      </c>
      <c r="O54" s="161" t="str">
        <f>IFERROR(VLOOKUP($B54,TOLSEN!$A:$K,10,FALSE)," ")</f>
        <v xml:space="preserve"> </v>
      </c>
      <c r="P54" s="161" t="str">
        <f>IFERROR(VLOOKUP($B54,TOLSEN!$A:$K,11,FALSE)," ")</f>
        <v xml:space="preserve"> </v>
      </c>
    </row>
    <row r="55" spans="1:16" ht="52.5" customHeight="1">
      <c r="B55" s="23"/>
      <c r="C55" s="137"/>
      <c r="D55" s="108"/>
      <c r="E55" s="109"/>
      <c r="F55" s="60" t="str">
        <f>IFERROR(VLOOKUP(B55,TOLSEN!A:D,3,FALSE),"0")</f>
        <v>0</v>
      </c>
      <c r="G55" s="61" t="str">
        <f>IFERROR(VLOOKUP(B55,TOLSEN!A:D,4,FALSE),"0")</f>
        <v>0</v>
      </c>
      <c r="H55" s="62" t="str">
        <f>IFERROR(VLOOKUP(B55,TOLSEN!A:K,6,FALSE),"0")</f>
        <v>0</v>
      </c>
      <c r="I55" s="62" t="str">
        <f>IFERROR(VLOOKUP(B55,TOLSEN!A:AC,7,FALSE),"0")</f>
        <v>0</v>
      </c>
      <c r="J55" s="63">
        <f t="shared" si="0"/>
        <v>0</v>
      </c>
      <c r="K55" s="107" t="e">
        <f t="shared" si="1"/>
        <v>#VALUE!</v>
      </c>
      <c r="L55" s="148">
        <f>IFERROR(VLOOKUP($B55,TOLSEN!A:I,8,FALSE),0)</f>
        <v>0</v>
      </c>
      <c r="M55" s="148">
        <f>IFERROR(VLOOKUP($B55,TOLSEN!A:K,9,FALSE),0)</f>
        <v>0</v>
      </c>
      <c r="N55" s="94" t="str">
        <f>IFERROR(VLOOKUP(B55,TOLSEN!A:K,5,FALSE)," ")</f>
        <v xml:space="preserve"> </v>
      </c>
      <c r="O55" s="161" t="str">
        <f>IFERROR(VLOOKUP($B55,TOLSEN!$A:$K,10,FALSE)," ")</f>
        <v xml:space="preserve"> </v>
      </c>
      <c r="P55" s="161" t="str">
        <f>IFERROR(VLOOKUP($B55,TOLSEN!$A:$K,11,FALSE)," ")</f>
        <v xml:space="preserve"> </v>
      </c>
    </row>
    <row r="56" spans="1:16" ht="52.5" customHeight="1">
      <c r="B56" s="23"/>
      <c r="C56" s="137"/>
      <c r="D56" s="108"/>
      <c r="E56" s="109"/>
      <c r="F56" s="60" t="str">
        <f>IFERROR(VLOOKUP(B56,TOLSEN!A:D,3,FALSE),"0")</f>
        <v>0</v>
      </c>
      <c r="G56" s="61" t="str">
        <f>IFERROR(VLOOKUP(B56,TOLSEN!A:D,4,FALSE),"0")</f>
        <v>0</v>
      </c>
      <c r="H56" s="62" t="str">
        <f>IFERROR(VLOOKUP(B56,TOLSEN!A:K,6,FALSE),"0")</f>
        <v>0</v>
      </c>
      <c r="I56" s="62" t="str">
        <f>IFERROR(VLOOKUP(B56,TOLSEN!A:AC,7,FALSE),"0")</f>
        <v>0</v>
      </c>
      <c r="J56" s="63">
        <f t="shared" si="0"/>
        <v>0</v>
      </c>
      <c r="K56" s="107" t="e">
        <f t="shared" si="1"/>
        <v>#VALUE!</v>
      </c>
      <c r="L56" s="148">
        <f>IFERROR(VLOOKUP($B56,TOLSEN!A:I,8,FALSE),0)</f>
        <v>0</v>
      </c>
      <c r="M56" s="148">
        <f>IFERROR(VLOOKUP($B56,TOLSEN!A:K,9,FALSE),0)</f>
        <v>0</v>
      </c>
      <c r="N56" s="94" t="str">
        <f>IFERROR(VLOOKUP(B56,TOLSEN!A:K,5,FALSE)," ")</f>
        <v xml:space="preserve"> </v>
      </c>
      <c r="O56" s="161" t="str">
        <f>IFERROR(VLOOKUP($B56,TOLSEN!$A:$K,10,FALSE)," ")</f>
        <v xml:space="preserve"> </v>
      </c>
      <c r="P56" s="161" t="str">
        <f>IFERROR(VLOOKUP($B56,TOLSEN!$A:$K,11,FALSE)," ")</f>
        <v xml:space="preserve"> </v>
      </c>
    </row>
    <row r="57" spans="1:16" ht="52.5" customHeight="1">
      <c r="B57" s="23"/>
      <c r="C57" s="137"/>
      <c r="D57" s="108"/>
      <c r="E57" s="109"/>
      <c r="F57" s="60" t="str">
        <f>IFERROR(VLOOKUP(B57,TOLSEN!A:D,3,FALSE),"0")</f>
        <v>0</v>
      </c>
      <c r="G57" s="61" t="str">
        <f>IFERROR(VLOOKUP(B57,TOLSEN!A:D,4,FALSE),"0")</f>
        <v>0</v>
      </c>
      <c r="H57" s="62" t="str">
        <f>IFERROR(VLOOKUP(B57,TOLSEN!A:K,6,FALSE),"0")</f>
        <v>0</v>
      </c>
      <c r="I57" s="62" t="str">
        <f>IFERROR(VLOOKUP(B57,TOLSEN!A:AC,7,FALSE),"0")</f>
        <v>0</v>
      </c>
      <c r="J57" s="63">
        <f t="shared" si="0"/>
        <v>0</v>
      </c>
      <c r="K57" s="107" t="e">
        <f t="shared" si="1"/>
        <v>#VALUE!</v>
      </c>
      <c r="L57" s="148">
        <f>IFERROR(VLOOKUP($B57,TOLSEN!A:I,8,FALSE),0)</f>
        <v>0</v>
      </c>
      <c r="M57" s="148">
        <f>IFERROR(VLOOKUP($B57,TOLSEN!A:K,9,FALSE),0)</f>
        <v>0</v>
      </c>
      <c r="N57" s="94" t="str">
        <f>IFERROR(VLOOKUP(B57,TOLSEN!A:K,5,FALSE)," ")</f>
        <v xml:space="preserve"> </v>
      </c>
      <c r="O57" s="161" t="str">
        <f>IFERROR(VLOOKUP($B57,TOLSEN!$A:$K,10,FALSE)," ")</f>
        <v xml:space="preserve"> </v>
      </c>
      <c r="P57" s="161" t="str">
        <f>IFERROR(VLOOKUP($B57,TOLSEN!$A:$K,11,FALSE)," ")</f>
        <v xml:space="preserve"> </v>
      </c>
    </row>
    <row r="58" spans="1:16" ht="52.5" customHeight="1">
      <c r="B58" s="23"/>
      <c r="C58" s="137"/>
      <c r="D58" s="108"/>
      <c r="E58" s="109"/>
      <c r="F58" s="60" t="str">
        <f>IFERROR(VLOOKUP(B58,TOLSEN!A:D,3,FALSE),"0")</f>
        <v>0</v>
      </c>
      <c r="G58" s="61" t="str">
        <f>IFERROR(VLOOKUP(B58,TOLSEN!A:D,4,FALSE),"0")</f>
        <v>0</v>
      </c>
      <c r="H58" s="62" t="str">
        <f>IFERROR(VLOOKUP(B58,TOLSEN!A:K,6,FALSE),"0")</f>
        <v>0</v>
      </c>
      <c r="I58" s="62" t="str">
        <f>IFERROR(VLOOKUP(B58,TOLSEN!A:AC,7,FALSE),"0")</f>
        <v>0</v>
      </c>
      <c r="J58" s="63">
        <f t="shared" si="0"/>
        <v>0</v>
      </c>
      <c r="K58" s="107" t="e">
        <f t="shared" si="1"/>
        <v>#VALUE!</v>
      </c>
      <c r="L58" s="148">
        <f>IFERROR(VLOOKUP($B58,TOLSEN!A:I,8,FALSE),0)</f>
        <v>0</v>
      </c>
      <c r="M58" s="148">
        <f>IFERROR(VLOOKUP($B58,TOLSEN!A:K,9,FALSE),0)</f>
        <v>0</v>
      </c>
      <c r="N58" s="94" t="str">
        <f>IFERROR(VLOOKUP(B58,TOLSEN!A:K,5,FALSE)," ")</f>
        <v xml:space="preserve"> </v>
      </c>
      <c r="O58" s="161" t="str">
        <f>IFERROR(VLOOKUP($B58,TOLSEN!$A:$K,10,FALSE)," ")</f>
        <v xml:space="preserve"> </v>
      </c>
      <c r="P58" s="161" t="str">
        <f>IFERROR(VLOOKUP($B58,TOLSEN!$A:$K,11,FALSE)," ")</f>
        <v xml:space="preserve"> </v>
      </c>
    </row>
    <row r="59" spans="1:16" ht="52.5" customHeight="1">
      <c r="B59" s="23"/>
      <c r="C59" s="137"/>
      <c r="D59" s="108"/>
      <c r="E59" s="109"/>
      <c r="F59" s="60" t="str">
        <f>IFERROR(VLOOKUP(B59,TOLSEN!A:D,3,FALSE),"0")</f>
        <v>0</v>
      </c>
      <c r="G59" s="61" t="str">
        <f>IFERROR(VLOOKUP(B59,TOLSEN!A:D,4,FALSE),"0")</f>
        <v>0</v>
      </c>
      <c r="H59" s="62" t="str">
        <f>IFERROR(VLOOKUP(B59,TOLSEN!A:K,6,FALSE),"0")</f>
        <v>0</v>
      </c>
      <c r="I59" s="62" t="str">
        <f>IFERROR(VLOOKUP(B59,TOLSEN!A:AC,7,FALSE),"0")</f>
        <v>0</v>
      </c>
      <c r="J59" s="63">
        <f t="shared" si="0"/>
        <v>0</v>
      </c>
      <c r="K59" s="107" t="e">
        <f t="shared" si="1"/>
        <v>#VALUE!</v>
      </c>
      <c r="L59" s="148">
        <f>IFERROR(VLOOKUP($B59,TOLSEN!A:I,8,FALSE),0)</f>
        <v>0</v>
      </c>
      <c r="M59" s="148">
        <f>IFERROR(VLOOKUP($B59,TOLSEN!A:K,9,FALSE),0)</f>
        <v>0</v>
      </c>
      <c r="N59" s="94" t="str">
        <f>IFERROR(VLOOKUP(B59,TOLSEN!A:K,5,FALSE)," ")</f>
        <v xml:space="preserve"> </v>
      </c>
      <c r="O59" s="161" t="str">
        <f>IFERROR(VLOOKUP($B59,TOLSEN!$A:$K,10,FALSE)," ")</f>
        <v xml:space="preserve"> </v>
      </c>
      <c r="P59" s="161" t="str">
        <f>IFERROR(VLOOKUP($B59,TOLSEN!$A:$K,11,FALSE)," ")</f>
        <v xml:space="preserve"> </v>
      </c>
    </row>
    <row r="60" spans="1:16" ht="52.5" customHeight="1">
      <c r="B60" s="23"/>
      <c r="C60" s="137"/>
      <c r="D60" s="108"/>
      <c r="E60" s="109"/>
      <c r="F60" s="60" t="str">
        <f>IFERROR(VLOOKUP(B60,TOLSEN!A:D,3,FALSE),"0")</f>
        <v>0</v>
      </c>
      <c r="G60" s="61" t="str">
        <f>IFERROR(VLOOKUP(B60,TOLSEN!A:D,4,FALSE),"0")</f>
        <v>0</v>
      </c>
      <c r="H60" s="62" t="str">
        <f>IFERROR(VLOOKUP(B60,TOLSEN!A:K,6,FALSE),"0")</f>
        <v>0</v>
      </c>
      <c r="I60" s="62" t="str">
        <f>IFERROR(VLOOKUP(B60,TOLSEN!A:AC,7,FALSE),"0")</f>
        <v>0</v>
      </c>
      <c r="J60" s="63">
        <f t="shared" si="0"/>
        <v>0</v>
      </c>
      <c r="K60" s="107" t="e">
        <f t="shared" si="1"/>
        <v>#VALUE!</v>
      </c>
      <c r="L60" s="148">
        <f>IFERROR(VLOOKUP($B60,TOLSEN!A:I,8,FALSE),0)</f>
        <v>0</v>
      </c>
      <c r="M60" s="148">
        <f>IFERROR(VLOOKUP($B60,TOLSEN!A:K,9,FALSE),0)</f>
        <v>0</v>
      </c>
      <c r="N60" s="94" t="str">
        <f>IFERROR(VLOOKUP(B60,TOLSEN!A:K,5,FALSE)," ")</f>
        <v xml:space="preserve"> </v>
      </c>
      <c r="O60" s="161" t="str">
        <f>IFERROR(VLOOKUP($B60,TOLSEN!$A:$K,10,FALSE)," ")</f>
        <v xml:space="preserve"> </v>
      </c>
      <c r="P60" s="161" t="str">
        <f>IFERROR(VLOOKUP($B60,TOLSEN!$A:$K,11,FALSE)," ")</f>
        <v xml:space="preserve"> </v>
      </c>
    </row>
    <row r="61" spans="1:16" ht="52.5" customHeight="1">
      <c r="B61" s="23"/>
      <c r="C61" s="137"/>
      <c r="D61" s="108"/>
      <c r="E61" s="109"/>
      <c r="F61" s="60" t="str">
        <f>IFERROR(VLOOKUP(B61,TOLSEN!A:D,3,FALSE),"0")</f>
        <v>0</v>
      </c>
      <c r="G61" s="61" t="str">
        <f>IFERROR(VLOOKUP(B61,TOLSEN!A:D,4,FALSE),"0")</f>
        <v>0</v>
      </c>
      <c r="H61" s="62" t="str">
        <f>IFERROR(VLOOKUP(B61,TOLSEN!A:K,6,FALSE),"0")</f>
        <v>0</v>
      </c>
      <c r="I61" s="62" t="str">
        <f>IFERROR(VLOOKUP(B61,TOLSEN!A:AC,7,FALSE),"0")</f>
        <v>0</v>
      </c>
      <c r="J61" s="63">
        <f t="shared" si="0"/>
        <v>0</v>
      </c>
      <c r="K61" s="107" t="e">
        <f t="shared" si="1"/>
        <v>#VALUE!</v>
      </c>
      <c r="L61" s="148">
        <f>IFERROR(VLOOKUP($B61,TOLSEN!A:I,8,FALSE),0)</f>
        <v>0</v>
      </c>
      <c r="M61" s="148">
        <f>IFERROR(VLOOKUP($B61,TOLSEN!A:K,9,FALSE),0)</f>
        <v>0</v>
      </c>
      <c r="N61" s="94" t="str">
        <f>IFERROR(VLOOKUP(B61,TOLSEN!A:K,5,FALSE)," ")</f>
        <v xml:space="preserve"> </v>
      </c>
      <c r="O61" s="161" t="str">
        <f>IFERROR(VLOOKUP($B61,TOLSEN!$A:$K,10,FALSE)," ")</f>
        <v xml:space="preserve"> </v>
      </c>
      <c r="P61" s="161" t="str">
        <f>IFERROR(VLOOKUP($B61,TOLSEN!$A:$K,11,FALSE)," ")</f>
        <v xml:space="preserve"> </v>
      </c>
    </row>
    <row r="62" spans="1:16" ht="52.5" customHeight="1">
      <c r="B62" s="23"/>
      <c r="C62" s="137"/>
      <c r="D62" s="108"/>
      <c r="E62" s="109"/>
      <c r="F62" s="60" t="str">
        <f>IFERROR(VLOOKUP(B62,TOLSEN!A:D,3,FALSE),"0")</f>
        <v>0</v>
      </c>
      <c r="G62" s="61" t="str">
        <f>IFERROR(VLOOKUP(B62,TOLSEN!A:D,4,FALSE),"0")</f>
        <v>0</v>
      </c>
      <c r="H62" s="62" t="str">
        <f>IFERROR(VLOOKUP(B62,TOLSEN!A:K,6,FALSE),"0")</f>
        <v>0</v>
      </c>
      <c r="I62" s="62" t="str">
        <f>IFERROR(VLOOKUP(B62,TOLSEN!A:AC,7,FALSE),"0")</f>
        <v>0</v>
      </c>
      <c r="J62" s="63">
        <f t="shared" si="0"/>
        <v>0</v>
      </c>
      <c r="K62" s="107" t="e">
        <f t="shared" si="1"/>
        <v>#VALUE!</v>
      </c>
      <c r="L62" s="148">
        <f>IFERROR(VLOOKUP($B62,TOLSEN!A:I,8,FALSE),0)</f>
        <v>0</v>
      </c>
      <c r="M62" s="148">
        <f>IFERROR(VLOOKUP($B62,TOLSEN!A:K,9,FALSE),0)</f>
        <v>0</v>
      </c>
      <c r="N62" s="94" t="str">
        <f>IFERROR(VLOOKUP(B62,TOLSEN!A:K,5,FALSE)," ")</f>
        <v xml:space="preserve"> </v>
      </c>
      <c r="O62" s="161" t="str">
        <f>IFERROR(VLOOKUP($B62,TOLSEN!$A:$K,10,FALSE)," ")</f>
        <v xml:space="preserve"> </v>
      </c>
      <c r="P62" s="161" t="str">
        <f>IFERROR(VLOOKUP($B62,TOLSEN!$A:$K,11,FALSE)," ")</f>
        <v xml:space="preserve"> </v>
      </c>
    </row>
    <row r="63" spans="1:16" ht="52.5" customHeight="1">
      <c r="B63" s="23"/>
      <c r="C63" s="137"/>
      <c r="D63" s="108"/>
      <c r="E63" s="109"/>
      <c r="F63" s="60" t="str">
        <f>IFERROR(VLOOKUP(B63,TOLSEN!A:D,3,FALSE),"0")</f>
        <v>0</v>
      </c>
      <c r="G63" s="61" t="str">
        <f>IFERROR(VLOOKUP(B63,TOLSEN!A:D,4,FALSE),"0")</f>
        <v>0</v>
      </c>
      <c r="H63" s="62" t="str">
        <f>IFERROR(VLOOKUP(B63,TOLSEN!A:K,6,FALSE),"0")</f>
        <v>0</v>
      </c>
      <c r="I63" s="62" t="str">
        <f>IFERROR(VLOOKUP(B63,TOLSEN!A:AC,7,FALSE),"0")</f>
        <v>0</v>
      </c>
      <c r="J63" s="63">
        <f t="shared" si="0"/>
        <v>0</v>
      </c>
      <c r="K63" s="107" t="e">
        <f t="shared" si="1"/>
        <v>#VALUE!</v>
      </c>
      <c r="L63" s="148">
        <f>IFERROR(VLOOKUP($B63,TOLSEN!A:I,8,FALSE),0)</f>
        <v>0</v>
      </c>
      <c r="M63" s="148">
        <f>IFERROR(VLOOKUP($B63,TOLSEN!A:K,9,FALSE),0)</f>
        <v>0</v>
      </c>
      <c r="N63" s="94" t="str">
        <f>IFERROR(VLOOKUP(B63,TOLSEN!A:K,5,FALSE)," ")</f>
        <v xml:space="preserve"> </v>
      </c>
      <c r="O63" s="161" t="str">
        <f>IFERROR(VLOOKUP($B63,TOLSEN!$A:$K,10,FALSE)," ")</f>
        <v xml:space="preserve"> </v>
      </c>
      <c r="P63" s="161" t="str">
        <f>IFERROR(VLOOKUP($B63,TOLSEN!$A:$K,11,FALSE)," ")</f>
        <v xml:space="preserve"> </v>
      </c>
    </row>
    <row r="64" spans="1:16" ht="52.5" customHeight="1">
      <c r="B64" s="23"/>
      <c r="C64" s="137"/>
      <c r="D64" s="108"/>
      <c r="E64" s="109"/>
      <c r="F64" s="60" t="str">
        <f>IFERROR(VLOOKUP(B64,TOLSEN!A:D,3,FALSE),"0")</f>
        <v>0</v>
      </c>
      <c r="G64" s="61" t="str">
        <f>IFERROR(VLOOKUP(B64,TOLSEN!A:D,4,FALSE),"0")</f>
        <v>0</v>
      </c>
      <c r="H64" s="62" t="str">
        <f>IFERROR(VLOOKUP(B64,TOLSEN!A:K,6,FALSE),"0")</f>
        <v>0</v>
      </c>
      <c r="I64" s="62" t="str">
        <f>IFERROR(VLOOKUP(B64,TOLSEN!A:AC,7,FALSE),"0")</f>
        <v>0</v>
      </c>
      <c r="J64" s="63">
        <f t="shared" si="0"/>
        <v>0</v>
      </c>
      <c r="K64" s="107" t="e">
        <f t="shared" si="1"/>
        <v>#VALUE!</v>
      </c>
      <c r="L64" s="148">
        <f>IFERROR(VLOOKUP($B64,TOLSEN!A:I,8,FALSE),0)</f>
        <v>0</v>
      </c>
      <c r="M64" s="148">
        <f>IFERROR(VLOOKUP($B64,TOLSEN!A:K,9,FALSE),0)</f>
        <v>0</v>
      </c>
      <c r="N64" s="94" t="str">
        <f>IFERROR(VLOOKUP(B64,TOLSEN!A:K,5,FALSE)," ")</f>
        <v xml:space="preserve"> </v>
      </c>
      <c r="O64" s="161" t="str">
        <f>IFERROR(VLOOKUP($B64,TOLSEN!$A:$K,10,FALSE)," ")</f>
        <v xml:space="preserve"> </v>
      </c>
      <c r="P64" s="161" t="str">
        <f>IFERROR(VLOOKUP($B64,TOLSEN!$A:$K,11,FALSE)," ")</f>
        <v xml:space="preserve"> </v>
      </c>
    </row>
    <row r="65" spans="2:16" ht="52.5" customHeight="1">
      <c r="B65" s="24"/>
      <c r="C65" s="137"/>
      <c r="D65" s="109"/>
      <c r="E65" s="109"/>
      <c r="F65" s="60" t="str">
        <f>IFERROR(VLOOKUP(B65,TOLSEN!A:D,3,FALSE),"0")</f>
        <v>0</v>
      </c>
      <c r="G65" s="61" t="str">
        <f>IFERROR(VLOOKUP(B65,TOLSEN!A:D,4,FALSE),"0")</f>
        <v>0</v>
      </c>
      <c r="H65" s="62" t="str">
        <f>IFERROR(VLOOKUP(B65,TOLSEN!A:K,6,FALSE),"0")</f>
        <v>0</v>
      </c>
      <c r="I65" s="62" t="str">
        <f>IFERROR(VLOOKUP(B65,TOLSEN!A:AC,7,FALSE),"0")</f>
        <v>0</v>
      </c>
      <c r="J65" s="63">
        <f t="shared" si="0"/>
        <v>0</v>
      </c>
      <c r="K65" s="107" t="e">
        <f t="shared" si="1"/>
        <v>#VALUE!</v>
      </c>
      <c r="L65" s="148">
        <f>IFERROR(VLOOKUP($B65,TOLSEN!A:I,8,FALSE),0)</f>
        <v>0</v>
      </c>
      <c r="M65" s="148">
        <f>IFERROR(VLOOKUP($B65,TOLSEN!A:K,9,FALSE),0)</f>
        <v>0</v>
      </c>
      <c r="N65" s="94" t="str">
        <f>IFERROR(VLOOKUP(B65,TOLSEN!A:K,5,FALSE)," ")</f>
        <v xml:space="preserve"> </v>
      </c>
      <c r="O65" s="161" t="str">
        <f>IFERROR(VLOOKUP($B65,TOLSEN!$A:$K,10,FALSE)," ")</f>
        <v xml:space="preserve"> </v>
      </c>
      <c r="P65" s="161" t="str">
        <f>IFERROR(VLOOKUP($B65,TOLSEN!$A:$K,11,FALSE)," ")</f>
        <v xml:space="preserve"> </v>
      </c>
    </row>
    <row r="66" spans="2:16" ht="52.5" customHeight="1">
      <c r="B66" s="25"/>
      <c r="C66" s="138"/>
      <c r="D66" s="109"/>
      <c r="E66" s="109"/>
      <c r="F66" s="60" t="str">
        <f>IFERROR(VLOOKUP(B66,TOLSEN!A:D,3,FALSE),"0")</f>
        <v>0</v>
      </c>
      <c r="G66" s="61" t="str">
        <f>IFERROR(VLOOKUP(B66,TOLSEN!A:D,4,FALSE),"0")</f>
        <v>0</v>
      </c>
      <c r="H66" s="62" t="str">
        <f>IFERROR(VLOOKUP(B66,TOLSEN!A:K,6,FALSE),"0")</f>
        <v>0</v>
      </c>
      <c r="I66" s="62" t="str">
        <f>IFERROR(VLOOKUP(B66,TOLSEN!A:AC,7,FALSE),"0")</f>
        <v>0</v>
      </c>
      <c r="J66" s="63">
        <f t="shared" si="0"/>
        <v>0</v>
      </c>
      <c r="K66" s="107" t="e">
        <f t="shared" si="1"/>
        <v>#VALUE!</v>
      </c>
      <c r="L66" s="148">
        <f>IFERROR(VLOOKUP($B66,TOLSEN!A:I,8,FALSE),0)</f>
        <v>0</v>
      </c>
      <c r="M66" s="148">
        <f>IFERROR(VLOOKUP($B66,TOLSEN!A:K,9,FALSE),0)</f>
        <v>0</v>
      </c>
      <c r="N66" s="94" t="str">
        <f>IFERROR(VLOOKUP(B66,TOLSEN!A:K,5,FALSE)," ")</f>
        <v xml:space="preserve"> </v>
      </c>
      <c r="O66" s="161" t="str">
        <f>IFERROR(VLOOKUP($B66,TOLSEN!$A:$K,10,FALSE)," ")</f>
        <v xml:space="preserve"> </v>
      </c>
      <c r="P66" s="161" t="str">
        <f>IFERROR(VLOOKUP($B66,TOLSEN!$A:$K,11,FALSE)," ")</f>
        <v xml:space="preserve"> </v>
      </c>
    </row>
    <row r="67" spans="2:16" ht="52.5" customHeight="1">
      <c r="B67" s="25"/>
      <c r="C67" s="137"/>
      <c r="D67" s="109"/>
      <c r="E67" s="109"/>
      <c r="F67" s="60" t="str">
        <f>IFERROR(VLOOKUP(B67,TOLSEN!A:D,3,FALSE),"0")</f>
        <v>0</v>
      </c>
      <c r="G67" s="61" t="str">
        <f>IFERROR(VLOOKUP(B67,TOLSEN!A:D,4,FALSE),"0")</f>
        <v>0</v>
      </c>
      <c r="H67" s="62" t="str">
        <f>IFERROR(VLOOKUP(B67,TOLSEN!A:K,6,FALSE),"0")</f>
        <v>0</v>
      </c>
      <c r="I67" s="62" t="str">
        <f>IFERROR(VLOOKUP(B67,TOLSEN!A:AC,7,FALSE),"0")</f>
        <v>0</v>
      </c>
      <c r="J67" s="63">
        <f t="shared" si="0"/>
        <v>0</v>
      </c>
      <c r="K67" s="107" t="e">
        <f t="shared" si="1"/>
        <v>#VALUE!</v>
      </c>
      <c r="L67" s="148">
        <f>IFERROR(VLOOKUP($B67,TOLSEN!A:I,8,FALSE),0)</f>
        <v>0</v>
      </c>
      <c r="M67" s="148">
        <f>IFERROR(VLOOKUP($B67,TOLSEN!A:K,9,FALSE),0)</f>
        <v>0</v>
      </c>
      <c r="N67" s="94" t="str">
        <f>IFERROR(VLOOKUP(B67,TOLSEN!A:K,5,FALSE)," ")</f>
        <v xml:space="preserve"> </v>
      </c>
      <c r="O67" s="161" t="str">
        <f>IFERROR(VLOOKUP($B67,TOLSEN!$A:$K,10,FALSE)," ")</f>
        <v xml:space="preserve"> </v>
      </c>
      <c r="P67" s="161" t="str">
        <f>IFERROR(VLOOKUP($B67,TOLSEN!$A:$K,11,FALSE)," ")</f>
        <v xml:space="preserve"> </v>
      </c>
    </row>
    <row r="68" spans="2:16" ht="52.5" customHeight="1">
      <c r="B68" s="25"/>
      <c r="C68" s="138"/>
      <c r="D68" s="109"/>
      <c r="E68" s="109"/>
      <c r="F68" s="60" t="str">
        <f>IFERROR(VLOOKUP(B68,TOLSEN!A:D,3,FALSE),"0")</f>
        <v>0</v>
      </c>
      <c r="G68" s="61" t="str">
        <f>IFERROR(VLOOKUP(B68,TOLSEN!A:D,4,FALSE),"0")</f>
        <v>0</v>
      </c>
      <c r="H68" s="62" t="str">
        <f>IFERROR(VLOOKUP(B68,TOLSEN!A:K,6,FALSE),"0")</f>
        <v>0</v>
      </c>
      <c r="I68" s="62" t="str">
        <f>IFERROR(VLOOKUP(B68,TOLSEN!A:AC,7,FALSE),"0")</f>
        <v>0</v>
      </c>
      <c r="J68" s="63">
        <f t="shared" si="0"/>
        <v>0</v>
      </c>
      <c r="K68" s="107" t="e">
        <f t="shared" si="1"/>
        <v>#VALUE!</v>
      </c>
      <c r="L68" s="148">
        <f>IFERROR(VLOOKUP($B68,TOLSEN!A:I,8,FALSE),0)</f>
        <v>0</v>
      </c>
      <c r="M68" s="148">
        <f>IFERROR(VLOOKUP($B68,TOLSEN!A:K,9,FALSE),0)</f>
        <v>0</v>
      </c>
      <c r="N68" s="94" t="str">
        <f>IFERROR(VLOOKUP(B68,TOLSEN!A:K,5,FALSE)," ")</f>
        <v xml:space="preserve"> </v>
      </c>
      <c r="O68" s="161" t="str">
        <f>IFERROR(VLOOKUP($B68,TOLSEN!$A:$K,10,FALSE)," ")</f>
        <v xml:space="preserve"> </v>
      </c>
      <c r="P68" s="161" t="str">
        <f>IFERROR(VLOOKUP($B68,TOLSEN!$A:$K,11,FALSE)," ")</f>
        <v xml:space="preserve"> </v>
      </c>
    </row>
    <row r="69" spans="2:16" ht="52.5" customHeight="1">
      <c r="B69" s="25"/>
      <c r="C69" s="137"/>
      <c r="D69" s="109"/>
      <c r="E69" s="109"/>
      <c r="F69" s="60" t="str">
        <f>IFERROR(VLOOKUP(B69,TOLSEN!A:D,3,FALSE),"0")</f>
        <v>0</v>
      </c>
      <c r="G69" s="61" t="str">
        <f>IFERROR(VLOOKUP(B69,TOLSEN!A:D,4,FALSE),"0")</f>
        <v>0</v>
      </c>
      <c r="H69" s="62" t="str">
        <f>IFERROR(VLOOKUP(B69,TOLSEN!A:K,6,FALSE),"0")</f>
        <v>0</v>
      </c>
      <c r="I69" s="62" t="str">
        <f>IFERROR(VLOOKUP(B69,TOLSEN!A:AC,7,FALSE),"0")</f>
        <v>0</v>
      </c>
      <c r="J69" s="63">
        <f t="shared" si="0"/>
        <v>0</v>
      </c>
      <c r="K69" s="107" t="e">
        <f t="shared" si="1"/>
        <v>#VALUE!</v>
      </c>
      <c r="L69" s="148">
        <f>IFERROR(VLOOKUP($B69,TOLSEN!A:I,8,FALSE),0)</f>
        <v>0</v>
      </c>
      <c r="M69" s="148">
        <f>IFERROR(VLOOKUP($B69,TOLSEN!A:K,9,FALSE),0)</f>
        <v>0</v>
      </c>
      <c r="N69" s="94" t="str">
        <f>IFERROR(VLOOKUP(B69,TOLSEN!A:K,5,FALSE)," ")</f>
        <v xml:space="preserve"> </v>
      </c>
      <c r="O69" s="161" t="str">
        <f>IFERROR(VLOOKUP($B69,TOLSEN!$A:$K,10,FALSE)," ")</f>
        <v xml:space="preserve"> </v>
      </c>
      <c r="P69" s="161" t="str">
        <f>IFERROR(VLOOKUP($B69,TOLSEN!$A:$K,11,FALSE)," ")</f>
        <v xml:space="preserve"> </v>
      </c>
    </row>
    <row r="70" spans="2:16" ht="52.5" customHeight="1">
      <c r="B70" s="25"/>
      <c r="C70" s="138"/>
      <c r="D70" s="109"/>
      <c r="E70" s="109"/>
      <c r="F70" s="60" t="str">
        <f>IFERROR(VLOOKUP(B70,TOLSEN!A:D,3,FALSE),"0")</f>
        <v>0</v>
      </c>
      <c r="G70" s="61" t="str">
        <f>IFERROR(VLOOKUP(B70,TOLSEN!A:D,4,FALSE),"0")</f>
        <v>0</v>
      </c>
      <c r="H70" s="62" t="str">
        <f>IFERROR(VLOOKUP(B70,TOLSEN!A:K,6,FALSE),"0")</f>
        <v>0</v>
      </c>
      <c r="I70" s="62" t="str">
        <f>IFERROR(VLOOKUP(B70,TOLSEN!A:AC,7,FALSE),"0")</f>
        <v>0</v>
      </c>
      <c r="J70" s="63">
        <f t="shared" si="0"/>
        <v>0</v>
      </c>
      <c r="K70" s="107" t="e">
        <f t="shared" si="1"/>
        <v>#VALUE!</v>
      </c>
      <c r="L70" s="148">
        <f>IFERROR(VLOOKUP($B70,TOLSEN!A:I,8,FALSE),0)</f>
        <v>0</v>
      </c>
      <c r="M70" s="148">
        <f>IFERROR(VLOOKUP($B70,TOLSEN!A:K,9,FALSE),0)</f>
        <v>0</v>
      </c>
      <c r="N70" s="94" t="str">
        <f>IFERROR(VLOOKUP(B70,TOLSEN!A:K,5,FALSE)," ")</f>
        <v xml:space="preserve"> </v>
      </c>
      <c r="O70" s="161" t="str">
        <f>IFERROR(VLOOKUP($B70,TOLSEN!$A:$K,10,FALSE)," ")</f>
        <v xml:space="preserve"> </v>
      </c>
      <c r="P70" s="161" t="str">
        <f>IFERROR(VLOOKUP($B70,TOLSEN!$A:$K,11,FALSE)," ")</f>
        <v xml:space="preserve"> </v>
      </c>
    </row>
    <row r="71" spans="2:16" ht="52.5" customHeight="1">
      <c r="B71" s="25"/>
      <c r="C71" s="137"/>
      <c r="D71" s="109"/>
      <c r="E71" s="109"/>
      <c r="F71" s="60" t="str">
        <f>IFERROR(VLOOKUP(B71,TOLSEN!A:D,3,FALSE),"0")</f>
        <v>0</v>
      </c>
      <c r="G71" s="61" t="str">
        <f>IFERROR(VLOOKUP(B71,TOLSEN!A:D,4,FALSE),"0")</f>
        <v>0</v>
      </c>
      <c r="H71" s="62" t="str">
        <f>IFERROR(VLOOKUP(B71,TOLSEN!A:K,6,FALSE),"0")</f>
        <v>0</v>
      </c>
      <c r="I71" s="62" t="str">
        <f>IFERROR(VLOOKUP(B71,TOLSEN!A:AC,7,FALSE),"0")</f>
        <v>0</v>
      </c>
      <c r="J71" s="63">
        <f t="shared" si="0"/>
        <v>0</v>
      </c>
      <c r="K71" s="107" t="e">
        <f t="shared" si="1"/>
        <v>#VALUE!</v>
      </c>
      <c r="L71" s="148">
        <f>IFERROR(VLOOKUP($B71,TOLSEN!A:I,8,FALSE),0)</f>
        <v>0</v>
      </c>
      <c r="M71" s="148">
        <f>IFERROR(VLOOKUP($B71,TOLSEN!A:K,9,FALSE),0)</f>
        <v>0</v>
      </c>
      <c r="N71" s="94" t="str">
        <f>IFERROR(VLOOKUP(B71,TOLSEN!A:K,5,FALSE)," ")</f>
        <v xml:space="preserve"> </v>
      </c>
      <c r="O71" s="161" t="str">
        <f>IFERROR(VLOOKUP($B71,TOLSEN!$A:$K,10,FALSE)," ")</f>
        <v xml:space="preserve"> </v>
      </c>
      <c r="P71" s="161" t="str">
        <f>IFERROR(VLOOKUP($B71,TOLSEN!$A:$K,11,FALSE)," ")</f>
        <v xml:space="preserve"> </v>
      </c>
    </row>
    <row r="72" spans="2:16" ht="52.5" customHeight="1">
      <c r="B72" s="25"/>
      <c r="C72" s="138"/>
      <c r="D72" s="109"/>
      <c r="E72" s="109"/>
      <c r="F72" s="60" t="str">
        <f>IFERROR(VLOOKUP(B72,TOLSEN!A:D,3,FALSE),"0")</f>
        <v>0</v>
      </c>
      <c r="G72" s="61" t="str">
        <f>IFERROR(VLOOKUP(B72,TOLSEN!A:D,4,FALSE),"0")</f>
        <v>0</v>
      </c>
      <c r="H72" s="62" t="str">
        <f>IFERROR(VLOOKUP(B72,TOLSEN!A:K,6,FALSE),"0")</f>
        <v>0</v>
      </c>
      <c r="I72" s="62" t="str">
        <f>IFERROR(VLOOKUP(B72,TOLSEN!A:AC,7,FALSE),"0")</f>
        <v>0</v>
      </c>
      <c r="J72" s="63">
        <f t="shared" si="0"/>
        <v>0</v>
      </c>
      <c r="K72" s="107" t="e">
        <f t="shared" si="1"/>
        <v>#VALUE!</v>
      </c>
      <c r="L72" s="148">
        <f>IFERROR(VLOOKUP($B72,TOLSEN!A:I,8,FALSE),0)</f>
        <v>0</v>
      </c>
      <c r="M72" s="148">
        <f>IFERROR(VLOOKUP($B72,TOLSEN!A:K,9,FALSE),0)</f>
        <v>0</v>
      </c>
      <c r="N72" s="94" t="str">
        <f>IFERROR(VLOOKUP(B72,TOLSEN!A:K,5,FALSE)," ")</f>
        <v xml:space="preserve"> </v>
      </c>
      <c r="O72" s="161" t="str">
        <f>IFERROR(VLOOKUP($B72,TOLSEN!$A:$K,10,FALSE)," ")</f>
        <v xml:space="preserve"> </v>
      </c>
      <c r="P72" s="161" t="str">
        <f>IFERROR(VLOOKUP($B72,TOLSEN!$A:$K,11,FALSE)," ")</f>
        <v xml:space="preserve"> </v>
      </c>
    </row>
    <row r="73" spans="2:16" ht="52.5" customHeight="1">
      <c r="B73" s="25"/>
      <c r="C73" s="137"/>
      <c r="D73" s="109"/>
      <c r="E73" s="109"/>
      <c r="F73" s="60" t="str">
        <f>IFERROR(VLOOKUP(B73,TOLSEN!A:D,3,FALSE),"0")</f>
        <v>0</v>
      </c>
      <c r="G73" s="61" t="str">
        <f>IFERROR(VLOOKUP(B73,TOLSEN!A:D,4,FALSE),"0")</f>
        <v>0</v>
      </c>
      <c r="H73" s="62" t="str">
        <f>IFERROR(VLOOKUP(B73,TOLSEN!A:K,6,FALSE),"0")</f>
        <v>0</v>
      </c>
      <c r="I73" s="62" t="str">
        <f>IFERROR(VLOOKUP(B73,TOLSEN!A:AC,7,FALSE),"0")</f>
        <v>0</v>
      </c>
      <c r="J73" s="63">
        <f t="shared" si="0"/>
        <v>0</v>
      </c>
      <c r="K73" s="107" t="e">
        <f t="shared" si="1"/>
        <v>#VALUE!</v>
      </c>
      <c r="L73" s="148">
        <f>IFERROR(VLOOKUP($B73,TOLSEN!A:I,8,FALSE),0)</f>
        <v>0</v>
      </c>
      <c r="M73" s="148">
        <f>IFERROR(VLOOKUP($B73,TOLSEN!A:K,9,FALSE),0)</f>
        <v>0</v>
      </c>
      <c r="N73" s="94" t="str">
        <f>IFERROR(VLOOKUP(B73,TOLSEN!A:K,5,FALSE)," ")</f>
        <v xml:space="preserve"> </v>
      </c>
      <c r="O73" s="161" t="str">
        <f>IFERROR(VLOOKUP($B73,TOLSEN!$A:$K,10,FALSE)," ")</f>
        <v xml:space="preserve"> </v>
      </c>
      <c r="P73" s="161" t="str">
        <f>IFERROR(VLOOKUP($B73,TOLSEN!$A:$K,11,FALSE)," ")</f>
        <v xml:space="preserve"> </v>
      </c>
    </row>
    <row r="74" spans="2:16" ht="52.5" customHeight="1">
      <c r="B74" s="25"/>
      <c r="C74" s="138"/>
      <c r="D74" s="109"/>
      <c r="E74" s="109"/>
      <c r="F74" s="60" t="str">
        <f>IFERROR(VLOOKUP(B74,TOLSEN!A:D,3,FALSE),"0")</f>
        <v>0</v>
      </c>
      <c r="G74" s="61" t="str">
        <f>IFERROR(VLOOKUP(B74,TOLSEN!A:D,4,FALSE),"0")</f>
        <v>0</v>
      </c>
      <c r="H74" s="62" t="str">
        <f>IFERROR(VLOOKUP(B74,TOLSEN!A:K,6,FALSE),"0")</f>
        <v>0</v>
      </c>
      <c r="I74" s="62" t="str">
        <f>IFERROR(VLOOKUP(B74,TOLSEN!A:AC,7,FALSE),"0")</f>
        <v>0</v>
      </c>
      <c r="J74" s="63">
        <f t="shared" si="0"/>
        <v>0</v>
      </c>
      <c r="K74" s="107" t="e">
        <f t="shared" si="1"/>
        <v>#VALUE!</v>
      </c>
      <c r="L74" s="148">
        <f>IFERROR(VLOOKUP($B74,TOLSEN!A:I,8,FALSE),0)</f>
        <v>0</v>
      </c>
      <c r="M74" s="148">
        <f>IFERROR(VLOOKUP($B74,TOLSEN!A:K,9,FALSE),0)</f>
        <v>0</v>
      </c>
      <c r="N74" s="94" t="str">
        <f>IFERROR(VLOOKUP(B74,TOLSEN!A:K,5,FALSE)," ")</f>
        <v xml:space="preserve"> </v>
      </c>
      <c r="O74" s="161" t="str">
        <f>IFERROR(VLOOKUP($B74,TOLSEN!$A:$K,10,FALSE)," ")</f>
        <v xml:space="preserve"> </v>
      </c>
      <c r="P74" s="161" t="str">
        <f>IFERROR(VLOOKUP($B74,TOLSEN!$A:$K,11,FALSE)," ")</f>
        <v xml:space="preserve"> </v>
      </c>
    </row>
    <row r="75" spans="2:16" ht="52.5" customHeight="1">
      <c r="B75" s="25"/>
      <c r="C75" s="137"/>
      <c r="D75" s="109"/>
      <c r="E75" s="109"/>
      <c r="F75" s="60" t="str">
        <f>IFERROR(VLOOKUP(B75,TOLSEN!A:D,3,FALSE),"0")</f>
        <v>0</v>
      </c>
      <c r="G75" s="61" t="str">
        <f>IFERROR(VLOOKUP(B75,TOLSEN!A:D,4,FALSE),"0")</f>
        <v>0</v>
      </c>
      <c r="H75" s="62" t="str">
        <f>IFERROR(VLOOKUP(B75,TOLSEN!A:K,6,FALSE),"0")</f>
        <v>0</v>
      </c>
      <c r="I75" s="62" t="str">
        <f>IFERROR(VLOOKUP(B75,TOLSEN!A:AC,7,FALSE),"0")</f>
        <v>0</v>
      </c>
      <c r="J75" s="63">
        <f t="shared" si="0"/>
        <v>0</v>
      </c>
      <c r="K75" s="107" t="e">
        <f t="shared" si="1"/>
        <v>#VALUE!</v>
      </c>
      <c r="L75" s="148">
        <f>IFERROR(VLOOKUP($B75,TOLSEN!A:I,8,FALSE),0)</f>
        <v>0</v>
      </c>
      <c r="M75" s="148">
        <f>IFERROR(VLOOKUP($B75,TOLSEN!A:K,9,FALSE),0)</f>
        <v>0</v>
      </c>
      <c r="N75" s="94" t="str">
        <f>IFERROR(VLOOKUP(B75,TOLSEN!A:K,5,FALSE)," ")</f>
        <v xml:space="preserve"> </v>
      </c>
      <c r="O75" s="161" t="str">
        <f>IFERROR(VLOOKUP($B75,TOLSEN!$A:$K,10,FALSE)," ")</f>
        <v xml:space="preserve"> </v>
      </c>
      <c r="P75" s="161" t="str">
        <f>IFERROR(VLOOKUP($B75,TOLSEN!$A:$K,11,FALSE)," ")</f>
        <v xml:space="preserve"> </v>
      </c>
    </row>
    <row r="76" spans="2:16" ht="52.5" customHeight="1">
      <c r="B76" s="25"/>
      <c r="C76" s="138"/>
      <c r="D76" s="109"/>
      <c r="E76" s="109"/>
      <c r="F76" s="60" t="str">
        <f>IFERROR(VLOOKUP(B76,TOLSEN!A:D,3,FALSE),"0")</f>
        <v>0</v>
      </c>
      <c r="G76" s="61" t="str">
        <f>IFERROR(VLOOKUP(B76,TOLSEN!A:D,4,FALSE),"0")</f>
        <v>0</v>
      </c>
      <c r="H76" s="62" t="str">
        <f>IFERROR(VLOOKUP(B76,TOLSEN!A:K,6,FALSE),"0")</f>
        <v>0</v>
      </c>
      <c r="I76" s="62" t="str">
        <f>IFERROR(VLOOKUP(B76,TOLSEN!A:AC,7,FALSE),"0")</f>
        <v>0</v>
      </c>
      <c r="J76" s="63">
        <f t="shared" si="0"/>
        <v>0</v>
      </c>
      <c r="K76" s="107" t="e">
        <f t="shared" si="1"/>
        <v>#VALUE!</v>
      </c>
      <c r="L76" s="148">
        <f>IFERROR(VLOOKUP($B76,TOLSEN!A:I,8,FALSE),0)</f>
        <v>0</v>
      </c>
      <c r="M76" s="148">
        <f>IFERROR(VLOOKUP($B76,TOLSEN!A:K,9,FALSE),0)</f>
        <v>0</v>
      </c>
      <c r="N76" s="94" t="str">
        <f>IFERROR(VLOOKUP(B76,TOLSEN!A:K,5,FALSE)," ")</f>
        <v xml:space="preserve"> </v>
      </c>
      <c r="O76" s="161" t="str">
        <f>IFERROR(VLOOKUP($B76,TOLSEN!$A:$K,10,FALSE)," ")</f>
        <v xml:space="preserve"> </v>
      </c>
      <c r="P76" s="161" t="str">
        <f>IFERROR(VLOOKUP($B76,TOLSEN!$A:$K,11,FALSE)," ")</f>
        <v xml:space="preserve"> </v>
      </c>
    </row>
    <row r="77" spans="2:16" ht="52.5" customHeight="1">
      <c r="B77" s="25"/>
      <c r="C77" s="137"/>
      <c r="D77" s="109"/>
      <c r="E77" s="109"/>
      <c r="F77" s="60" t="str">
        <f>IFERROR(VLOOKUP(B77,TOLSEN!A:D,3,FALSE),"0")</f>
        <v>0</v>
      </c>
      <c r="G77" s="61" t="str">
        <f>IFERROR(VLOOKUP(B77,TOLSEN!A:D,4,FALSE),"0")</f>
        <v>0</v>
      </c>
      <c r="H77" s="62" t="str">
        <f>IFERROR(VLOOKUP(B77,TOLSEN!A:K,6,FALSE),"0")</f>
        <v>0</v>
      </c>
      <c r="I77" s="62" t="str">
        <f>IFERROR(VLOOKUP(B77,TOLSEN!A:AC,7,FALSE),"0")</f>
        <v>0</v>
      </c>
      <c r="J77" s="63">
        <f t="shared" si="0"/>
        <v>0</v>
      </c>
      <c r="K77" s="107" t="e">
        <f t="shared" si="1"/>
        <v>#VALUE!</v>
      </c>
      <c r="L77" s="148">
        <f>IFERROR(VLOOKUP($B77,TOLSEN!A:I,8,FALSE),0)</f>
        <v>0</v>
      </c>
      <c r="M77" s="148">
        <f>IFERROR(VLOOKUP($B77,TOLSEN!A:K,9,FALSE),0)</f>
        <v>0</v>
      </c>
      <c r="N77" s="94" t="str">
        <f>IFERROR(VLOOKUP(B77,TOLSEN!A:K,5,FALSE)," ")</f>
        <v xml:space="preserve"> </v>
      </c>
      <c r="O77" s="161" t="str">
        <f>IFERROR(VLOOKUP($B77,TOLSEN!$A:$K,10,FALSE)," ")</f>
        <v xml:space="preserve"> </v>
      </c>
      <c r="P77" s="161" t="str">
        <f>IFERROR(VLOOKUP($B77,TOLSEN!$A:$K,11,FALSE)," ")</f>
        <v xml:space="preserve"> </v>
      </c>
    </row>
    <row r="78" spans="2:16" ht="52.5" customHeight="1">
      <c r="B78" s="25"/>
      <c r="C78" s="138"/>
      <c r="D78" s="109"/>
      <c r="E78" s="109"/>
      <c r="F78" s="60" t="str">
        <f>IFERROR(VLOOKUP(B78,TOLSEN!A:D,3,FALSE),"0")</f>
        <v>0</v>
      </c>
      <c r="G78" s="61" t="str">
        <f>IFERROR(VLOOKUP(B78,TOLSEN!A:D,4,FALSE),"0")</f>
        <v>0</v>
      </c>
      <c r="H78" s="62" t="str">
        <f>IFERROR(VLOOKUP(B78,TOLSEN!A:K,6,FALSE),"0")</f>
        <v>0</v>
      </c>
      <c r="I78" s="62" t="str">
        <f>IFERROR(VLOOKUP(B78,TOLSEN!A:AC,7,FALSE),"0")</f>
        <v>0</v>
      </c>
      <c r="J78" s="63">
        <f t="shared" si="0"/>
        <v>0</v>
      </c>
      <c r="K78" s="107" t="e">
        <f t="shared" si="1"/>
        <v>#VALUE!</v>
      </c>
      <c r="L78" s="148">
        <f>IFERROR(VLOOKUP($B78,TOLSEN!A:I,8,FALSE),0)</f>
        <v>0</v>
      </c>
      <c r="M78" s="148">
        <f>IFERROR(VLOOKUP($B78,TOLSEN!A:K,9,FALSE),0)</f>
        <v>0</v>
      </c>
      <c r="N78" s="94" t="str">
        <f>IFERROR(VLOOKUP(B78,TOLSEN!A:K,5,FALSE)," ")</f>
        <v xml:space="preserve"> </v>
      </c>
      <c r="O78" s="161" t="str">
        <f>IFERROR(VLOOKUP($B78,TOLSEN!$A:$K,10,FALSE)," ")</f>
        <v xml:space="preserve"> </v>
      </c>
      <c r="P78" s="161" t="str">
        <f>IFERROR(VLOOKUP($B78,TOLSEN!$A:$K,11,FALSE)," ")</f>
        <v xml:space="preserve"> </v>
      </c>
    </row>
    <row r="79" spans="2:16" ht="52.5" customHeight="1">
      <c r="B79" s="25"/>
      <c r="C79" s="137"/>
      <c r="D79" s="109"/>
      <c r="E79" s="109"/>
      <c r="F79" s="60" t="str">
        <f>IFERROR(VLOOKUP(B79,TOLSEN!A:D,3,FALSE),"0")</f>
        <v>0</v>
      </c>
      <c r="G79" s="61" t="str">
        <f>IFERROR(VLOOKUP(B79,TOLSEN!A:D,4,FALSE),"0")</f>
        <v>0</v>
      </c>
      <c r="H79" s="62" t="str">
        <f>IFERROR(VLOOKUP(B79,TOLSEN!A:K,6,FALSE),"0")</f>
        <v>0</v>
      </c>
      <c r="I79" s="62" t="str">
        <f>IFERROR(VLOOKUP(B79,TOLSEN!A:AC,7,FALSE),"0")</f>
        <v>0</v>
      </c>
      <c r="J79" s="63">
        <f t="shared" si="0"/>
        <v>0</v>
      </c>
      <c r="K79" s="107" t="e">
        <f t="shared" si="1"/>
        <v>#VALUE!</v>
      </c>
      <c r="L79" s="148">
        <f>IFERROR(VLOOKUP($B79,TOLSEN!A:I,8,FALSE),0)</f>
        <v>0</v>
      </c>
      <c r="M79" s="148">
        <f>IFERROR(VLOOKUP($B79,TOLSEN!A:K,9,FALSE),0)</f>
        <v>0</v>
      </c>
      <c r="N79" s="94" t="str">
        <f>IFERROR(VLOOKUP(B79,TOLSEN!A:K,5,FALSE)," ")</f>
        <v xml:space="preserve"> </v>
      </c>
      <c r="O79" s="161" t="str">
        <f>IFERROR(VLOOKUP($B79,TOLSEN!$A:$K,10,FALSE)," ")</f>
        <v xml:space="preserve"> </v>
      </c>
      <c r="P79" s="161" t="str">
        <f>IFERROR(VLOOKUP($B79,TOLSEN!$A:$K,11,FALSE)," ")</f>
        <v xml:space="preserve"> </v>
      </c>
    </row>
    <row r="80" spans="2:16" ht="52.5" customHeight="1">
      <c r="B80" s="25"/>
      <c r="C80" s="138"/>
      <c r="D80" s="109"/>
      <c r="E80" s="109"/>
      <c r="F80" s="60" t="str">
        <f>IFERROR(VLOOKUP(B80,TOLSEN!A:D,3,FALSE),"0")</f>
        <v>0</v>
      </c>
      <c r="G80" s="61" t="str">
        <f>IFERROR(VLOOKUP(B80,TOLSEN!A:D,4,FALSE),"0")</f>
        <v>0</v>
      </c>
      <c r="H80" s="62" t="str">
        <f>IFERROR(VLOOKUP(B80,TOLSEN!A:K,6,FALSE),"0")</f>
        <v>0</v>
      </c>
      <c r="I80" s="62" t="str">
        <f>IFERROR(VLOOKUP(B80,TOLSEN!A:AC,7,FALSE),"0")</f>
        <v>0</v>
      </c>
      <c r="J80" s="63">
        <f t="shared" si="0"/>
        <v>0</v>
      </c>
      <c r="K80" s="107" t="e">
        <f t="shared" si="1"/>
        <v>#VALUE!</v>
      </c>
      <c r="L80" s="148">
        <f>IFERROR(VLOOKUP($B80,TOLSEN!A:I,8,FALSE),0)</f>
        <v>0</v>
      </c>
      <c r="M80" s="148">
        <f>IFERROR(VLOOKUP($B80,TOLSEN!A:K,9,FALSE),0)</f>
        <v>0</v>
      </c>
      <c r="N80" s="94" t="str">
        <f>IFERROR(VLOOKUP(B80,TOLSEN!A:K,5,FALSE)," ")</f>
        <v xml:space="preserve"> </v>
      </c>
      <c r="O80" s="161" t="str">
        <f>IFERROR(VLOOKUP($B80,TOLSEN!$A:$K,10,FALSE)," ")</f>
        <v xml:space="preserve"> </v>
      </c>
      <c r="P80" s="161" t="str">
        <f>IFERROR(VLOOKUP($B80,TOLSEN!$A:$K,11,FALSE)," ")</f>
        <v xml:space="preserve"> </v>
      </c>
    </row>
    <row r="81" spans="2:16" ht="52.5" customHeight="1">
      <c r="B81" s="25"/>
      <c r="C81" s="137"/>
      <c r="D81" s="109"/>
      <c r="E81" s="109"/>
      <c r="F81" s="60" t="str">
        <f>IFERROR(VLOOKUP(B81,TOLSEN!A:D,3,FALSE),"0")</f>
        <v>0</v>
      </c>
      <c r="G81" s="61" t="str">
        <f>IFERROR(VLOOKUP(B81,TOLSEN!A:D,4,FALSE),"0")</f>
        <v>0</v>
      </c>
      <c r="H81" s="62" t="str">
        <f>IFERROR(VLOOKUP(B81,TOLSEN!A:K,6,FALSE),"0")</f>
        <v>0</v>
      </c>
      <c r="I81" s="62" t="str">
        <f>IFERROR(VLOOKUP(B81,TOLSEN!A:AC,7,FALSE),"0")</f>
        <v>0</v>
      </c>
      <c r="J81" s="63">
        <f t="shared" si="0"/>
        <v>0</v>
      </c>
      <c r="K81" s="107" t="e">
        <f t="shared" si="1"/>
        <v>#VALUE!</v>
      </c>
      <c r="L81" s="148">
        <f>IFERROR(VLOOKUP($B81,TOLSEN!A:I,8,FALSE),0)</f>
        <v>0</v>
      </c>
      <c r="M81" s="148">
        <f>IFERROR(VLOOKUP($B81,TOLSEN!A:K,9,FALSE),0)</f>
        <v>0</v>
      </c>
      <c r="N81" s="94" t="str">
        <f>IFERROR(VLOOKUP(B81,TOLSEN!A:K,5,FALSE)," ")</f>
        <v xml:space="preserve"> </v>
      </c>
      <c r="O81" s="161" t="str">
        <f>IFERROR(VLOOKUP($B81,TOLSEN!$A:$K,10,FALSE)," ")</f>
        <v xml:space="preserve"> </v>
      </c>
      <c r="P81" s="161" t="str">
        <f>IFERROR(VLOOKUP($B81,TOLSEN!$A:$K,11,FALSE)," ")</f>
        <v xml:space="preserve"> </v>
      </c>
    </row>
    <row r="82" spans="2:16" ht="52.5" customHeight="1">
      <c r="B82" s="25"/>
      <c r="C82" s="138"/>
      <c r="D82" s="109"/>
      <c r="E82" s="109"/>
      <c r="F82" s="60" t="str">
        <f>IFERROR(VLOOKUP(B82,TOLSEN!A:D,3,FALSE),"0")</f>
        <v>0</v>
      </c>
      <c r="G82" s="61" t="str">
        <f>IFERROR(VLOOKUP(B82,TOLSEN!A:D,4,FALSE),"0")</f>
        <v>0</v>
      </c>
      <c r="H82" s="62" t="str">
        <f>IFERROR(VLOOKUP(B82,TOLSEN!A:K,6,FALSE),"0")</f>
        <v>0</v>
      </c>
      <c r="I82" s="62" t="str">
        <f>IFERROR(VLOOKUP(B82,TOLSEN!A:AC,7,FALSE),"0")</f>
        <v>0</v>
      </c>
      <c r="J82" s="63">
        <f t="shared" si="0"/>
        <v>0</v>
      </c>
      <c r="K82" s="107" t="e">
        <f t="shared" si="1"/>
        <v>#VALUE!</v>
      </c>
      <c r="L82" s="148">
        <f>IFERROR(VLOOKUP($B82,TOLSEN!A:I,8,FALSE),0)</f>
        <v>0</v>
      </c>
      <c r="M82" s="148">
        <f>IFERROR(VLOOKUP($B82,TOLSEN!A:K,9,FALSE),0)</f>
        <v>0</v>
      </c>
      <c r="N82" s="94" t="str">
        <f>IFERROR(VLOOKUP(B82,TOLSEN!A:K,5,FALSE)," ")</f>
        <v xml:space="preserve"> </v>
      </c>
      <c r="O82" s="161" t="str">
        <f>IFERROR(VLOOKUP($B82,TOLSEN!$A:$K,10,FALSE)," ")</f>
        <v xml:space="preserve"> </v>
      </c>
      <c r="P82" s="161" t="str">
        <f>IFERROR(VLOOKUP($B82,TOLSEN!$A:$K,11,FALSE)," ")</f>
        <v xml:space="preserve"> </v>
      </c>
    </row>
    <row r="83" spans="2:16" ht="52.5" customHeight="1">
      <c r="B83" s="25"/>
      <c r="C83" s="137"/>
      <c r="D83" s="109"/>
      <c r="E83" s="109"/>
      <c r="F83" s="60" t="str">
        <f>IFERROR(VLOOKUP(B83,TOLSEN!A:D,3,FALSE),"0")</f>
        <v>0</v>
      </c>
      <c r="G83" s="61" t="str">
        <f>IFERROR(VLOOKUP(B83,TOLSEN!A:D,4,FALSE),"0")</f>
        <v>0</v>
      </c>
      <c r="H83" s="62" t="str">
        <f>IFERROR(VLOOKUP(B83,TOLSEN!A:K,6,FALSE),"0")</f>
        <v>0</v>
      </c>
      <c r="I83" s="62" t="str">
        <f>IFERROR(VLOOKUP(B83,TOLSEN!A:AC,7,FALSE),"0")</f>
        <v>0</v>
      </c>
      <c r="J83" s="63">
        <f t="shared" si="0"/>
        <v>0</v>
      </c>
      <c r="K83" s="107" t="e">
        <f t="shared" si="1"/>
        <v>#VALUE!</v>
      </c>
      <c r="L83" s="148">
        <f>IFERROR(VLOOKUP($B83,TOLSEN!A:I,8,FALSE),0)</f>
        <v>0</v>
      </c>
      <c r="M83" s="148">
        <f>IFERROR(VLOOKUP($B83,TOLSEN!A:K,9,FALSE),0)</f>
        <v>0</v>
      </c>
      <c r="N83" s="94" t="str">
        <f>IFERROR(VLOOKUP(B83,TOLSEN!A:K,5,FALSE)," ")</f>
        <v xml:space="preserve"> </v>
      </c>
      <c r="O83" s="161" t="str">
        <f>IFERROR(VLOOKUP($B83,TOLSEN!$A:$K,10,FALSE)," ")</f>
        <v xml:space="preserve"> </v>
      </c>
      <c r="P83" s="161" t="str">
        <f>IFERROR(VLOOKUP($B83,TOLSEN!$A:$K,11,FALSE)," ")</f>
        <v xml:space="preserve"> </v>
      </c>
    </row>
    <row r="84" spans="2:16" ht="52.5" customHeight="1">
      <c r="B84" s="25"/>
      <c r="C84" s="138"/>
      <c r="D84" s="109"/>
      <c r="E84" s="109"/>
      <c r="F84" s="60" t="str">
        <f>IFERROR(VLOOKUP(B84,TOLSEN!A:D,3,FALSE),"0")</f>
        <v>0</v>
      </c>
      <c r="G84" s="61" t="str">
        <f>IFERROR(VLOOKUP(B84,TOLSEN!A:D,4,FALSE),"0")</f>
        <v>0</v>
      </c>
      <c r="H84" s="62" t="str">
        <f>IFERROR(VLOOKUP(B84,TOLSEN!A:K,6,FALSE),"0")</f>
        <v>0</v>
      </c>
      <c r="I84" s="62" t="str">
        <f>IFERROR(VLOOKUP(B84,TOLSEN!A:AC,7,FALSE),"0")</f>
        <v>0</v>
      </c>
      <c r="J84" s="63">
        <f t="shared" si="0"/>
        <v>0</v>
      </c>
      <c r="K84" s="107" t="e">
        <f t="shared" si="1"/>
        <v>#VALUE!</v>
      </c>
      <c r="L84" s="148">
        <f>IFERROR(VLOOKUP($B84,TOLSEN!A:I,8,FALSE),0)</f>
        <v>0</v>
      </c>
      <c r="M84" s="148">
        <f>IFERROR(VLOOKUP($B84,TOLSEN!A:K,9,FALSE),0)</f>
        <v>0</v>
      </c>
      <c r="N84" s="94" t="str">
        <f>IFERROR(VLOOKUP(B84,TOLSEN!A:K,5,FALSE)," ")</f>
        <v xml:space="preserve"> </v>
      </c>
      <c r="O84" s="161" t="str">
        <f>IFERROR(VLOOKUP($B84,TOLSEN!$A:$K,10,FALSE)," ")</f>
        <v xml:space="preserve"> </v>
      </c>
      <c r="P84" s="161" t="str">
        <f>IFERROR(VLOOKUP($B84,TOLSEN!$A:$K,11,FALSE)," ")</f>
        <v xml:space="preserve"> </v>
      </c>
    </row>
    <row r="85" spans="2:16" ht="52.5" customHeight="1">
      <c r="B85" s="25"/>
      <c r="C85" s="137"/>
      <c r="D85" s="109"/>
      <c r="E85" s="109"/>
      <c r="F85" s="60" t="str">
        <f>IFERROR(VLOOKUP(B85,TOLSEN!A:D,3,FALSE),"0")</f>
        <v>0</v>
      </c>
      <c r="G85" s="61" t="str">
        <f>IFERROR(VLOOKUP(B85,TOLSEN!A:D,4,FALSE),"0")</f>
        <v>0</v>
      </c>
      <c r="H85" s="62" t="str">
        <f>IFERROR(VLOOKUP(B85,TOLSEN!A:K,6,FALSE),"0")</f>
        <v>0</v>
      </c>
      <c r="I85" s="62" t="str">
        <f>IFERROR(VLOOKUP(B85,TOLSEN!A:AC,7,FALSE),"0")</f>
        <v>0</v>
      </c>
      <c r="J85" s="63">
        <f t="shared" si="0"/>
        <v>0</v>
      </c>
      <c r="K85" s="107" t="e">
        <f t="shared" si="1"/>
        <v>#VALUE!</v>
      </c>
      <c r="L85" s="148">
        <f>IFERROR(VLOOKUP($B85,TOLSEN!A:I,8,FALSE),0)</f>
        <v>0</v>
      </c>
      <c r="M85" s="148">
        <f>IFERROR(VLOOKUP($B85,TOLSEN!A:K,9,FALSE),0)</f>
        <v>0</v>
      </c>
      <c r="N85" s="94" t="str">
        <f>IFERROR(VLOOKUP(B85,TOLSEN!A:K,5,FALSE)," ")</f>
        <v xml:space="preserve"> </v>
      </c>
      <c r="O85" s="161" t="str">
        <f>IFERROR(VLOOKUP($B85,TOLSEN!$A:$K,10,FALSE)," ")</f>
        <v xml:space="preserve"> </v>
      </c>
      <c r="P85" s="161" t="str">
        <f>IFERROR(VLOOKUP($B85,TOLSEN!$A:$K,11,FALSE)," ")</f>
        <v xml:space="preserve"> </v>
      </c>
    </row>
    <row r="86" spans="2:16" ht="52.5" customHeight="1">
      <c r="B86" s="25"/>
      <c r="C86" s="138"/>
      <c r="D86" s="109"/>
      <c r="E86" s="109"/>
      <c r="F86" s="60" t="str">
        <f>IFERROR(VLOOKUP(B86,TOLSEN!A:D,3,FALSE),"0")</f>
        <v>0</v>
      </c>
      <c r="G86" s="61" t="str">
        <f>IFERROR(VLOOKUP(B86,TOLSEN!A:D,4,FALSE),"0")</f>
        <v>0</v>
      </c>
      <c r="H86" s="62" t="str">
        <f>IFERROR(VLOOKUP(B86,TOLSEN!A:K,6,FALSE),"0")</f>
        <v>0</v>
      </c>
      <c r="I86" s="62" t="str">
        <f>IFERROR(VLOOKUP(B86,TOLSEN!A:AC,7,FALSE),"0")</f>
        <v>0</v>
      </c>
      <c r="J86" s="63">
        <f t="shared" si="0"/>
        <v>0</v>
      </c>
      <c r="K86" s="107" t="e">
        <f t="shared" si="1"/>
        <v>#VALUE!</v>
      </c>
      <c r="L86" s="148">
        <f>IFERROR(VLOOKUP($B86,TOLSEN!A:I,8,FALSE),0)</f>
        <v>0</v>
      </c>
      <c r="M86" s="148">
        <f>IFERROR(VLOOKUP($B86,TOLSEN!A:K,9,FALSE),0)</f>
        <v>0</v>
      </c>
      <c r="N86" s="94" t="str">
        <f>IFERROR(VLOOKUP(B86,TOLSEN!A:K,5,FALSE)," ")</f>
        <v xml:space="preserve"> </v>
      </c>
      <c r="O86" s="161" t="str">
        <f>IFERROR(VLOOKUP($B86,TOLSEN!$A:$K,10,FALSE)," ")</f>
        <v xml:space="preserve"> </v>
      </c>
      <c r="P86" s="161" t="str">
        <f>IFERROR(VLOOKUP($B86,TOLSEN!$A:$K,11,FALSE)," ")</f>
        <v xml:space="preserve"> </v>
      </c>
    </row>
    <row r="87" spans="2:16" ht="52.5" customHeight="1">
      <c r="B87" s="25"/>
      <c r="C87" s="137"/>
      <c r="D87" s="109"/>
      <c r="E87" s="109"/>
      <c r="F87" s="60" t="str">
        <f>IFERROR(VLOOKUP(B87,TOLSEN!A:D,3,FALSE),"0")</f>
        <v>0</v>
      </c>
      <c r="G87" s="61" t="str">
        <f>IFERROR(VLOOKUP(B87,TOLSEN!A:D,4,FALSE),"0")</f>
        <v>0</v>
      </c>
      <c r="H87" s="62" t="str">
        <f>IFERROR(VLOOKUP(B87,TOLSEN!A:K,6,FALSE),"0")</f>
        <v>0</v>
      </c>
      <c r="I87" s="62" t="str">
        <f>IFERROR(VLOOKUP(B87,TOLSEN!A:AC,7,FALSE),"0")</f>
        <v>0</v>
      </c>
      <c r="J87" s="63">
        <f t="shared" si="0"/>
        <v>0</v>
      </c>
      <c r="K87" s="107" t="e">
        <f t="shared" si="1"/>
        <v>#VALUE!</v>
      </c>
      <c r="L87" s="148">
        <f>IFERROR(VLOOKUP($B87,TOLSEN!A:I,8,FALSE),0)</f>
        <v>0</v>
      </c>
      <c r="M87" s="148">
        <f>IFERROR(VLOOKUP($B87,TOLSEN!A:K,9,FALSE),0)</f>
        <v>0</v>
      </c>
      <c r="N87" s="94" t="str">
        <f>IFERROR(VLOOKUP(B87,TOLSEN!A:K,5,FALSE)," ")</f>
        <v xml:space="preserve"> </v>
      </c>
      <c r="O87" s="161" t="str">
        <f>IFERROR(VLOOKUP($B87,TOLSEN!$A:$K,10,FALSE)," ")</f>
        <v xml:space="preserve"> </v>
      </c>
      <c r="P87" s="161" t="str">
        <f>IFERROR(VLOOKUP($B87,TOLSEN!$A:$K,11,FALSE)," ")</f>
        <v xml:space="preserve"> </v>
      </c>
    </row>
    <row r="88" spans="2:16" ht="52.5" customHeight="1">
      <c r="B88" s="25"/>
      <c r="C88" s="138"/>
      <c r="D88" s="109"/>
      <c r="E88" s="109"/>
      <c r="F88" s="60" t="str">
        <f>IFERROR(VLOOKUP(B88,TOLSEN!A:D,3,FALSE),"0")</f>
        <v>0</v>
      </c>
      <c r="G88" s="61" t="str">
        <f>IFERROR(VLOOKUP(B88,TOLSEN!A:D,4,FALSE),"0")</f>
        <v>0</v>
      </c>
      <c r="H88" s="62" t="str">
        <f>IFERROR(VLOOKUP(B88,TOLSEN!A:K,6,FALSE),"0")</f>
        <v>0</v>
      </c>
      <c r="I88" s="62" t="str">
        <f>IFERROR(VLOOKUP(B88,TOLSEN!A:AC,7,FALSE),"0")</f>
        <v>0</v>
      </c>
      <c r="J88" s="63">
        <f t="shared" ref="J88:J151" si="2">(I88*C88)</f>
        <v>0</v>
      </c>
      <c r="K88" s="107" t="e">
        <f t="shared" ref="K88:K151" si="3">(J88*(1+N88))</f>
        <v>#VALUE!</v>
      </c>
      <c r="L88" s="148">
        <f>IFERROR(VLOOKUP($B88,TOLSEN!A:I,8,FALSE),0)</f>
        <v>0</v>
      </c>
      <c r="M88" s="148">
        <f>IFERROR(VLOOKUP($B88,TOLSEN!A:K,9,FALSE),0)</f>
        <v>0</v>
      </c>
      <c r="N88" s="94" t="str">
        <f>IFERROR(VLOOKUP(B88,TOLSEN!A:K,5,FALSE)," ")</f>
        <v xml:space="preserve"> </v>
      </c>
      <c r="O88" s="161" t="str">
        <f>IFERROR(VLOOKUP($B88,TOLSEN!$A:$K,10,FALSE)," ")</f>
        <v xml:space="preserve"> </v>
      </c>
      <c r="P88" s="161" t="str">
        <f>IFERROR(VLOOKUP($B88,TOLSEN!$A:$K,11,FALSE)," ")</f>
        <v xml:space="preserve"> </v>
      </c>
    </row>
    <row r="89" spans="2:16" ht="52.5" customHeight="1">
      <c r="B89" s="25"/>
      <c r="C89" s="137"/>
      <c r="D89" s="109"/>
      <c r="E89" s="109"/>
      <c r="F89" s="60" t="str">
        <f>IFERROR(VLOOKUP(B89,TOLSEN!A:D,3,FALSE),"0")</f>
        <v>0</v>
      </c>
      <c r="G89" s="61" t="str">
        <f>IFERROR(VLOOKUP(B89,TOLSEN!A:D,4,FALSE),"0")</f>
        <v>0</v>
      </c>
      <c r="H89" s="62" t="str">
        <f>IFERROR(VLOOKUP(B89,TOLSEN!A:K,6,FALSE),"0")</f>
        <v>0</v>
      </c>
      <c r="I89" s="62" t="str">
        <f>IFERROR(VLOOKUP(B89,TOLSEN!A:AC,7,FALSE),"0")</f>
        <v>0</v>
      </c>
      <c r="J89" s="63">
        <f t="shared" si="2"/>
        <v>0</v>
      </c>
      <c r="K89" s="107" t="e">
        <f t="shared" si="3"/>
        <v>#VALUE!</v>
      </c>
      <c r="L89" s="148">
        <f>IFERROR(VLOOKUP($B89,TOLSEN!A:I,8,FALSE),0)</f>
        <v>0</v>
      </c>
      <c r="M89" s="148">
        <f>IFERROR(VLOOKUP($B89,TOLSEN!A:K,9,FALSE),0)</f>
        <v>0</v>
      </c>
      <c r="N89" s="94" t="str">
        <f>IFERROR(VLOOKUP(B89,TOLSEN!A:K,5,FALSE)," ")</f>
        <v xml:space="preserve"> </v>
      </c>
      <c r="O89" s="161" t="str">
        <f>IFERROR(VLOOKUP($B89,TOLSEN!$A:$K,10,FALSE)," ")</f>
        <v xml:space="preserve"> </v>
      </c>
      <c r="P89" s="161" t="str">
        <f>IFERROR(VLOOKUP($B89,TOLSEN!$A:$K,11,FALSE)," ")</f>
        <v xml:space="preserve"> </v>
      </c>
    </row>
    <row r="90" spans="2:16" ht="52.5" customHeight="1">
      <c r="B90" s="25"/>
      <c r="C90" s="138"/>
      <c r="D90" s="110"/>
      <c r="E90" s="110"/>
      <c r="F90" s="60" t="str">
        <f>IFERROR(VLOOKUP(B90,TOLSEN!A:D,3,FALSE),"0")</f>
        <v>0</v>
      </c>
      <c r="G90" s="61" t="str">
        <f>IFERROR(VLOOKUP(B90,TOLSEN!A:D,4,FALSE),"0")</f>
        <v>0</v>
      </c>
      <c r="H90" s="62" t="str">
        <f>IFERROR(VLOOKUP(B90,TOLSEN!A:K,6,FALSE),"0")</f>
        <v>0</v>
      </c>
      <c r="I90" s="62" t="str">
        <f>IFERROR(VLOOKUP(B90,TOLSEN!A:AC,7,FALSE),"0")</f>
        <v>0</v>
      </c>
      <c r="J90" s="63">
        <f t="shared" si="2"/>
        <v>0</v>
      </c>
      <c r="K90" s="107" t="e">
        <f t="shared" si="3"/>
        <v>#VALUE!</v>
      </c>
      <c r="L90" s="148">
        <f>IFERROR(VLOOKUP($B90,TOLSEN!A:I,8,FALSE),0)</f>
        <v>0</v>
      </c>
      <c r="M90" s="148">
        <f>IFERROR(VLOOKUP($B90,TOLSEN!A:K,9,FALSE),0)</f>
        <v>0</v>
      </c>
      <c r="N90" s="94" t="str">
        <f>IFERROR(VLOOKUP(B90,TOLSEN!A:K,5,FALSE)," ")</f>
        <v xml:space="preserve"> </v>
      </c>
      <c r="O90" s="161" t="str">
        <f>IFERROR(VLOOKUP($B90,TOLSEN!$A:$K,10,FALSE)," ")</f>
        <v xml:space="preserve"> </v>
      </c>
      <c r="P90" s="161" t="str">
        <f>IFERROR(VLOOKUP($B90,TOLSEN!$A:$K,11,FALSE)," ")</f>
        <v xml:space="preserve"> </v>
      </c>
    </row>
    <row r="91" spans="2:16" ht="52.5" customHeight="1">
      <c r="B91" s="25"/>
      <c r="C91" s="137"/>
      <c r="D91" s="110"/>
      <c r="E91" s="110"/>
      <c r="F91" s="60" t="str">
        <f>IFERROR(VLOOKUP(B91,TOLSEN!A:D,3,FALSE),"0")</f>
        <v>0</v>
      </c>
      <c r="G91" s="61" t="str">
        <f>IFERROR(VLOOKUP(B91,TOLSEN!A:D,4,FALSE),"0")</f>
        <v>0</v>
      </c>
      <c r="H91" s="62" t="str">
        <f>IFERROR(VLOOKUP(B91,TOLSEN!A:K,6,FALSE),"0")</f>
        <v>0</v>
      </c>
      <c r="I91" s="62" t="str">
        <f>IFERROR(VLOOKUP(B91,TOLSEN!A:AC,7,FALSE),"0")</f>
        <v>0</v>
      </c>
      <c r="J91" s="63">
        <f t="shared" si="2"/>
        <v>0</v>
      </c>
      <c r="K91" s="107" t="e">
        <f t="shared" si="3"/>
        <v>#VALUE!</v>
      </c>
      <c r="L91" s="148">
        <f>IFERROR(VLOOKUP($B91,TOLSEN!A:I,8,FALSE),0)</f>
        <v>0</v>
      </c>
      <c r="M91" s="148">
        <f>IFERROR(VLOOKUP($B91,TOLSEN!A:K,9,FALSE),0)</f>
        <v>0</v>
      </c>
      <c r="N91" s="94" t="str">
        <f>IFERROR(VLOOKUP(B91,TOLSEN!A:K,5,FALSE)," ")</f>
        <v xml:space="preserve"> </v>
      </c>
      <c r="O91" s="161" t="str">
        <f>IFERROR(VLOOKUP($B91,TOLSEN!$A:$K,10,FALSE)," ")</f>
        <v xml:space="preserve"> </v>
      </c>
      <c r="P91" s="161" t="str">
        <f>IFERROR(VLOOKUP($B91,TOLSEN!$A:$K,11,FALSE)," ")</f>
        <v xml:space="preserve"> </v>
      </c>
    </row>
    <row r="92" spans="2:16" ht="52.5" customHeight="1">
      <c r="B92" s="25"/>
      <c r="C92" s="138"/>
      <c r="D92" s="110"/>
      <c r="E92" s="110"/>
      <c r="F92" s="60" t="str">
        <f>IFERROR(VLOOKUP(B92,TOLSEN!A:D,3,FALSE),"0")</f>
        <v>0</v>
      </c>
      <c r="G92" s="61" t="str">
        <f>IFERROR(VLOOKUP(B92,TOLSEN!A:D,4,FALSE),"0")</f>
        <v>0</v>
      </c>
      <c r="H92" s="62" t="str">
        <f>IFERROR(VLOOKUP(B92,TOLSEN!A:K,6,FALSE),"0")</f>
        <v>0</v>
      </c>
      <c r="I92" s="62" t="str">
        <f>IFERROR(VLOOKUP(B92,TOLSEN!A:AC,7,FALSE),"0")</f>
        <v>0</v>
      </c>
      <c r="J92" s="63">
        <f t="shared" si="2"/>
        <v>0</v>
      </c>
      <c r="K92" s="107" t="e">
        <f t="shared" si="3"/>
        <v>#VALUE!</v>
      </c>
      <c r="L92" s="148">
        <f>IFERROR(VLOOKUP($B92,TOLSEN!A:I,8,FALSE),0)</f>
        <v>0</v>
      </c>
      <c r="M92" s="148">
        <f>IFERROR(VLOOKUP($B92,TOLSEN!A:K,9,FALSE),0)</f>
        <v>0</v>
      </c>
      <c r="N92" s="94" t="str">
        <f>IFERROR(VLOOKUP(B92,TOLSEN!A:K,5,FALSE)," ")</f>
        <v xml:space="preserve"> </v>
      </c>
      <c r="O92" s="161" t="str">
        <f>IFERROR(VLOOKUP($B92,TOLSEN!$A:$K,10,FALSE)," ")</f>
        <v xml:space="preserve"> </v>
      </c>
      <c r="P92" s="161" t="str">
        <f>IFERROR(VLOOKUP($B92,TOLSEN!$A:$K,11,FALSE)," ")</f>
        <v xml:space="preserve"> </v>
      </c>
    </row>
    <row r="93" spans="2:16" ht="52.5" customHeight="1">
      <c r="B93" s="25"/>
      <c r="C93" s="137"/>
      <c r="D93" s="110"/>
      <c r="E93" s="110"/>
      <c r="F93" s="60" t="str">
        <f>IFERROR(VLOOKUP(B93,TOLSEN!A:D,3,FALSE),"0")</f>
        <v>0</v>
      </c>
      <c r="G93" s="61" t="str">
        <f>IFERROR(VLOOKUP(B93,TOLSEN!A:D,4,FALSE),"0")</f>
        <v>0</v>
      </c>
      <c r="H93" s="62" t="str">
        <f>IFERROR(VLOOKUP(B93,TOLSEN!A:K,6,FALSE),"0")</f>
        <v>0</v>
      </c>
      <c r="I93" s="62" t="str">
        <f>IFERROR(VLOOKUP(B93,TOLSEN!A:AC,7,FALSE),"0")</f>
        <v>0</v>
      </c>
      <c r="J93" s="63">
        <f t="shared" si="2"/>
        <v>0</v>
      </c>
      <c r="K93" s="107" t="e">
        <f t="shared" si="3"/>
        <v>#VALUE!</v>
      </c>
      <c r="L93" s="148">
        <f>IFERROR(VLOOKUP($B93,TOLSEN!A:I,8,FALSE),0)</f>
        <v>0</v>
      </c>
      <c r="M93" s="148">
        <f>IFERROR(VLOOKUP($B93,TOLSEN!A:K,9,FALSE),0)</f>
        <v>0</v>
      </c>
      <c r="N93" s="94" t="str">
        <f>IFERROR(VLOOKUP(B93,TOLSEN!A:K,5,FALSE)," ")</f>
        <v xml:space="preserve"> </v>
      </c>
      <c r="O93" s="161" t="str">
        <f>IFERROR(VLOOKUP($B93,TOLSEN!$A:$K,10,FALSE)," ")</f>
        <v xml:space="preserve"> </v>
      </c>
      <c r="P93" s="161" t="str">
        <f>IFERROR(VLOOKUP($B93,TOLSEN!$A:$K,11,FALSE)," ")</f>
        <v xml:space="preserve"> </v>
      </c>
    </row>
    <row r="94" spans="2:16" ht="52.5" customHeight="1">
      <c r="B94" s="25"/>
      <c r="C94" s="138"/>
      <c r="D94" s="110"/>
      <c r="E94" s="110"/>
      <c r="F94" s="60" t="str">
        <f>IFERROR(VLOOKUP(B94,TOLSEN!A:D,3,FALSE),"0")</f>
        <v>0</v>
      </c>
      <c r="G94" s="61" t="str">
        <f>IFERROR(VLOOKUP(B94,TOLSEN!A:D,4,FALSE),"0")</f>
        <v>0</v>
      </c>
      <c r="H94" s="62" t="str">
        <f>IFERROR(VLOOKUP(B94,TOLSEN!A:K,6,FALSE),"0")</f>
        <v>0</v>
      </c>
      <c r="I94" s="62" t="str">
        <f>IFERROR(VLOOKUP(B94,TOLSEN!A:AC,7,FALSE),"0")</f>
        <v>0</v>
      </c>
      <c r="J94" s="63">
        <f t="shared" si="2"/>
        <v>0</v>
      </c>
      <c r="K94" s="107" t="e">
        <f t="shared" si="3"/>
        <v>#VALUE!</v>
      </c>
      <c r="L94" s="148">
        <f>IFERROR(VLOOKUP($B94,TOLSEN!A:I,8,FALSE),0)</f>
        <v>0</v>
      </c>
      <c r="M94" s="148">
        <f>IFERROR(VLOOKUP($B94,TOLSEN!A:K,9,FALSE),0)</f>
        <v>0</v>
      </c>
      <c r="N94" s="94" t="str">
        <f>IFERROR(VLOOKUP(B94,TOLSEN!A:K,5,FALSE)," ")</f>
        <v xml:space="preserve"> </v>
      </c>
      <c r="O94" s="161" t="str">
        <f>IFERROR(VLOOKUP($B94,TOLSEN!$A:$K,10,FALSE)," ")</f>
        <v xml:space="preserve"> </v>
      </c>
      <c r="P94" s="161" t="str">
        <f>IFERROR(VLOOKUP($B94,TOLSEN!$A:$K,11,FALSE)," ")</f>
        <v xml:space="preserve"> </v>
      </c>
    </row>
    <row r="95" spans="2:16" ht="52.5" customHeight="1">
      <c r="B95" s="25"/>
      <c r="C95" s="137"/>
      <c r="D95" s="110"/>
      <c r="E95" s="110"/>
      <c r="F95" s="60" t="str">
        <f>IFERROR(VLOOKUP(B95,TOLSEN!A:D,3,FALSE),"0")</f>
        <v>0</v>
      </c>
      <c r="G95" s="61" t="str">
        <f>IFERROR(VLOOKUP(B95,TOLSEN!A:D,4,FALSE),"0")</f>
        <v>0</v>
      </c>
      <c r="H95" s="62" t="str">
        <f>IFERROR(VLOOKUP(B95,TOLSEN!A:K,6,FALSE),"0")</f>
        <v>0</v>
      </c>
      <c r="I95" s="62" t="str">
        <f>IFERROR(VLOOKUP(B95,TOLSEN!A:AC,7,FALSE),"0")</f>
        <v>0</v>
      </c>
      <c r="J95" s="63">
        <f t="shared" si="2"/>
        <v>0</v>
      </c>
      <c r="K95" s="107" t="e">
        <f t="shared" si="3"/>
        <v>#VALUE!</v>
      </c>
      <c r="L95" s="148">
        <f>IFERROR(VLOOKUP($B95,TOLSEN!A:I,8,FALSE),0)</f>
        <v>0</v>
      </c>
      <c r="M95" s="148">
        <f>IFERROR(VLOOKUP($B95,TOLSEN!A:K,9,FALSE),0)</f>
        <v>0</v>
      </c>
      <c r="N95" s="94" t="str">
        <f>IFERROR(VLOOKUP(B95,TOLSEN!A:K,5,FALSE)," ")</f>
        <v xml:space="preserve"> </v>
      </c>
      <c r="O95" s="161" t="str">
        <f>IFERROR(VLOOKUP($B95,TOLSEN!$A:$K,10,FALSE)," ")</f>
        <v xml:space="preserve"> </v>
      </c>
      <c r="P95" s="161" t="str">
        <f>IFERROR(VLOOKUP($B95,TOLSEN!$A:$K,11,FALSE)," ")</f>
        <v xml:space="preserve"> </v>
      </c>
    </row>
    <row r="96" spans="2:16" ht="52.5" customHeight="1">
      <c r="B96" s="25"/>
      <c r="C96" s="138"/>
      <c r="D96" s="110"/>
      <c r="E96" s="110"/>
      <c r="F96" s="60" t="str">
        <f>IFERROR(VLOOKUP(B96,TOLSEN!A:D,3,FALSE),"0")</f>
        <v>0</v>
      </c>
      <c r="G96" s="61" t="str">
        <f>IFERROR(VLOOKUP(B96,TOLSEN!A:D,4,FALSE),"0")</f>
        <v>0</v>
      </c>
      <c r="H96" s="62" t="str">
        <f>IFERROR(VLOOKUP(B96,TOLSEN!A:K,6,FALSE),"0")</f>
        <v>0</v>
      </c>
      <c r="I96" s="62" t="str">
        <f>IFERROR(VLOOKUP(B96,TOLSEN!A:AC,7,FALSE),"0")</f>
        <v>0</v>
      </c>
      <c r="J96" s="63">
        <f t="shared" si="2"/>
        <v>0</v>
      </c>
      <c r="K96" s="107" t="e">
        <f t="shared" si="3"/>
        <v>#VALUE!</v>
      </c>
      <c r="L96" s="148">
        <f>IFERROR(VLOOKUP($B96,TOLSEN!A:I,8,FALSE),0)</f>
        <v>0</v>
      </c>
      <c r="M96" s="148">
        <f>IFERROR(VLOOKUP($B96,TOLSEN!A:K,9,FALSE),0)</f>
        <v>0</v>
      </c>
      <c r="N96" s="94" t="str">
        <f>IFERROR(VLOOKUP(B96,TOLSEN!A:K,5,FALSE)," ")</f>
        <v xml:space="preserve"> </v>
      </c>
      <c r="O96" s="161" t="str">
        <f>IFERROR(VLOOKUP($B96,TOLSEN!$A:$K,10,FALSE)," ")</f>
        <v xml:space="preserve"> </v>
      </c>
      <c r="P96" s="161" t="str">
        <f>IFERROR(VLOOKUP($B96,TOLSEN!$A:$K,11,FALSE)," ")</f>
        <v xml:space="preserve"> </v>
      </c>
    </row>
    <row r="97" spans="2:16" ht="52.5" customHeight="1">
      <c r="B97" s="25"/>
      <c r="C97" s="137"/>
      <c r="D97" s="110"/>
      <c r="E97" s="110"/>
      <c r="F97" s="60" t="str">
        <f>IFERROR(VLOOKUP(B97,TOLSEN!A:D,3,FALSE),"0")</f>
        <v>0</v>
      </c>
      <c r="G97" s="61" t="str">
        <f>IFERROR(VLOOKUP(B97,TOLSEN!A:D,4,FALSE),"0")</f>
        <v>0</v>
      </c>
      <c r="H97" s="62" t="str">
        <f>IFERROR(VLOOKUP(B97,TOLSEN!A:K,6,FALSE),"0")</f>
        <v>0</v>
      </c>
      <c r="I97" s="62" t="str">
        <f>IFERROR(VLOOKUP(B97,TOLSEN!A:AC,7,FALSE),"0")</f>
        <v>0</v>
      </c>
      <c r="J97" s="63">
        <f t="shared" si="2"/>
        <v>0</v>
      </c>
      <c r="K97" s="107" t="e">
        <f t="shared" si="3"/>
        <v>#VALUE!</v>
      </c>
      <c r="L97" s="148">
        <f>IFERROR(VLOOKUP($B97,TOLSEN!A:I,8,FALSE),0)</f>
        <v>0</v>
      </c>
      <c r="M97" s="148">
        <f>IFERROR(VLOOKUP($B97,TOLSEN!A:K,9,FALSE),0)</f>
        <v>0</v>
      </c>
      <c r="N97" s="94" t="str">
        <f>IFERROR(VLOOKUP(B97,TOLSEN!A:K,5,FALSE)," ")</f>
        <v xml:space="preserve"> </v>
      </c>
      <c r="O97" s="161" t="str">
        <f>IFERROR(VLOOKUP($B97,TOLSEN!$A:$K,10,FALSE)," ")</f>
        <v xml:space="preserve"> </v>
      </c>
      <c r="P97" s="161" t="str">
        <f>IFERROR(VLOOKUP($B97,TOLSEN!$A:$K,11,FALSE)," ")</f>
        <v xml:space="preserve"> </v>
      </c>
    </row>
    <row r="98" spans="2:16" ht="52.5" customHeight="1">
      <c r="B98" s="25"/>
      <c r="C98" s="138"/>
      <c r="D98" s="110"/>
      <c r="E98" s="110"/>
      <c r="F98" s="60" t="str">
        <f>IFERROR(VLOOKUP(B98,TOLSEN!A:D,3,FALSE),"0")</f>
        <v>0</v>
      </c>
      <c r="G98" s="61" t="str">
        <f>IFERROR(VLOOKUP(B98,TOLSEN!A:D,4,FALSE),"0")</f>
        <v>0</v>
      </c>
      <c r="H98" s="62" t="str">
        <f>IFERROR(VLOOKUP(B98,TOLSEN!A:K,6,FALSE),"0")</f>
        <v>0</v>
      </c>
      <c r="I98" s="62" t="str">
        <f>IFERROR(VLOOKUP(B98,TOLSEN!A:AC,7,FALSE),"0")</f>
        <v>0</v>
      </c>
      <c r="J98" s="63">
        <f t="shared" si="2"/>
        <v>0</v>
      </c>
      <c r="K98" s="107" t="e">
        <f t="shared" si="3"/>
        <v>#VALUE!</v>
      </c>
      <c r="L98" s="148">
        <f>IFERROR(VLOOKUP($B98,TOLSEN!A:I,8,FALSE),0)</f>
        <v>0</v>
      </c>
      <c r="M98" s="148">
        <f>IFERROR(VLOOKUP($B98,TOLSEN!A:K,9,FALSE),0)</f>
        <v>0</v>
      </c>
      <c r="N98" s="94" t="str">
        <f>IFERROR(VLOOKUP(B98,TOLSEN!A:K,5,FALSE)," ")</f>
        <v xml:space="preserve"> </v>
      </c>
      <c r="O98" s="161" t="str">
        <f>IFERROR(VLOOKUP($B98,TOLSEN!$A:$K,10,FALSE)," ")</f>
        <v xml:space="preserve"> </v>
      </c>
      <c r="P98" s="161" t="str">
        <f>IFERROR(VLOOKUP($B98,TOLSEN!$A:$K,11,FALSE)," ")</f>
        <v xml:space="preserve"> </v>
      </c>
    </row>
    <row r="99" spans="2:16" ht="52.5" customHeight="1">
      <c r="B99" s="25"/>
      <c r="C99" s="137"/>
      <c r="D99" s="110"/>
      <c r="E99" s="110"/>
      <c r="F99" s="60" t="str">
        <f>IFERROR(VLOOKUP(B99,TOLSEN!A:D,3,FALSE),"0")</f>
        <v>0</v>
      </c>
      <c r="G99" s="61" t="str">
        <f>IFERROR(VLOOKUP(B99,TOLSEN!A:D,4,FALSE),"0")</f>
        <v>0</v>
      </c>
      <c r="H99" s="62" t="str">
        <f>IFERROR(VLOOKUP(B99,TOLSEN!A:K,6,FALSE),"0")</f>
        <v>0</v>
      </c>
      <c r="I99" s="62" t="str">
        <f>IFERROR(VLOOKUP(B99,TOLSEN!A:AC,7,FALSE),"0")</f>
        <v>0</v>
      </c>
      <c r="J99" s="63">
        <f t="shared" si="2"/>
        <v>0</v>
      </c>
      <c r="K99" s="107" t="e">
        <f t="shared" si="3"/>
        <v>#VALUE!</v>
      </c>
      <c r="L99" s="148">
        <f>IFERROR(VLOOKUP($B99,TOLSEN!A:I,8,FALSE),0)</f>
        <v>0</v>
      </c>
      <c r="M99" s="148">
        <f>IFERROR(VLOOKUP($B99,TOLSEN!A:K,9,FALSE),0)</f>
        <v>0</v>
      </c>
      <c r="N99" s="94" t="str">
        <f>IFERROR(VLOOKUP(B99,TOLSEN!A:K,5,FALSE)," ")</f>
        <v xml:space="preserve"> </v>
      </c>
      <c r="O99" s="161" t="str">
        <f>IFERROR(VLOOKUP($B99,TOLSEN!$A:$K,10,FALSE)," ")</f>
        <v xml:space="preserve"> </v>
      </c>
      <c r="P99" s="161" t="str">
        <f>IFERROR(VLOOKUP($B99,TOLSEN!$A:$K,11,FALSE)," ")</f>
        <v xml:space="preserve"> </v>
      </c>
    </row>
    <row r="100" spans="2:16" ht="52.5" customHeight="1">
      <c r="B100" s="25"/>
      <c r="C100" s="138"/>
      <c r="D100" s="110"/>
      <c r="E100" s="110"/>
      <c r="F100" s="60" t="str">
        <f>IFERROR(VLOOKUP(B100,TOLSEN!A:D,3,FALSE),"0")</f>
        <v>0</v>
      </c>
      <c r="G100" s="61" t="str">
        <f>IFERROR(VLOOKUP(B100,TOLSEN!A:D,4,FALSE),"0")</f>
        <v>0</v>
      </c>
      <c r="H100" s="62" t="str">
        <f>IFERROR(VLOOKUP(B100,TOLSEN!A:K,6,FALSE),"0")</f>
        <v>0</v>
      </c>
      <c r="I100" s="62" t="str">
        <f>IFERROR(VLOOKUP(B100,TOLSEN!A:AC,7,FALSE),"0")</f>
        <v>0</v>
      </c>
      <c r="J100" s="63">
        <f t="shared" si="2"/>
        <v>0</v>
      </c>
      <c r="K100" s="107" t="e">
        <f t="shared" si="3"/>
        <v>#VALUE!</v>
      </c>
      <c r="L100" s="148">
        <f>IFERROR(VLOOKUP($B100,TOLSEN!A:I,8,FALSE),0)</f>
        <v>0</v>
      </c>
      <c r="M100" s="148">
        <f>IFERROR(VLOOKUP($B100,TOLSEN!A:K,9,FALSE),0)</f>
        <v>0</v>
      </c>
      <c r="N100" s="94" t="str">
        <f>IFERROR(VLOOKUP(B100,TOLSEN!A:K,5,FALSE)," ")</f>
        <v xml:space="preserve"> </v>
      </c>
      <c r="O100" s="161" t="str">
        <f>IFERROR(VLOOKUP($B100,TOLSEN!$A:$K,10,FALSE)," ")</f>
        <v xml:space="preserve"> </v>
      </c>
      <c r="P100" s="161" t="str">
        <f>IFERROR(VLOOKUP($B100,TOLSEN!$A:$K,11,FALSE)," ")</f>
        <v xml:space="preserve"> </v>
      </c>
    </row>
    <row r="101" spans="2:16" ht="52.5" customHeight="1">
      <c r="B101" s="25"/>
      <c r="C101" s="137"/>
      <c r="D101" s="110"/>
      <c r="E101" s="110"/>
      <c r="F101" s="60" t="str">
        <f>IFERROR(VLOOKUP(B101,TOLSEN!A:D,3,FALSE),"0")</f>
        <v>0</v>
      </c>
      <c r="G101" s="61" t="str">
        <f>IFERROR(VLOOKUP(B101,TOLSEN!A:D,4,FALSE),"0")</f>
        <v>0</v>
      </c>
      <c r="H101" s="62" t="str">
        <f>IFERROR(VLOOKUP(B101,TOLSEN!A:K,6,FALSE),"0")</f>
        <v>0</v>
      </c>
      <c r="I101" s="62" t="str">
        <f>IFERROR(VLOOKUP(B101,TOLSEN!A:AC,7,FALSE),"0")</f>
        <v>0</v>
      </c>
      <c r="J101" s="63">
        <f t="shared" si="2"/>
        <v>0</v>
      </c>
      <c r="K101" s="107" t="e">
        <f t="shared" si="3"/>
        <v>#VALUE!</v>
      </c>
      <c r="L101" s="148">
        <f>IFERROR(VLOOKUP($B101,TOLSEN!A:I,8,FALSE),0)</f>
        <v>0</v>
      </c>
      <c r="M101" s="148">
        <f>IFERROR(VLOOKUP($B101,TOLSEN!A:K,9,FALSE),0)</f>
        <v>0</v>
      </c>
      <c r="N101" s="94" t="str">
        <f>IFERROR(VLOOKUP(B101,TOLSEN!A:K,5,FALSE)," ")</f>
        <v xml:space="preserve"> </v>
      </c>
      <c r="O101" s="161" t="str">
        <f>IFERROR(VLOOKUP($B101,TOLSEN!$A:$K,10,FALSE)," ")</f>
        <v xml:space="preserve"> </v>
      </c>
      <c r="P101" s="161" t="str">
        <f>IFERROR(VLOOKUP($B101,TOLSEN!$A:$K,11,FALSE)," ")</f>
        <v xml:space="preserve"> </v>
      </c>
    </row>
    <row r="102" spans="2:16" ht="52.5" customHeight="1">
      <c r="B102" s="25"/>
      <c r="C102" s="138"/>
      <c r="D102" s="110"/>
      <c r="E102" s="110"/>
      <c r="F102" s="60" t="str">
        <f>IFERROR(VLOOKUP(B102,TOLSEN!A:D,3,FALSE),"0")</f>
        <v>0</v>
      </c>
      <c r="G102" s="61" t="str">
        <f>IFERROR(VLOOKUP(B102,TOLSEN!A:D,4,FALSE),"0")</f>
        <v>0</v>
      </c>
      <c r="H102" s="62" t="str">
        <f>IFERROR(VLOOKUP(B102,TOLSEN!A:K,6,FALSE),"0")</f>
        <v>0</v>
      </c>
      <c r="I102" s="62" t="str">
        <f>IFERROR(VLOOKUP(B102,TOLSEN!A:AC,7,FALSE),"0")</f>
        <v>0</v>
      </c>
      <c r="J102" s="63">
        <f t="shared" si="2"/>
        <v>0</v>
      </c>
      <c r="K102" s="107" t="e">
        <f t="shared" si="3"/>
        <v>#VALUE!</v>
      </c>
      <c r="L102" s="148">
        <f>IFERROR(VLOOKUP($B102,TOLSEN!A:I,8,FALSE),0)</f>
        <v>0</v>
      </c>
      <c r="M102" s="148">
        <f>IFERROR(VLOOKUP($B102,TOLSEN!A:K,9,FALSE),0)</f>
        <v>0</v>
      </c>
      <c r="N102" s="94" t="str">
        <f>IFERROR(VLOOKUP(B102,TOLSEN!A:K,5,FALSE)," ")</f>
        <v xml:space="preserve"> </v>
      </c>
      <c r="O102" s="161" t="str">
        <f>IFERROR(VLOOKUP($B102,TOLSEN!$A:$K,10,FALSE)," ")</f>
        <v xml:space="preserve"> </v>
      </c>
      <c r="P102" s="161" t="str">
        <f>IFERROR(VLOOKUP($B102,TOLSEN!$A:$K,11,FALSE)," ")</f>
        <v xml:space="preserve"> </v>
      </c>
    </row>
    <row r="103" spans="2:16" ht="52.5" customHeight="1">
      <c r="B103" s="25"/>
      <c r="C103" s="137"/>
      <c r="D103" s="110"/>
      <c r="E103" s="110"/>
      <c r="F103" s="60" t="str">
        <f>IFERROR(VLOOKUP(B103,TOLSEN!A:D,3,FALSE),"0")</f>
        <v>0</v>
      </c>
      <c r="G103" s="61" t="str">
        <f>IFERROR(VLOOKUP(B103,TOLSEN!A:D,4,FALSE),"0")</f>
        <v>0</v>
      </c>
      <c r="H103" s="62" t="str">
        <f>IFERROR(VLOOKUP(B103,TOLSEN!A:K,6,FALSE),"0")</f>
        <v>0</v>
      </c>
      <c r="I103" s="62" t="str">
        <f>IFERROR(VLOOKUP(B103,TOLSEN!A:AC,7,FALSE),"0")</f>
        <v>0</v>
      </c>
      <c r="J103" s="63">
        <f t="shared" si="2"/>
        <v>0</v>
      </c>
      <c r="K103" s="107" t="e">
        <f t="shared" si="3"/>
        <v>#VALUE!</v>
      </c>
      <c r="L103" s="148">
        <f>IFERROR(VLOOKUP($B103,TOLSEN!A:I,8,FALSE),0)</f>
        <v>0</v>
      </c>
      <c r="M103" s="148">
        <f>IFERROR(VLOOKUP($B103,TOLSEN!A:K,9,FALSE),0)</f>
        <v>0</v>
      </c>
      <c r="N103" s="94" t="str">
        <f>IFERROR(VLOOKUP(B103,TOLSEN!A:K,5,FALSE)," ")</f>
        <v xml:space="preserve"> </v>
      </c>
      <c r="O103" s="161" t="str">
        <f>IFERROR(VLOOKUP($B103,TOLSEN!$A:$K,10,FALSE)," ")</f>
        <v xml:space="preserve"> </v>
      </c>
      <c r="P103" s="161" t="str">
        <f>IFERROR(VLOOKUP($B103,TOLSEN!$A:$K,11,FALSE)," ")</f>
        <v xml:space="preserve"> </v>
      </c>
    </row>
    <row r="104" spans="2:16" ht="52.5" customHeight="1">
      <c r="B104" s="25"/>
      <c r="C104" s="138"/>
      <c r="D104" s="110"/>
      <c r="E104" s="110"/>
      <c r="F104" s="60" t="str">
        <f>IFERROR(VLOOKUP(B104,TOLSEN!A:D,3,FALSE),"0")</f>
        <v>0</v>
      </c>
      <c r="G104" s="61" t="str">
        <f>IFERROR(VLOOKUP(B104,TOLSEN!A:D,4,FALSE),"0")</f>
        <v>0</v>
      </c>
      <c r="H104" s="62" t="str">
        <f>IFERROR(VLOOKUP(B104,TOLSEN!A:K,6,FALSE),"0")</f>
        <v>0</v>
      </c>
      <c r="I104" s="62" t="str">
        <f>IFERROR(VLOOKUP(B104,TOLSEN!A:AC,7,FALSE),"0")</f>
        <v>0</v>
      </c>
      <c r="J104" s="63">
        <f t="shared" si="2"/>
        <v>0</v>
      </c>
      <c r="K104" s="107" t="e">
        <f t="shared" si="3"/>
        <v>#VALUE!</v>
      </c>
      <c r="L104" s="148">
        <f>IFERROR(VLOOKUP($B104,TOLSEN!A:I,8,FALSE),0)</f>
        <v>0</v>
      </c>
      <c r="M104" s="148">
        <f>IFERROR(VLOOKUP($B104,TOLSEN!A:K,9,FALSE),0)</f>
        <v>0</v>
      </c>
      <c r="N104" s="94" t="str">
        <f>IFERROR(VLOOKUP(B104,TOLSEN!A:K,5,FALSE)," ")</f>
        <v xml:space="preserve"> </v>
      </c>
      <c r="O104" s="161" t="str">
        <f>IFERROR(VLOOKUP($B104,TOLSEN!$A:$K,10,FALSE)," ")</f>
        <v xml:space="preserve"> </v>
      </c>
      <c r="P104" s="161" t="str">
        <f>IFERROR(VLOOKUP($B104,TOLSEN!$A:$K,11,FALSE)," ")</f>
        <v xml:space="preserve"> </v>
      </c>
    </row>
    <row r="105" spans="2:16" ht="52.5" customHeight="1">
      <c r="B105" s="25"/>
      <c r="C105" s="137"/>
      <c r="D105" s="110"/>
      <c r="E105" s="110"/>
      <c r="F105" s="60" t="str">
        <f>IFERROR(VLOOKUP(B105,TOLSEN!A:D,3,FALSE),"0")</f>
        <v>0</v>
      </c>
      <c r="G105" s="61" t="str">
        <f>IFERROR(VLOOKUP(B105,TOLSEN!A:D,4,FALSE),"0")</f>
        <v>0</v>
      </c>
      <c r="H105" s="62" t="str">
        <f>IFERROR(VLOOKUP(B105,TOLSEN!A:K,6,FALSE),"0")</f>
        <v>0</v>
      </c>
      <c r="I105" s="62" t="str">
        <f>IFERROR(VLOOKUP(B105,TOLSEN!A:AC,7,FALSE),"0")</f>
        <v>0</v>
      </c>
      <c r="J105" s="63">
        <f t="shared" si="2"/>
        <v>0</v>
      </c>
      <c r="K105" s="107" t="e">
        <f t="shared" si="3"/>
        <v>#VALUE!</v>
      </c>
      <c r="L105" s="148">
        <f>IFERROR(VLOOKUP($B105,TOLSEN!A:I,8,FALSE),0)</f>
        <v>0</v>
      </c>
      <c r="M105" s="148">
        <f>IFERROR(VLOOKUP($B105,TOLSEN!A:K,9,FALSE),0)</f>
        <v>0</v>
      </c>
      <c r="N105" s="94" t="str">
        <f>IFERROR(VLOOKUP(B105,TOLSEN!A:K,5,FALSE)," ")</f>
        <v xml:space="preserve"> </v>
      </c>
      <c r="O105" s="161" t="str">
        <f>IFERROR(VLOOKUP($B105,TOLSEN!$A:$K,10,FALSE)," ")</f>
        <v xml:space="preserve"> </v>
      </c>
      <c r="P105" s="161" t="str">
        <f>IFERROR(VLOOKUP($B105,TOLSEN!$A:$K,11,FALSE)," ")</f>
        <v xml:space="preserve"> </v>
      </c>
    </row>
    <row r="106" spans="2:16" ht="52.5" customHeight="1">
      <c r="B106" s="25"/>
      <c r="C106" s="138"/>
      <c r="D106" s="110"/>
      <c r="E106" s="110"/>
      <c r="F106" s="60" t="str">
        <f>IFERROR(VLOOKUP(B106,TOLSEN!A:D,3,FALSE),"0")</f>
        <v>0</v>
      </c>
      <c r="G106" s="61" t="str">
        <f>IFERROR(VLOOKUP(B106,TOLSEN!A:D,4,FALSE),"0")</f>
        <v>0</v>
      </c>
      <c r="H106" s="62" t="str">
        <f>IFERROR(VLOOKUP(B106,TOLSEN!A:K,6,FALSE),"0")</f>
        <v>0</v>
      </c>
      <c r="I106" s="62" t="str">
        <f>IFERROR(VLOOKUP(B106,TOLSEN!A:AC,7,FALSE),"0")</f>
        <v>0</v>
      </c>
      <c r="J106" s="63">
        <f t="shared" si="2"/>
        <v>0</v>
      </c>
      <c r="K106" s="107" t="e">
        <f t="shared" si="3"/>
        <v>#VALUE!</v>
      </c>
      <c r="L106" s="148">
        <f>IFERROR(VLOOKUP($B106,TOLSEN!A:I,8,FALSE),0)</f>
        <v>0</v>
      </c>
      <c r="M106" s="148">
        <f>IFERROR(VLOOKUP($B106,TOLSEN!A:K,9,FALSE),0)</f>
        <v>0</v>
      </c>
      <c r="N106" s="94" t="str">
        <f>IFERROR(VLOOKUP(B106,TOLSEN!A:K,5,FALSE)," ")</f>
        <v xml:space="preserve"> </v>
      </c>
      <c r="O106" s="161" t="str">
        <f>IFERROR(VLOOKUP($B106,TOLSEN!$A:$K,10,FALSE)," ")</f>
        <v xml:space="preserve"> </v>
      </c>
      <c r="P106" s="161" t="str">
        <f>IFERROR(VLOOKUP($B106,TOLSEN!$A:$K,11,FALSE)," ")</f>
        <v xml:space="preserve"> </v>
      </c>
    </row>
    <row r="107" spans="2:16" ht="52.5" customHeight="1">
      <c r="B107" s="25"/>
      <c r="C107" s="137"/>
      <c r="D107" s="110"/>
      <c r="E107" s="110"/>
      <c r="F107" s="60" t="str">
        <f>IFERROR(VLOOKUP(B107,TOLSEN!A:D,3,FALSE),"0")</f>
        <v>0</v>
      </c>
      <c r="G107" s="61" t="str">
        <f>IFERROR(VLOOKUP(B107,TOLSEN!A:D,4,FALSE),"0")</f>
        <v>0</v>
      </c>
      <c r="H107" s="62" t="str">
        <f>IFERROR(VLOOKUP(B107,TOLSEN!A:K,6,FALSE),"0")</f>
        <v>0</v>
      </c>
      <c r="I107" s="62" t="str">
        <f>IFERROR(VLOOKUP(B107,TOLSEN!A:AC,7,FALSE),"0")</f>
        <v>0</v>
      </c>
      <c r="J107" s="63">
        <f t="shared" si="2"/>
        <v>0</v>
      </c>
      <c r="K107" s="107" t="e">
        <f t="shared" si="3"/>
        <v>#VALUE!</v>
      </c>
      <c r="L107" s="148">
        <f>IFERROR(VLOOKUP($B107,TOLSEN!A:I,8,FALSE),0)</f>
        <v>0</v>
      </c>
      <c r="M107" s="148">
        <f>IFERROR(VLOOKUP($B107,TOLSEN!A:K,9,FALSE),0)</f>
        <v>0</v>
      </c>
      <c r="N107" s="94" t="str">
        <f>IFERROR(VLOOKUP(B107,TOLSEN!A:K,5,FALSE)," ")</f>
        <v xml:space="preserve"> </v>
      </c>
      <c r="O107" s="161" t="str">
        <f>IFERROR(VLOOKUP($B107,TOLSEN!$A:$K,10,FALSE)," ")</f>
        <v xml:space="preserve"> </v>
      </c>
      <c r="P107" s="161" t="str">
        <f>IFERROR(VLOOKUP($B107,TOLSEN!$A:$K,11,FALSE)," ")</f>
        <v xml:space="preserve"> </v>
      </c>
    </row>
    <row r="108" spans="2:16" ht="52.5" customHeight="1">
      <c r="B108" s="25"/>
      <c r="C108" s="138"/>
      <c r="D108" s="110"/>
      <c r="E108" s="110"/>
      <c r="F108" s="60" t="str">
        <f>IFERROR(VLOOKUP(B108,TOLSEN!A:D,3,FALSE),"0")</f>
        <v>0</v>
      </c>
      <c r="G108" s="61" t="str">
        <f>IFERROR(VLOOKUP(B108,TOLSEN!A:D,4,FALSE),"0")</f>
        <v>0</v>
      </c>
      <c r="H108" s="62" t="str">
        <f>IFERROR(VLOOKUP(B108,TOLSEN!A:K,6,FALSE),"0")</f>
        <v>0</v>
      </c>
      <c r="I108" s="62" t="str">
        <f>IFERROR(VLOOKUP(B108,TOLSEN!A:AC,7,FALSE),"0")</f>
        <v>0</v>
      </c>
      <c r="J108" s="63">
        <f t="shared" si="2"/>
        <v>0</v>
      </c>
      <c r="K108" s="107" t="e">
        <f t="shared" si="3"/>
        <v>#VALUE!</v>
      </c>
      <c r="L108" s="148">
        <f>IFERROR(VLOOKUP($B108,TOLSEN!A:I,8,FALSE),0)</f>
        <v>0</v>
      </c>
      <c r="M108" s="148">
        <f>IFERROR(VLOOKUP($B108,TOLSEN!A:K,9,FALSE),0)</f>
        <v>0</v>
      </c>
      <c r="N108" s="94" t="str">
        <f>IFERROR(VLOOKUP(B108,TOLSEN!A:K,5,FALSE)," ")</f>
        <v xml:space="preserve"> </v>
      </c>
      <c r="O108" s="161" t="str">
        <f>IFERROR(VLOOKUP($B108,TOLSEN!$A:$K,10,FALSE)," ")</f>
        <v xml:space="preserve"> </v>
      </c>
      <c r="P108" s="161" t="str">
        <f>IFERROR(VLOOKUP($B108,TOLSEN!$A:$K,11,FALSE)," ")</f>
        <v xml:space="preserve"> </v>
      </c>
    </row>
    <row r="109" spans="2:16" ht="52.5" customHeight="1">
      <c r="B109" s="25"/>
      <c r="C109" s="137"/>
      <c r="D109" s="110"/>
      <c r="E109" s="110"/>
      <c r="F109" s="60" t="str">
        <f>IFERROR(VLOOKUP(B109,TOLSEN!A:D,3,FALSE),"0")</f>
        <v>0</v>
      </c>
      <c r="G109" s="61" t="str">
        <f>IFERROR(VLOOKUP(B109,TOLSEN!A:D,4,FALSE),"0")</f>
        <v>0</v>
      </c>
      <c r="H109" s="62" t="str">
        <f>IFERROR(VLOOKUP(B109,TOLSEN!A:K,6,FALSE),"0")</f>
        <v>0</v>
      </c>
      <c r="I109" s="62" t="str">
        <f>IFERROR(VLOOKUP(B109,TOLSEN!A:AC,7,FALSE),"0")</f>
        <v>0</v>
      </c>
      <c r="J109" s="63">
        <f t="shared" si="2"/>
        <v>0</v>
      </c>
      <c r="K109" s="107" t="e">
        <f t="shared" si="3"/>
        <v>#VALUE!</v>
      </c>
      <c r="L109" s="148">
        <f>IFERROR(VLOOKUP($B109,TOLSEN!A:I,8,FALSE),0)</f>
        <v>0</v>
      </c>
      <c r="M109" s="148">
        <f>IFERROR(VLOOKUP($B109,TOLSEN!A:K,9,FALSE),0)</f>
        <v>0</v>
      </c>
      <c r="N109" s="94" t="str">
        <f>IFERROR(VLOOKUP(B109,TOLSEN!A:K,5,FALSE)," ")</f>
        <v xml:space="preserve"> </v>
      </c>
      <c r="O109" s="161" t="str">
        <f>IFERROR(VLOOKUP($B109,TOLSEN!$A:$K,10,FALSE)," ")</f>
        <v xml:space="preserve"> </v>
      </c>
      <c r="P109" s="161" t="str">
        <f>IFERROR(VLOOKUP($B109,TOLSEN!$A:$K,11,FALSE)," ")</f>
        <v xml:space="preserve"> </v>
      </c>
    </row>
    <row r="110" spans="2:16" ht="52.5" customHeight="1">
      <c r="B110" s="25"/>
      <c r="C110" s="138"/>
      <c r="D110" s="110"/>
      <c r="E110" s="110"/>
      <c r="F110" s="60" t="str">
        <f>IFERROR(VLOOKUP(B110,TOLSEN!A:D,3,FALSE),"0")</f>
        <v>0</v>
      </c>
      <c r="G110" s="61" t="str">
        <f>IFERROR(VLOOKUP(B110,TOLSEN!A:D,4,FALSE),"0")</f>
        <v>0</v>
      </c>
      <c r="H110" s="62" t="str">
        <f>IFERROR(VLOOKUP(B110,TOLSEN!A:K,6,FALSE),"0")</f>
        <v>0</v>
      </c>
      <c r="I110" s="62" t="str">
        <f>IFERROR(VLOOKUP(B110,TOLSEN!A:AC,7,FALSE),"0")</f>
        <v>0</v>
      </c>
      <c r="J110" s="63">
        <f t="shared" si="2"/>
        <v>0</v>
      </c>
      <c r="K110" s="107" t="e">
        <f t="shared" si="3"/>
        <v>#VALUE!</v>
      </c>
      <c r="L110" s="148">
        <f>IFERROR(VLOOKUP($B110,TOLSEN!A:I,8,FALSE),0)</f>
        <v>0</v>
      </c>
      <c r="M110" s="148">
        <f>IFERROR(VLOOKUP($B110,TOLSEN!A:K,9,FALSE),0)</f>
        <v>0</v>
      </c>
      <c r="N110" s="94" t="str">
        <f>IFERROR(VLOOKUP(B110,TOLSEN!A:K,5,FALSE)," ")</f>
        <v xml:space="preserve"> </v>
      </c>
      <c r="O110" s="161" t="str">
        <f>IFERROR(VLOOKUP($B110,TOLSEN!$A:$K,10,FALSE)," ")</f>
        <v xml:space="preserve"> </v>
      </c>
      <c r="P110" s="161" t="str">
        <f>IFERROR(VLOOKUP($B110,TOLSEN!$A:$K,11,FALSE)," ")</f>
        <v xml:space="preserve"> </v>
      </c>
    </row>
    <row r="111" spans="2:16" ht="52.5" customHeight="1">
      <c r="B111" s="25"/>
      <c r="C111" s="137"/>
      <c r="D111" s="110"/>
      <c r="E111" s="110"/>
      <c r="F111" s="60" t="str">
        <f>IFERROR(VLOOKUP(B111,TOLSEN!A:D,3,FALSE),"0")</f>
        <v>0</v>
      </c>
      <c r="G111" s="61" t="str">
        <f>IFERROR(VLOOKUP(B111,TOLSEN!A:D,4,FALSE),"0")</f>
        <v>0</v>
      </c>
      <c r="H111" s="62" t="str">
        <f>IFERROR(VLOOKUP(B111,TOLSEN!A:K,6,FALSE),"0")</f>
        <v>0</v>
      </c>
      <c r="I111" s="62" t="str">
        <f>IFERROR(VLOOKUP(B111,TOLSEN!A:AC,7,FALSE),"0")</f>
        <v>0</v>
      </c>
      <c r="J111" s="63">
        <f t="shared" si="2"/>
        <v>0</v>
      </c>
      <c r="K111" s="107" t="e">
        <f t="shared" si="3"/>
        <v>#VALUE!</v>
      </c>
      <c r="L111" s="148">
        <f>IFERROR(VLOOKUP($B111,TOLSEN!A:I,8,FALSE),0)</f>
        <v>0</v>
      </c>
      <c r="M111" s="148">
        <f>IFERROR(VLOOKUP($B111,TOLSEN!A:K,9,FALSE),0)</f>
        <v>0</v>
      </c>
      <c r="N111" s="94" t="str">
        <f>IFERROR(VLOOKUP(B111,TOLSEN!A:K,5,FALSE)," ")</f>
        <v xml:space="preserve"> </v>
      </c>
      <c r="O111" s="161" t="str">
        <f>IFERROR(VLOOKUP($B111,TOLSEN!$A:$K,10,FALSE)," ")</f>
        <v xml:space="preserve"> </v>
      </c>
      <c r="P111" s="161" t="str">
        <f>IFERROR(VLOOKUP($B111,TOLSEN!$A:$K,11,FALSE)," ")</f>
        <v xml:space="preserve"> </v>
      </c>
    </row>
    <row r="112" spans="2:16" ht="52.5" customHeight="1">
      <c r="B112" s="25"/>
      <c r="C112" s="138"/>
      <c r="D112" s="110"/>
      <c r="E112" s="110"/>
      <c r="F112" s="60" t="str">
        <f>IFERROR(VLOOKUP(B112,TOLSEN!A:D,3,FALSE),"0")</f>
        <v>0</v>
      </c>
      <c r="G112" s="61" t="str">
        <f>IFERROR(VLOOKUP(B112,TOLSEN!A:D,4,FALSE),"0")</f>
        <v>0</v>
      </c>
      <c r="H112" s="62" t="str">
        <f>IFERROR(VLOOKUP(B112,TOLSEN!A:K,6,FALSE),"0")</f>
        <v>0</v>
      </c>
      <c r="I112" s="62" t="str">
        <f>IFERROR(VLOOKUP(B112,TOLSEN!A:AC,7,FALSE),"0")</f>
        <v>0</v>
      </c>
      <c r="J112" s="63">
        <f t="shared" si="2"/>
        <v>0</v>
      </c>
      <c r="K112" s="107" t="e">
        <f t="shared" si="3"/>
        <v>#VALUE!</v>
      </c>
      <c r="L112" s="148">
        <f>IFERROR(VLOOKUP($B112,TOLSEN!A:I,8,FALSE),0)</f>
        <v>0</v>
      </c>
      <c r="M112" s="148">
        <f>IFERROR(VLOOKUP($B112,TOLSEN!A:K,9,FALSE),0)</f>
        <v>0</v>
      </c>
      <c r="N112" s="94" t="str">
        <f>IFERROR(VLOOKUP(B112,TOLSEN!A:K,5,FALSE)," ")</f>
        <v xml:space="preserve"> </v>
      </c>
      <c r="O112" s="161" t="str">
        <f>IFERROR(VLOOKUP($B112,TOLSEN!$A:$K,10,FALSE)," ")</f>
        <v xml:space="preserve"> </v>
      </c>
      <c r="P112" s="161" t="str">
        <f>IFERROR(VLOOKUP($B112,TOLSEN!$A:$K,11,FALSE)," ")</f>
        <v xml:space="preserve"> </v>
      </c>
    </row>
    <row r="113" spans="2:16" ht="52.5" customHeight="1">
      <c r="B113" s="25"/>
      <c r="C113" s="137"/>
      <c r="D113" s="110"/>
      <c r="E113" s="110"/>
      <c r="F113" s="60" t="str">
        <f>IFERROR(VLOOKUP(B113,TOLSEN!A:D,3,FALSE),"0")</f>
        <v>0</v>
      </c>
      <c r="G113" s="61" t="str">
        <f>IFERROR(VLOOKUP(B113,TOLSEN!A:D,4,FALSE),"0")</f>
        <v>0</v>
      </c>
      <c r="H113" s="62" t="str">
        <f>IFERROR(VLOOKUP(B113,TOLSEN!A:K,6,FALSE),"0")</f>
        <v>0</v>
      </c>
      <c r="I113" s="62" t="str">
        <f>IFERROR(VLOOKUP(B113,TOLSEN!A:AC,7,FALSE),"0")</f>
        <v>0</v>
      </c>
      <c r="J113" s="63">
        <f t="shared" si="2"/>
        <v>0</v>
      </c>
      <c r="K113" s="107" t="e">
        <f t="shared" si="3"/>
        <v>#VALUE!</v>
      </c>
      <c r="L113" s="148">
        <f>IFERROR(VLOOKUP($B113,TOLSEN!A:I,8,FALSE),0)</f>
        <v>0</v>
      </c>
      <c r="M113" s="148">
        <f>IFERROR(VLOOKUP($B113,TOLSEN!A:K,9,FALSE),0)</f>
        <v>0</v>
      </c>
      <c r="N113" s="94" t="str">
        <f>IFERROR(VLOOKUP(B113,TOLSEN!A:K,5,FALSE)," ")</f>
        <v xml:space="preserve"> </v>
      </c>
      <c r="O113" s="161" t="str">
        <f>IFERROR(VLOOKUP($B113,TOLSEN!$A:$K,10,FALSE)," ")</f>
        <v xml:space="preserve"> </v>
      </c>
      <c r="P113" s="161" t="str">
        <f>IFERROR(VLOOKUP($B113,TOLSEN!$A:$K,11,FALSE)," ")</f>
        <v xml:space="preserve"> </v>
      </c>
    </row>
    <row r="114" spans="2:16" ht="52.5" customHeight="1">
      <c r="B114" s="25"/>
      <c r="C114" s="138"/>
      <c r="D114" s="110"/>
      <c r="E114" s="110"/>
      <c r="F114" s="60" t="str">
        <f>IFERROR(VLOOKUP(B114,TOLSEN!A:D,3,FALSE),"0")</f>
        <v>0</v>
      </c>
      <c r="G114" s="61" t="str">
        <f>IFERROR(VLOOKUP(B114,TOLSEN!A:D,4,FALSE),"0")</f>
        <v>0</v>
      </c>
      <c r="H114" s="62" t="str">
        <f>IFERROR(VLOOKUP(B114,TOLSEN!A:K,6,FALSE),"0")</f>
        <v>0</v>
      </c>
      <c r="I114" s="62" t="str">
        <f>IFERROR(VLOOKUP(B114,TOLSEN!A:AC,7,FALSE),"0")</f>
        <v>0</v>
      </c>
      <c r="J114" s="63">
        <f t="shared" si="2"/>
        <v>0</v>
      </c>
      <c r="K114" s="107" t="e">
        <f t="shared" si="3"/>
        <v>#VALUE!</v>
      </c>
      <c r="L114" s="148">
        <f>IFERROR(VLOOKUP($B114,TOLSEN!A:I,8,FALSE),0)</f>
        <v>0</v>
      </c>
      <c r="M114" s="148">
        <f>IFERROR(VLOOKUP($B114,TOLSEN!A:K,9,FALSE),0)</f>
        <v>0</v>
      </c>
      <c r="N114" s="94" t="str">
        <f>IFERROR(VLOOKUP(B114,TOLSEN!A:K,5,FALSE)," ")</f>
        <v xml:space="preserve"> </v>
      </c>
      <c r="O114" s="161" t="str">
        <f>IFERROR(VLOOKUP($B114,TOLSEN!$A:$K,10,FALSE)," ")</f>
        <v xml:space="preserve"> </v>
      </c>
      <c r="P114" s="161" t="str">
        <f>IFERROR(VLOOKUP($B114,TOLSEN!$A:$K,11,FALSE)," ")</f>
        <v xml:space="preserve"> </v>
      </c>
    </row>
    <row r="115" spans="2:16" ht="52.5" customHeight="1">
      <c r="B115" s="25"/>
      <c r="C115" s="137"/>
      <c r="D115" s="110"/>
      <c r="E115" s="110"/>
      <c r="F115" s="60" t="str">
        <f>IFERROR(VLOOKUP(B115,TOLSEN!A:D,3,FALSE),"0")</f>
        <v>0</v>
      </c>
      <c r="G115" s="61" t="str">
        <f>IFERROR(VLOOKUP(B115,TOLSEN!A:D,4,FALSE),"0")</f>
        <v>0</v>
      </c>
      <c r="H115" s="62" t="str">
        <f>IFERROR(VLOOKUP(B115,TOLSEN!A:K,6,FALSE),"0")</f>
        <v>0</v>
      </c>
      <c r="I115" s="62" t="str">
        <f>IFERROR(VLOOKUP(B115,TOLSEN!A:AC,7,FALSE),"0")</f>
        <v>0</v>
      </c>
      <c r="J115" s="63">
        <f t="shared" si="2"/>
        <v>0</v>
      </c>
      <c r="K115" s="107" t="e">
        <f t="shared" si="3"/>
        <v>#VALUE!</v>
      </c>
      <c r="L115" s="148">
        <f>IFERROR(VLOOKUP($B115,TOLSEN!A:I,8,FALSE),0)</f>
        <v>0</v>
      </c>
      <c r="M115" s="148">
        <f>IFERROR(VLOOKUP($B115,TOLSEN!A:K,9,FALSE),0)</f>
        <v>0</v>
      </c>
      <c r="N115" s="94" t="str">
        <f>IFERROR(VLOOKUP(B115,TOLSEN!A:K,5,FALSE)," ")</f>
        <v xml:space="preserve"> </v>
      </c>
      <c r="O115" s="161" t="str">
        <f>IFERROR(VLOOKUP($B115,TOLSEN!$A:$K,10,FALSE)," ")</f>
        <v xml:space="preserve"> </v>
      </c>
      <c r="P115" s="161" t="str">
        <f>IFERROR(VLOOKUP($B115,TOLSEN!$A:$K,11,FALSE)," ")</f>
        <v xml:space="preserve"> </v>
      </c>
    </row>
    <row r="116" spans="2:16" ht="52.5" customHeight="1">
      <c r="B116" s="25"/>
      <c r="C116" s="138"/>
      <c r="D116" s="110"/>
      <c r="E116" s="110"/>
      <c r="F116" s="60" t="str">
        <f>IFERROR(VLOOKUP(B116,TOLSEN!A:D,3,FALSE),"0")</f>
        <v>0</v>
      </c>
      <c r="G116" s="61" t="str">
        <f>IFERROR(VLOOKUP(B116,TOLSEN!A:D,4,FALSE),"0")</f>
        <v>0</v>
      </c>
      <c r="H116" s="62" t="str">
        <f>IFERROR(VLOOKUP(B116,TOLSEN!A:K,6,FALSE),"0")</f>
        <v>0</v>
      </c>
      <c r="I116" s="62" t="str">
        <f>IFERROR(VLOOKUP(B116,TOLSEN!A:AC,7,FALSE),"0")</f>
        <v>0</v>
      </c>
      <c r="J116" s="63">
        <f t="shared" si="2"/>
        <v>0</v>
      </c>
      <c r="K116" s="107" t="e">
        <f t="shared" si="3"/>
        <v>#VALUE!</v>
      </c>
      <c r="L116" s="148">
        <f>IFERROR(VLOOKUP($B116,TOLSEN!A:I,8,FALSE),0)</f>
        <v>0</v>
      </c>
      <c r="M116" s="148">
        <f>IFERROR(VLOOKUP($B116,TOLSEN!A:K,9,FALSE),0)</f>
        <v>0</v>
      </c>
      <c r="N116" s="94" t="str">
        <f>IFERROR(VLOOKUP(B116,TOLSEN!A:K,5,FALSE)," ")</f>
        <v xml:space="preserve"> </v>
      </c>
      <c r="O116" s="161" t="str">
        <f>IFERROR(VLOOKUP($B116,TOLSEN!$A:$K,10,FALSE)," ")</f>
        <v xml:space="preserve"> </v>
      </c>
      <c r="P116" s="161" t="str">
        <f>IFERROR(VLOOKUP($B116,TOLSEN!$A:$K,11,FALSE)," ")</f>
        <v xml:space="preserve"> </v>
      </c>
    </row>
    <row r="117" spans="2:16" ht="52.5" customHeight="1">
      <c r="B117" s="25"/>
      <c r="C117" s="137"/>
      <c r="D117" s="110"/>
      <c r="E117" s="110"/>
      <c r="F117" s="60" t="str">
        <f>IFERROR(VLOOKUP(B117,TOLSEN!A:D,3,FALSE),"0")</f>
        <v>0</v>
      </c>
      <c r="G117" s="61" t="str">
        <f>IFERROR(VLOOKUP(B117,TOLSEN!A:D,4,FALSE),"0")</f>
        <v>0</v>
      </c>
      <c r="H117" s="62" t="str">
        <f>IFERROR(VLOOKUP(B117,TOLSEN!A:K,6,FALSE),"0")</f>
        <v>0</v>
      </c>
      <c r="I117" s="62" t="str">
        <f>IFERROR(VLOOKUP(B117,TOLSEN!A:AC,7,FALSE),"0")</f>
        <v>0</v>
      </c>
      <c r="J117" s="63">
        <f t="shared" si="2"/>
        <v>0</v>
      </c>
      <c r="K117" s="107" t="e">
        <f t="shared" si="3"/>
        <v>#VALUE!</v>
      </c>
      <c r="L117" s="148">
        <f>IFERROR(VLOOKUP($B117,TOLSEN!A:I,8,FALSE),0)</f>
        <v>0</v>
      </c>
      <c r="M117" s="148">
        <f>IFERROR(VLOOKUP($B117,TOLSEN!A:K,9,FALSE),0)</f>
        <v>0</v>
      </c>
      <c r="N117" s="94" t="str">
        <f>IFERROR(VLOOKUP(B117,TOLSEN!A:K,5,FALSE)," ")</f>
        <v xml:space="preserve"> </v>
      </c>
      <c r="O117" s="161" t="str">
        <f>IFERROR(VLOOKUP($B117,TOLSEN!$A:$K,10,FALSE)," ")</f>
        <v xml:space="preserve"> </v>
      </c>
      <c r="P117" s="161" t="str">
        <f>IFERROR(VLOOKUP($B117,TOLSEN!$A:$K,11,FALSE)," ")</f>
        <v xml:space="preserve"> </v>
      </c>
    </row>
    <row r="118" spans="2:16" ht="52.5" customHeight="1">
      <c r="B118" s="25"/>
      <c r="C118" s="138"/>
      <c r="D118" s="110"/>
      <c r="E118" s="110"/>
      <c r="F118" s="60" t="str">
        <f>IFERROR(VLOOKUP(B118,TOLSEN!A:D,3,FALSE),"0")</f>
        <v>0</v>
      </c>
      <c r="G118" s="61" t="str">
        <f>IFERROR(VLOOKUP(B118,TOLSEN!A:D,4,FALSE),"0")</f>
        <v>0</v>
      </c>
      <c r="H118" s="62" t="str">
        <f>IFERROR(VLOOKUP(B118,TOLSEN!A:K,6,FALSE),"0")</f>
        <v>0</v>
      </c>
      <c r="I118" s="62" t="str">
        <f>IFERROR(VLOOKUP(B118,TOLSEN!A:AC,7,FALSE),"0")</f>
        <v>0</v>
      </c>
      <c r="J118" s="63">
        <f t="shared" si="2"/>
        <v>0</v>
      </c>
      <c r="K118" s="107" t="e">
        <f t="shared" si="3"/>
        <v>#VALUE!</v>
      </c>
      <c r="L118" s="148">
        <f>IFERROR(VLOOKUP($B118,TOLSEN!A:I,8,FALSE),0)</f>
        <v>0</v>
      </c>
      <c r="M118" s="148">
        <f>IFERROR(VLOOKUP($B118,TOLSEN!A:K,9,FALSE),0)</f>
        <v>0</v>
      </c>
      <c r="N118" s="94" t="str">
        <f>IFERROR(VLOOKUP(B118,TOLSEN!A:K,5,FALSE)," ")</f>
        <v xml:space="preserve"> </v>
      </c>
      <c r="O118" s="161" t="str">
        <f>IFERROR(VLOOKUP($B118,TOLSEN!$A:$K,10,FALSE)," ")</f>
        <v xml:space="preserve"> </v>
      </c>
      <c r="P118" s="161" t="str">
        <f>IFERROR(VLOOKUP($B118,TOLSEN!$A:$K,11,FALSE)," ")</f>
        <v xml:space="preserve"> </v>
      </c>
    </row>
    <row r="119" spans="2:16" ht="52.5" customHeight="1">
      <c r="B119" s="25"/>
      <c r="C119" s="137"/>
      <c r="D119" s="110"/>
      <c r="E119" s="110"/>
      <c r="F119" s="60" t="str">
        <f>IFERROR(VLOOKUP(B119,TOLSEN!A:D,3,FALSE),"0")</f>
        <v>0</v>
      </c>
      <c r="G119" s="61" t="str">
        <f>IFERROR(VLOOKUP(B119,TOLSEN!A:D,4,FALSE),"0")</f>
        <v>0</v>
      </c>
      <c r="H119" s="62" t="str">
        <f>IFERROR(VLOOKUP(B119,TOLSEN!A:K,6,FALSE),"0")</f>
        <v>0</v>
      </c>
      <c r="I119" s="62" t="str">
        <f>IFERROR(VLOOKUP(B119,TOLSEN!A:AC,7,FALSE),"0")</f>
        <v>0</v>
      </c>
      <c r="J119" s="63">
        <f t="shared" si="2"/>
        <v>0</v>
      </c>
      <c r="K119" s="107" t="e">
        <f t="shared" si="3"/>
        <v>#VALUE!</v>
      </c>
      <c r="L119" s="148">
        <f>IFERROR(VLOOKUP($B119,TOLSEN!A:I,8,FALSE),0)</f>
        <v>0</v>
      </c>
      <c r="M119" s="148">
        <f>IFERROR(VLOOKUP($B119,TOLSEN!A:K,9,FALSE),0)</f>
        <v>0</v>
      </c>
      <c r="N119" s="94" t="str">
        <f>IFERROR(VLOOKUP(B119,TOLSEN!A:K,5,FALSE)," ")</f>
        <v xml:space="preserve"> </v>
      </c>
      <c r="O119" s="161" t="str">
        <f>IFERROR(VLOOKUP($B119,TOLSEN!$A:$K,10,FALSE)," ")</f>
        <v xml:space="preserve"> </v>
      </c>
      <c r="P119" s="161" t="str">
        <f>IFERROR(VLOOKUP($B119,TOLSEN!$A:$K,11,FALSE)," ")</f>
        <v xml:space="preserve"> </v>
      </c>
    </row>
    <row r="120" spans="2:16" ht="52.5" customHeight="1">
      <c r="B120" s="25"/>
      <c r="C120" s="138"/>
      <c r="D120" s="110"/>
      <c r="E120" s="110"/>
      <c r="F120" s="60" t="str">
        <f>IFERROR(VLOOKUP(B120,TOLSEN!A:D,3,FALSE),"0")</f>
        <v>0</v>
      </c>
      <c r="G120" s="61" t="str">
        <f>IFERROR(VLOOKUP(B120,TOLSEN!A:D,4,FALSE),"0")</f>
        <v>0</v>
      </c>
      <c r="H120" s="62" t="str">
        <f>IFERROR(VLOOKUP(B120,TOLSEN!A:K,6,FALSE),"0")</f>
        <v>0</v>
      </c>
      <c r="I120" s="62" t="str">
        <f>IFERROR(VLOOKUP(B120,TOLSEN!A:AC,7,FALSE),"0")</f>
        <v>0</v>
      </c>
      <c r="J120" s="63">
        <f t="shared" si="2"/>
        <v>0</v>
      </c>
      <c r="K120" s="107" t="e">
        <f t="shared" si="3"/>
        <v>#VALUE!</v>
      </c>
      <c r="L120" s="148">
        <f>IFERROR(VLOOKUP($B120,TOLSEN!A:I,8,FALSE),0)</f>
        <v>0</v>
      </c>
      <c r="M120" s="148">
        <f>IFERROR(VLOOKUP($B120,TOLSEN!A:K,9,FALSE),0)</f>
        <v>0</v>
      </c>
      <c r="N120" s="94" t="str">
        <f>IFERROR(VLOOKUP(B120,TOLSEN!A:K,5,FALSE)," ")</f>
        <v xml:space="preserve"> </v>
      </c>
      <c r="O120" s="161" t="str">
        <f>IFERROR(VLOOKUP($B120,TOLSEN!$A:$K,10,FALSE)," ")</f>
        <v xml:space="preserve"> </v>
      </c>
      <c r="P120" s="161" t="str">
        <f>IFERROR(VLOOKUP($B120,TOLSEN!$A:$K,11,FALSE)," ")</f>
        <v xml:space="preserve"> </v>
      </c>
    </row>
    <row r="121" spans="2:16" ht="52.5" customHeight="1">
      <c r="B121" s="25"/>
      <c r="C121" s="137"/>
      <c r="D121" s="110"/>
      <c r="E121" s="110"/>
      <c r="F121" s="60" t="str">
        <f>IFERROR(VLOOKUP(B121,TOLSEN!A:D,3,FALSE),"0")</f>
        <v>0</v>
      </c>
      <c r="G121" s="61" t="str">
        <f>IFERROR(VLOOKUP(B121,TOLSEN!A:D,4,FALSE),"0")</f>
        <v>0</v>
      </c>
      <c r="H121" s="62" t="str">
        <f>IFERROR(VLOOKUP(B121,TOLSEN!A:K,6,FALSE),"0")</f>
        <v>0</v>
      </c>
      <c r="I121" s="62" t="str">
        <f>IFERROR(VLOOKUP(B121,TOLSEN!A:AC,7,FALSE),"0")</f>
        <v>0</v>
      </c>
      <c r="J121" s="63">
        <f t="shared" si="2"/>
        <v>0</v>
      </c>
      <c r="K121" s="107" t="e">
        <f t="shared" si="3"/>
        <v>#VALUE!</v>
      </c>
      <c r="L121" s="148">
        <f>IFERROR(VLOOKUP($B121,TOLSEN!A:I,8,FALSE),0)</f>
        <v>0</v>
      </c>
      <c r="M121" s="148">
        <f>IFERROR(VLOOKUP($B121,TOLSEN!A:K,9,FALSE),0)</f>
        <v>0</v>
      </c>
      <c r="N121" s="94" t="str">
        <f>IFERROR(VLOOKUP(B121,TOLSEN!A:K,5,FALSE)," ")</f>
        <v xml:space="preserve"> </v>
      </c>
      <c r="O121" s="161" t="str">
        <f>IFERROR(VLOOKUP($B121,TOLSEN!$A:$K,10,FALSE)," ")</f>
        <v xml:space="preserve"> </v>
      </c>
      <c r="P121" s="161" t="str">
        <f>IFERROR(VLOOKUP($B121,TOLSEN!$A:$K,11,FALSE)," ")</f>
        <v xml:space="preserve"> </v>
      </c>
    </row>
    <row r="122" spans="2:16" ht="52.5" customHeight="1">
      <c r="B122" s="25"/>
      <c r="C122" s="138"/>
      <c r="D122" s="110"/>
      <c r="E122" s="110"/>
      <c r="F122" s="60" t="str">
        <f>IFERROR(VLOOKUP(B122,TOLSEN!A:D,3,FALSE),"0")</f>
        <v>0</v>
      </c>
      <c r="G122" s="61" t="str">
        <f>IFERROR(VLOOKUP(B122,TOLSEN!A:D,4,FALSE),"0")</f>
        <v>0</v>
      </c>
      <c r="H122" s="62" t="str">
        <f>IFERROR(VLOOKUP(B122,TOLSEN!A:K,6,FALSE),"0")</f>
        <v>0</v>
      </c>
      <c r="I122" s="62" t="str">
        <f>IFERROR(VLOOKUP(B122,TOLSEN!A:AC,7,FALSE),"0")</f>
        <v>0</v>
      </c>
      <c r="J122" s="63">
        <f t="shared" si="2"/>
        <v>0</v>
      </c>
      <c r="K122" s="107" t="e">
        <f t="shared" si="3"/>
        <v>#VALUE!</v>
      </c>
      <c r="L122" s="148">
        <f>IFERROR(VLOOKUP($B122,TOLSEN!A:I,8,FALSE),0)</f>
        <v>0</v>
      </c>
      <c r="M122" s="148">
        <f>IFERROR(VLOOKUP($B122,TOLSEN!A:K,9,FALSE),0)</f>
        <v>0</v>
      </c>
      <c r="N122" s="94" t="str">
        <f>IFERROR(VLOOKUP(B122,TOLSEN!A:K,5,FALSE)," ")</f>
        <v xml:space="preserve"> </v>
      </c>
      <c r="O122" s="161" t="str">
        <f>IFERROR(VLOOKUP($B122,TOLSEN!$A:$K,10,FALSE)," ")</f>
        <v xml:space="preserve"> </v>
      </c>
      <c r="P122" s="161" t="str">
        <f>IFERROR(VLOOKUP($B122,TOLSEN!$A:$K,11,FALSE)," ")</f>
        <v xml:space="preserve"> </v>
      </c>
    </row>
    <row r="123" spans="2:16" ht="52.5" customHeight="1">
      <c r="B123" s="25"/>
      <c r="C123" s="137"/>
      <c r="D123" s="110"/>
      <c r="E123" s="110"/>
      <c r="F123" s="60" t="str">
        <f>IFERROR(VLOOKUP(B123,TOLSEN!A:D,3,FALSE),"0")</f>
        <v>0</v>
      </c>
      <c r="G123" s="61" t="str">
        <f>IFERROR(VLOOKUP(B123,TOLSEN!A:D,4,FALSE),"0")</f>
        <v>0</v>
      </c>
      <c r="H123" s="62" t="str">
        <f>IFERROR(VLOOKUP(B123,TOLSEN!A:K,6,FALSE),"0")</f>
        <v>0</v>
      </c>
      <c r="I123" s="62" t="str">
        <f>IFERROR(VLOOKUP(B123,TOLSEN!A:AC,7,FALSE),"0")</f>
        <v>0</v>
      </c>
      <c r="J123" s="63">
        <f t="shared" si="2"/>
        <v>0</v>
      </c>
      <c r="K123" s="107" t="e">
        <f t="shared" si="3"/>
        <v>#VALUE!</v>
      </c>
      <c r="L123" s="148">
        <f>IFERROR(VLOOKUP($B123,TOLSEN!A:I,8,FALSE),0)</f>
        <v>0</v>
      </c>
      <c r="M123" s="148">
        <f>IFERROR(VLOOKUP($B123,TOLSEN!A:K,9,FALSE),0)</f>
        <v>0</v>
      </c>
      <c r="N123" s="94" t="str">
        <f>IFERROR(VLOOKUP(B123,TOLSEN!A:K,5,FALSE)," ")</f>
        <v xml:space="preserve"> </v>
      </c>
      <c r="O123" s="161" t="str">
        <f>IFERROR(VLOOKUP($B123,TOLSEN!$A:$K,10,FALSE)," ")</f>
        <v xml:space="preserve"> </v>
      </c>
      <c r="P123" s="161" t="str">
        <f>IFERROR(VLOOKUP($B123,TOLSEN!$A:$K,11,FALSE)," ")</f>
        <v xml:space="preserve"> </v>
      </c>
    </row>
    <row r="124" spans="2:16" ht="52.5" customHeight="1">
      <c r="B124" s="25"/>
      <c r="C124" s="138"/>
      <c r="D124" s="110"/>
      <c r="E124" s="110"/>
      <c r="F124" s="60" t="str">
        <f>IFERROR(VLOOKUP(B124,TOLSEN!A:D,3,FALSE),"0")</f>
        <v>0</v>
      </c>
      <c r="G124" s="61" t="str">
        <f>IFERROR(VLOOKUP(B124,TOLSEN!A:D,4,FALSE),"0")</f>
        <v>0</v>
      </c>
      <c r="H124" s="62" t="str">
        <f>IFERROR(VLOOKUP(B124,TOLSEN!A:K,6,FALSE),"0")</f>
        <v>0</v>
      </c>
      <c r="I124" s="62" t="str">
        <f>IFERROR(VLOOKUP(B124,TOLSEN!A:AC,7,FALSE),"0")</f>
        <v>0</v>
      </c>
      <c r="J124" s="63">
        <f t="shared" si="2"/>
        <v>0</v>
      </c>
      <c r="K124" s="107" t="e">
        <f t="shared" si="3"/>
        <v>#VALUE!</v>
      </c>
      <c r="L124" s="148">
        <f>IFERROR(VLOOKUP($B124,TOLSEN!A:I,8,FALSE),0)</f>
        <v>0</v>
      </c>
      <c r="M124" s="148">
        <f>IFERROR(VLOOKUP($B124,TOLSEN!A:K,9,FALSE),0)</f>
        <v>0</v>
      </c>
      <c r="N124" s="94" t="str">
        <f>IFERROR(VLOOKUP(B124,TOLSEN!A:K,5,FALSE)," ")</f>
        <v xml:space="preserve"> </v>
      </c>
      <c r="O124" s="161" t="str">
        <f>IFERROR(VLOOKUP($B124,TOLSEN!$A:$K,10,FALSE)," ")</f>
        <v xml:space="preserve"> </v>
      </c>
      <c r="P124" s="161" t="str">
        <f>IFERROR(VLOOKUP($B124,TOLSEN!$A:$K,11,FALSE)," ")</f>
        <v xml:space="preserve"> </v>
      </c>
    </row>
    <row r="125" spans="2:16" ht="52.5" customHeight="1">
      <c r="B125" s="25"/>
      <c r="C125" s="137"/>
      <c r="D125" s="110"/>
      <c r="E125" s="110"/>
      <c r="F125" s="60" t="str">
        <f>IFERROR(VLOOKUP(B125,TOLSEN!A:D,3,FALSE),"0")</f>
        <v>0</v>
      </c>
      <c r="G125" s="61" t="str">
        <f>IFERROR(VLOOKUP(B125,TOLSEN!A:D,4,FALSE),"0")</f>
        <v>0</v>
      </c>
      <c r="H125" s="62" t="str">
        <f>IFERROR(VLOOKUP(B125,TOLSEN!A:K,6,FALSE),"0")</f>
        <v>0</v>
      </c>
      <c r="I125" s="62" t="str">
        <f>IFERROR(VLOOKUP(B125,TOLSEN!A:AC,7,FALSE),"0")</f>
        <v>0</v>
      </c>
      <c r="J125" s="63">
        <f t="shared" si="2"/>
        <v>0</v>
      </c>
      <c r="K125" s="107" t="e">
        <f t="shared" si="3"/>
        <v>#VALUE!</v>
      </c>
      <c r="L125" s="148">
        <f>IFERROR(VLOOKUP($B125,TOLSEN!A:I,8,FALSE),0)</f>
        <v>0</v>
      </c>
      <c r="M125" s="148">
        <f>IFERROR(VLOOKUP($B125,TOLSEN!A:K,9,FALSE),0)</f>
        <v>0</v>
      </c>
      <c r="N125" s="94" t="str">
        <f>IFERROR(VLOOKUP(B125,TOLSEN!A:K,5,FALSE)," ")</f>
        <v xml:space="preserve"> </v>
      </c>
      <c r="O125" s="161" t="str">
        <f>IFERROR(VLOOKUP($B125,TOLSEN!$A:$K,10,FALSE)," ")</f>
        <v xml:space="preserve"> </v>
      </c>
      <c r="P125" s="161" t="str">
        <f>IFERROR(VLOOKUP($B125,TOLSEN!$A:$K,11,FALSE)," ")</f>
        <v xml:space="preserve"> </v>
      </c>
    </row>
    <row r="126" spans="2:16" ht="52.5" customHeight="1">
      <c r="B126" s="25"/>
      <c r="C126" s="138"/>
      <c r="D126" s="110"/>
      <c r="E126" s="110"/>
      <c r="F126" s="60" t="str">
        <f>IFERROR(VLOOKUP(B126,TOLSEN!A:D,3,FALSE),"0")</f>
        <v>0</v>
      </c>
      <c r="G126" s="61" t="str">
        <f>IFERROR(VLOOKUP(B126,TOLSEN!A:D,4,FALSE),"0")</f>
        <v>0</v>
      </c>
      <c r="H126" s="62" t="str">
        <f>IFERROR(VLOOKUP(B126,TOLSEN!A:K,6,FALSE),"0")</f>
        <v>0</v>
      </c>
      <c r="I126" s="62" t="str">
        <f>IFERROR(VLOOKUP(B126,TOLSEN!A:AC,7,FALSE),"0")</f>
        <v>0</v>
      </c>
      <c r="J126" s="63">
        <f t="shared" si="2"/>
        <v>0</v>
      </c>
      <c r="K126" s="107" t="e">
        <f t="shared" si="3"/>
        <v>#VALUE!</v>
      </c>
      <c r="L126" s="148">
        <f>IFERROR(VLOOKUP($B126,TOLSEN!A:I,8,FALSE),0)</f>
        <v>0</v>
      </c>
      <c r="M126" s="148">
        <f>IFERROR(VLOOKUP($B126,TOLSEN!A:K,9,FALSE),0)</f>
        <v>0</v>
      </c>
      <c r="N126" s="94" t="str">
        <f>IFERROR(VLOOKUP(B126,TOLSEN!A:K,5,FALSE)," ")</f>
        <v xml:space="preserve"> </v>
      </c>
      <c r="O126" s="161" t="str">
        <f>IFERROR(VLOOKUP($B126,TOLSEN!$A:$K,10,FALSE)," ")</f>
        <v xml:space="preserve"> </v>
      </c>
      <c r="P126" s="161" t="str">
        <f>IFERROR(VLOOKUP($B126,TOLSEN!$A:$K,11,FALSE)," ")</f>
        <v xml:space="preserve"> </v>
      </c>
    </row>
    <row r="127" spans="2:16" ht="52.5" customHeight="1">
      <c r="B127" s="25"/>
      <c r="C127" s="137"/>
      <c r="D127" s="110"/>
      <c r="E127" s="110"/>
      <c r="F127" s="60" t="str">
        <f>IFERROR(VLOOKUP(B127,TOLSEN!A:D,3,FALSE),"0")</f>
        <v>0</v>
      </c>
      <c r="G127" s="61" t="str">
        <f>IFERROR(VLOOKUP(B127,TOLSEN!A:D,4,FALSE),"0")</f>
        <v>0</v>
      </c>
      <c r="H127" s="62" t="str">
        <f>IFERROR(VLOOKUP(B127,TOLSEN!A:K,6,FALSE),"0")</f>
        <v>0</v>
      </c>
      <c r="I127" s="62" t="str">
        <f>IFERROR(VLOOKUP(B127,TOLSEN!A:AC,7,FALSE),"0")</f>
        <v>0</v>
      </c>
      <c r="J127" s="63">
        <f t="shared" si="2"/>
        <v>0</v>
      </c>
      <c r="K127" s="107" t="e">
        <f t="shared" si="3"/>
        <v>#VALUE!</v>
      </c>
      <c r="L127" s="148">
        <f>IFERROR(VLOOKUP($B127,TOLSEN!A:I,8,FALSE),0)</f>
        <v>0</v>
      </c>
      <c r="M127" s="148">
        <f>IFERROR(VLOOKUP($B127,TOLSEN!A:K,9,FALSE),0)</f>
        <v>0</v>
      </c>
      <c r="N127" s="94" t="str">
        <f>IFERROR(VLOOKUP(B127,TOLSEN!A:K,5,FALSE)," ")</f>
        <v xml:space="preserve"> </v>
      </c>
      <c r="O127" s="161" t="str">
        <f>IFERROR(VLOOKUP($B127,TOLSEN!$A:$K,10,FALSE)," ")</f>
        <v xml:space="preserve"> </v>
      </c>
      <c r="P127" s="161" t="str">
        <f>IFERROR(VLOOKUP($B127,TOLSEN!$A:$K,11,FALSE)," ")</f>
        <v xml:space="preserve"> </v>
      </c>
    </row>
    <row r="128" spans="2:16" ht="52.5" customHeight="1">
      <c r="B128" s="25"/>
      <c r="C128" s="138"/>
      <c r="D128" s="110"/>
      <c r="E128" s="110"/>
      <c r="F128" s="60" t="str">
        <f>IFERROR(VLOOKUP(B128,TOLSEN!A:D,3,FALSE),"0")</f>
        <v>0</v>
      </c>
      <c r="G128" s="61" t="str">
        <f>IFERROR(VLOOKUP(B128,TOLSEN!A:D,4,FALSE),"0")</f>
        <v>0</v>
      </c>
      <c r="H128" s="62" t="str">
        <f>IFERROR(VLOOKUP(B128,TOLSEN!A:K,6,FALSE),"0")</f>
        <v>0</v>
      </c>
      <c r="I128" s="62" t="str">
        <f>IFERROR(VLOOKUP(B128,TOLSEN!A:AC,7,FALSE),"0")</f>
        <v>0</v>
      </c>
      <c r="J128" s="63">
        <f t="shared" si="2"/>
        <v>0</v>
      </c>
      <c r="K128" s="107" t="e">
        <f t="shared" si="3"/>
        <v>#VALUE!</v>
      </c>
      <c r="L128" s="148">
        <f>IFERROR(VLOOKUP($B128,TOLSEN!A:I,8,FALSE),0)</f>
        <v>0</v>
      </c>
      <c r="M128" s="148">
        <f>IFERROR(VLOOKUP($B128,TOLSEN!A:K,9,FALSE),0)</f>
        <v>0</v>
      </c>
      <c r="N128" s="94" t="str">
        <f>IFERROR(VLOOKUP(B128,TOLSEN!A:K,5,FALSE)," ")</f>
        <v xml:space="preserve"> </v>
      </c>
      <c r="O128" s="161" t="str">
        <f>IFERROR(VLOOKUP($B128,TOLSEN!$A:$K,10,FALSE)," ")</f>
        <v xml:space="preserve"> </v>
      </c>
      <c r="P128" s="161" t="str">
        <f>IFERROR(VLOOKUP($B128,TOLSEN!$A:$K,11,FALSE)," ")</f>
        <v xml:space="preserve"> </v>
      </c>
    </row>
    <row r="129" spans="2:16" ht="52.5" customHeight="1">
      <c r="B129" s="25"/>
      <c r="C129" s="137"/>
      <c r="D129" s="110"/>
      <c r="E129" s="110"/>
      <c r="F129" s="60" t="str">
        <f>IFERROR(VLOOKUP(B129,TOLSEN!A:D,3,FALSE),"0")</f>
        <v>0</v>
      </c>
      <c r="G129" s="61" t="str">
        <f>IFERROR(VLOOKUP(B129,TOLSEN!A:D,4,FALSE),"0")</f>
        <v>0</v>
      </c>
      <c r="H129" s="62" t="str">
        <f>IFERROR(VLOOKUP(B129,TOLSEN!A:K,6,FALSE),"0")</f>
        <v>0</v>
      </c>
      <c r="I129" s="62" t="str">
        <f>IFERROR(VLOOKUP(B129,TOLSEN!A:AC,7,FALSE),"0")</f>
        <v>0</v>
      </c>
      <c r="J129" s="63">
        <f t="shared" si="2"/>
        <v>0</v>
      </c>
      <c r="K129" s="107" t="e">
        <f t="shared" si="3"/>
        <v>#VALUE!</v>
      </c>
      <c r="L129" s="148">
        <f>IFERROR(VLOOKUP($B129,TOLSEN!A:I,8,FALSE),0)</f>
        <v>0</v>
      </c>
      <c r="M129" s="148">
        <f>IFERROR(VLOOKUP($B129,TOLSEN!A:K,9,FALSE),0)</f>
        <v>0</v>
      </c>
      <c r="N129" s="94" t="str">
        <f>IFERROR(VLOOKUP(B129,TOLSEN!A:K,5,FALSE)," ")</f>
        <v xml:space="preserve"> </v>
      </c>
      <c r="O129" s="161" t="str">
        <f>IFERROR(VLOOKUP($B129,TOLSEN!$A:$K,10,FALSE)," ")</f>
        <v xml:space="preserve"> </v>
      </c>
      <c r="P129" s="161" t="str">
        <f>IFERROR(VLOOKUP($B129,TOLSEN!$A:$K,11,FALSE)," ")</f>
        <v xml:space="preserve"> </v>
      </c>
    </row>
    <row r="130" spans="2:16" ht="52.5" customHeight="1">
      <c r="B130" s="25"/>
      <c r="C130" s="138"/>
      <c r="D130" s="110"/>
      <c r="E130" s="110"/>
      <c r="F130" s="60" t="str">
        <f>IFERROR(VLOOKUP(B130,TOLSEN!A:D,3,FALSE),"0")</f>
        <v>0</v>
      </c>
      <c r="G130" s="61" t="str">
        <f>IFERROR(VLOOKUP(B130,TOLSEN!A:D,4,FALSE),"0")</f>
        <v>0</v>
      </c>
      <c r="H130" s="62" t="str">
        <f>IFERROR(VLOOKUP(B130,TOLSEN!A:K,6,FALSE),"0")</f>
        <v>0</v>
      </c>
      <c r="I130" s="62" t="str">
        <f>IFERROR(VLOOKUP(B130,TOLSEN!A:AC,7,FALSE),"0")</f>
        <v>0</v>
      </c>
      <c r="J130" s="63">
        <f t="shared" si="2"/>
        <v>0</v>
      </c>
      <c r="K130" s="107" t="e">
        <f t="shared" si="3"/>
        <v>#VALUE!</v>
      </c>
      <c r="L130" s="148">
        <f>IFERROR(VLOOKUP($B130,TOLSEN!A:I,8,FALSE),0)</f>
        <v>0</v>
      </c>
      <c r="M130" s="148">
        <f>IFERROR(VLOOKUP($B130,TOLSEN!A:K,9,FALSE),0)</f>
        <v>0</v>
      </c>
      <c r="N130" s="94" t="str">
        <f>IFERROR(VLOOKUP(B130,TOLSEN!A:K,5,FALSE)," ")</f>
        <v xml:space="preserve"> </v>
      </c>
      <c r="O130" s="161" t="str">
        <f>IFERROR(VLOOKUP($B130,TOLSEN!$A:$K,10,FALSE)," ")</f>
        <v xml:space="preserve"> </v>
      </c>
      <c r="P130" s="161" t="str">
        <f>IFERROR(VLOOKUP($B130,TOLSEN!$A:$K,11,FALSE)," ")</f>
        <v xml:space="preserve"> </v>
      </c>
    </row>
    <row r="131" spans="2:16" ht="52.5" customHeight="1">
      <c r="B131" s="25"/>
      <c r="C131" s="137"/>
      <c r="D131" s="110"/>
      <c r="E131" s="110"/>
      <c r="F131" s="60" t="str">
        <f>IFERROR(VLOOKUP(B131,TOLSEN!A:D,3,FALSE),"0")</f>
        <v>0</v>
      </c>
      <c r="G131" s="61" t="str">
        <f>IFERROR(VLOOKUP(B131,TOLSEN!A:D,4,FALSE),"0")</f>
        <v>0</v>
      </c>
      <c r="H131" s="62" t="str">
        <f>IFERROR(VLOOKUP(B131,TOLSEN!A:K,6,FALSE),"0")</f>
        <v>0</v>
      </c>
      <c r="I131" s="62" t="str">
        <f>IFERROR(VLOOKUP(B131,TOLSEN!A:AC,7,FALSE),"0")</f>
        <v>0</v>
      </c>
      <c r="J131" s="63">
        <f t="shared" si="2"/>
        <v>0</v>
      </c>
      <c r="K131" s="107" t="e">
        <f t="shared" si="3"/>
        <v>#VALUE!</v>
      </c>
      <c r="L131" s="148">
        <f>IFERROR(VLOOKUP($B131,TOLSEN!A:I,8,FALSE),0)</f>
        <v>0</v>
      </c>
      <c r="M131" s="148">
        <f>IFERROR(VLOOKUP($B131,TOLSEN!A:K,9,FALSE),0)</f>
        <v>0</v>
      </c>
      <c r="N131" s="94" t="str">
        <f>IFERROR(VLOOKUP(B131,TOLSEN!A:K,5,FALSE)," ")</f>
        <v xml:space="preserve"> </v>
      </c>
      <c r="O131" s="161" t="str">
        <f>IFERROR(VLOOKUP($B131,TOLSEN!$A:$K,10,FALSE)," ")</f>
        <v xml:space="preserve"> </v>
      </c>
      <c r="P131" s="161" t="str">
        <f>IFERROR(VLOOKUP($B131,TOLSEN!$A:$K,11,FALSE)," ")</f>
        <v xml:space="preserve"> </v>
      </c>
    </row>
    <row r="132" spans="2:16" ht="52.5" customHeight="1">
      <c r="B132" s="25"/>
      <c r="C132" s="138"/>
      <c r="D132" s="110"/>
      <c r="E132" s="110"/>
      <c r="F132" s="60" t="str">
        <f>IFERROR(VLOOKUP(B132,TOLSEN!A:D,3,FALSE),"0")</f>
        <v>0</v>
      </c>
      <c r="G132" s="61" t="str">
        <f>IFERROR(VLOOKUP(B132,TOLSEN!A:D,4,FALSE),"0")</f>
        <v>0</v>
      </c>
      <c r="H132" s="62" t="str">
        <f>IFERROR(VLOOKUP(B132,TOLSEN!A:K,6,FALSE),"0")</f>
        <v>0</v>
      </c>
      <c r="I132" s="62" t="str">
        <f>IFERROR(VLOOKUP(B132,TOLSEN!A:AC,7,FALSE),"0")</f>
        <v>0</v>
      </c>
      <c r="J132" s="63">
        <f t="shared" si="2"/>
        <v>0</v>
      </c>
      <c r="K132" s="107" t="e">
        <f t="shared" si="3"/>
        <v>#VALUE!</v>
      </c>
      <c r="L132" s="148">
        <f>IFERROR(VLOOKUP($B132,TOLSEN!A:I,8,FALSE),0)</f>
        <v>0</v>
      </c>
      <c r="M132" s="148">
        <f>IFERROR(VLOOKUP($B132,TOLSEN!A:K,9,FALSE),0)</f>
        <v>0</v>
      </c>
      <c r="N132" s="94" t="str">
        <f>IFERROR(VLOOKUP(B132,TOLSEN!A:K,5,FALSE)," ")</f>
        <v xml:space="preserve"> </v>
      </c>
      <c r="O132" s="161" t="str">
        <f>IFERROR(VLOOKUP($B132,TOLSEN!$A:$K,10,FALSE)," ")</f>
        <v xml:space="preserve"> </v>
      </c>
      <c r="P132" s="161" t="str">
        <f>IFERROR(VLOOKUP($B132,TOLSEN!$A:$K,11,FALSE)," ")</f>
        <v xml:space="preserve"> </v>
      </c>
    </row>
    <row r="133" spans="2:16" ht="52.5" customHeight="1">
      <c r="B133" s="25"/>
      <c r="C133" s="137"/>
      <c r="D133" s="110"/>
      <c r="E133" s="110"/>
      <c r="F133" s="60" t="str">
        <f>IFERROR(VLOOKUP(B133,TOLSEN!A:D,3,FALSE),"0")</f>
        <v>0</v>
      </c>
      <c r="G133" s="61" t="str">
        <f>IFERROR(VLOOKUP(B133,TOLSEN!A:D,4,FALSE),"0")</f>
        <v>0</v>
      </c>
      <c r="H133" s="62" t="str">
        <f>IFERROR(VLOOKUP(B133,TOLSEN!A:K,6,FALSE),"0")</f>
        <v>0</v>
      </c>
      <c r="I133" s="62" t="str">
        <f>IFERROR(VLOOKUP(B133,TOLSEN!A:AC,7,FALSE),"0")</f>
        <v>0</v>
      </c>
      <c r="J133" s="63">
        <f t="shared" si="2"/>
        <v>0</v>
      </c>
      <c r="K133" s="107" t="e">
        <f t="shared" si="3"/>
        <v>#VALUE!</v>
      </c>
      <c r="L133" s="148">
        <f>IFERROR(VLOOKUP($B133,TOLSEN!A:I,8,FALSE),0)</f>
        <v>0</v>
      </c>
      <c r="M133" s="148">
        <f>IFERROR(VLOOKUP($B133,TOLSEN!A:K,9,FALSE),0)</f>
        <v>0</v>
      </c>
      <c r="N133" s="94" t="str">
        <f>IFERROR(VLOOKUP(B133,TOLSEN!A:K,5,FALSE)," ")</f>
        <v xml:space="preserve"> </v>
      </c>
      <c r="O133" s="161" t="str">
        <f>IFERROR(VLOOKUP($B133,TOLSEN!$A:$K,10,FALSE)," ")</f>
        <v xml:space="preserve"> </v>
      </c>
      <c r="P133" s="161" t="str">
        <f>IFERROR(VLOOKUP($B133,TOLSEN!$A:$K,11,FALSE)," ")</f>
        <v xml:space="preserve"> </v>
      </c>
    </row>
    <row r="134" spans="2:16" ht="52.5" customHeight="1">
      <c r="B134" s="25"/>
      <c r="C134" s="138"/>
      <c r="D134" s="110"/>
      <c r="E134" s="110"/>
      <c r="F134" s="60" t="str">
        <f>IFERROR(VLOOKUP(B134,TOLSEN!A:D,3,FALSE),"0")</f>
        <v>0</v>
      </c>
      <c r="G134" s="61" t="str">
        <f>IFERROR(VLOOKUP(B134,TOLSEN!A:D,4,FALSE),"0")</f>
        <v>0</v>
      </c>
      <c r="H134" s="62" t="str">
        <f>IFERROR(VLOOKUP(B134,TOLSEN!A:K,6,FALSE),"0")</f>
        <v>0</v>
      </c>
      <c r="I134" s="62" t="str">
        <f>IFERROR(VLOOKUP(B134,TOLSEN!A:AC,7,FALSE),"0")</f>
        <v>0</v>
      </c>
      <c r="J134" s="63">
        <f t="shared" si="2"/>
        <v>0</v>
      </c>
      <c r="K134" s="107" t="e">
        <f t="shared" si="3"/>
        <v>#VALUE!</v>
      </c>
      <c r="L134" s="148">
        <f>IFERROR(VLOOKUP($B134,TOLSEN!A:I,8,FALSE),0)</f>
        <v>0</v>
      </c>
      <c r="M134" s="148">
        <f>IFERROR(VLOOKUP($B134,TOLSEN!A:K,9,FALSE),0)</f>
        <v>0</v>
      </c>
      <c r="N134" s="94" t="str">
        <f>IFERROR(VLOOKUP(B134,TOLSEN!A:K,5,FALSE)," ")</f>
        <v xml:space="preserve"> </v>
      </c>
      <c r="O134" s="161" t="str">
        <f>IFERROR(VLOOKUP($B134,TOLSEN!$A:$K,10,FALSE)," ")</f>
        <v xml:space="preserve"> </v>
      </c>
      <c r="P134" s="161" t="str">
        <f>IFERROR(VLOOKUP($B134,TOLSEN!$A:$K,11,FALSE)," ")</f>
        <v xml:space="preserve"> </v>
      </c>
    </row>
    <row r="135" spans="2:16" ht="52.5" customHeight="1">
      <c r="B135" s="25"/>
      <c r="C135" s="137"/>
      <c r="D135" s="110"/>
      <c r="E135" s="110"/>
      <c r="F135" s="60" t="str">
        <f>IFERROR(VLOOKUP(B135,TOLSEN!A:D,3,FALSE),"0")</f>
        <v>0</v>
      </c>
      <c r="G135" s="61" t="str">
        <f>IFERROR(VLOOKUP(B135,TOLSEN!A:D,4,FALSE),"0")</f>
        <v>0</v>
      </c>
      <c r="H135" s="62" t="str">
        <f>IFERROR(VLOOKUP(B135,TOLSEN!A:K,6,FALSE),"0")</f>
        <v>0</v>
      </c>
      <c r="I135" s="62" t="str">
        <f>IFERROR(VLOOKUP(B135,TOLSEN!A:AC,7,FALSE),"0")</f>
        <v>0</v>
      </c>
      <c r="J135" s="63">
        <f t="shared" si="2"/>
        <v>0</v>
      </c>
      <c r="K135" s="107" t="e">
        <f t="shared" si="3"/>
        <v>#VALUE!</v>
      </c>
      <c r="L135" s="148">
        <f>IFERROR(VLOOKUP($B135,TOLSEN!A:I,8,FALSE),0)</f>
        <v>0</v>
      </c>
      <c r="M135" s="148">
        <f>IFERROR(VLOOKUP($B135,TOLSEN!A:K,9,FALSE),0)</f>
        <v>0</v>
      </c>
      <c r="N135" s="94" t="str">
        <f>IFERROR(VLOOKUP(B135,TOLSEN!A:K,5,FALSE)," ")</f>
        <v xml:space="preserve"> </v>
      </c>
      <c r="O135" s="161" t="str">
        <f>IFERROR(VLOOKUP($B135,TOLSEN!$A:$K,10,FALSE)," ")</f>
        <v xml:space="preserve"> </v>
      </c>
      <c r="P135" s="161" t="str">
        <f>IFERROR(VLOOKUP($B135,TOLSEN!$A:$K,11,FALSE)," ")</f>
        <v xml:space="preserve"> </v>
      </c>
    </row>
    <row r="136" spans="2:16" ht="52.5" customHeight="1">
      <c r="B136" s="25"/>
      <c r="C136" s="138"/>
      <c r="D136" s="110"/>
      <c r="E136" s="110"/>
      <c r="F136" s="60" t="str">
        <f>IFERROR(VLOOKUP(B136,TOLSEN!A:D,3,FALSE),"0")</f>
        <v>0</v>
      </c>
      <c r="G136" s="61" t="str">
        <f>IFERROR(VLOOKUP(B136,TOLSEN!A:D,4,FALSE),"0")</f>
        <v>0</v>
      </c>
      <c r="H136" s="62" t="str">
        <f>IFERROR(VLOOKUP(B136,TOLSEN!A:K,6,FALSE),"0")</f>
        <v>0</v>
      </c>
      <c r="I136" s="62" t="str">
        <f>IFERROR(VLOOKUP(B136,TOLSEN!A:AC,7,FALSE),"0")</f>
        <v>0</v>
      </c>
      <c r="J136" s="63">
        <f t="shared" si="2"/>
        <v>0</v>
      </c>
      <c r="K136" s="107" t="e">
        <f t="shared" si="3"/>
        <v>#VALUE!</v>
      </c>
      <c r="L136" s="148">
        <f>IFERROR(VLOOKUP($B136,TOLSEN!A:I,8,FALSE),0)</f>
        <v>0</v>
      </c>
      <c r="M136" s="148">
        <f>IFERROR(VLOOKUP($B136,TOLSEN!A:K,9,FALSE),0)</f>
        <v>0</v>
      </c>
      <c r="N136" s="94" t="str">
        <f>IFERROR(VLOOKUP(B136,TOLSEN!A:K,5,FALSE)," ")</f>
        <v xml:space="preserve"> </v>
      </c>
      <c r="O136" s="161" t="str">
        <f>IFERROR(VLOOKUP($B136,TOLSEN!$A:$K,10,FALSE)," ")</f>
        <v xml:space="preserve"> </v>
      </c>
      <c r="P136" s="161" t="str">
        <f>IFERROR(VLOOKUP($B136,TOLSEN!$A:$K,11,FALSE)," ")</f>
        <v xml:space="preserve"> </v>
      </c>
    </row>
    <row r="137" spans="2:16" ht="52.5" customHeight="1">
      <c r="B137" s="25"/>
      <c r="C137" s="137"/>
      <c r="D137" s="110"/>
      <c r="E137" s="110"/>
      <c r="F137" s="60" t="str">
        <f>IFERROR(VLOOKUP(B137,TOLSEN!A:D,3,FALSE),"0")</f>
        <v>0</v>
      </c>
      <c r="G137" s="61" t="str">
        <f>IFERROR(VLOOKUP(B137,TOLSEN!A:D,4,FALSE),"0")</f>
        <v>0</v>
      </c>
      <c r="H137" s="62" t="str">
        <f>IFERROR(VLOOKUP(B137,TOLSEN!A:K,6,FALSE),"0")</f>
        <v>0</v>
      </c>
      <c r="I137" s="62" t="str">
        <f>IFERROR(VLOOKUP(B137,TOLSEN!A:AC,7,FALSE),"0")</f>
        <v>0</v>
      </c>
      <c r="J137" s="63">
        <f t="shared" si="2"/>
        <v>0</v>
      </c>
      <c r="K137" s="107" t="e">
        <f t="shared" si="3"/>
        <v>#VALUE!</v>
      </c>
      <c r="L137" s="148">
        <f>IFERROR(VLOOKUP($B137,TOLSEN!A:I,8,FALSE),0)</f>
        <v>0</v>
      </c>
      <c r="M137" s="148">
        <f>IFERROR(VLOOKUP($B137,TOLSEN!A:K,9,FALSE),0)</f>
        <v>0</v>
      </c>
      <c r="N137" s="94" t="str">
        <f>IFERROR(VLOOKUP(B137,TOLSEN!A:K,5,FALSE)," ")</f>
        <v xml:space="preserve"> </v>
      </c>
      <c r="O137" s="161" t="str">
        <f>IFERROR(VLOOKUP($B137,TOLSEN!$A:$K,10,FALSE)," ")</f>
        <v xml:space="preserve"> </v>
      </c>
      <c r="P137" s="161" t="str">
        <f>IFERROR(VLOOKUP($B137,TOLSEN!$A:$K,11,FALSE)," ")</f>
        <v xml:space="preserve"> </v>
      </c>
    </row>
    <row r="138" spans="2:16" ht="52.5" customHeight="1">
      <c r="B138" s="25"/>
      <c r="C138" s="138"/>
      <c r="D138" s="110"/>
      <c r="E138" s="110"/>
      <c r="F138" s="60" t="str">
        <f>IFERROR(VLOOKUP(B138,TOLSEN!A:D,3,FALSE),"0")</f>
        <v>0</v>
      </c>
      <c r="G138" s="61" t="str">
        <f>IFERROR(VLOOKUP(B138,TOLSEN!A:D,4,FALSE),"0")</f>
        <v>0</v>
      </c>
      <c r="H138" s="62" t="str">
        <f>IFERROR(VLOOKUP(B138,TOLSEN!A:K,6,FALSE),"0")</f>
        <v>0</v>
      </c>
      <c r="I138" s="62" t="str">
        <f>IFERROR(VLOOKUP(B138,TOLSEN!A:AC,7,FALSE),"0")</f>
        <v>0</v>
      </c>
      <c r="J138" s="63">
        <f t="shared" si="2"/>
        <v>0</v>
      </c>
      <c r="K138" s="107" t="e">
        <f t="shared" si="3"/>
        <v>#VALUE!</v>
      </c>
      <c r="L138" s="148">
        <f>IFERROR(VLOOKUP($B138,TOLSEN!A:I,8,FALSE),0)</f>
        <v>0</v>
      </c>
      <c r="M138" s="148">
        <f>IFERROR(VLOOKUP($B138,TOLSEN!A:K,9,FALSE),0)</f>
        <v>0</v>
      </c>
      <c r="N138" s="94" t="str">
        <f>IFERROR(VLOOKUP(B138,TOLSEN!A:K,5,FALSE)," ")</f>
        <v xml:space="preserve"> </v>
      </c>
      <c r="O138" s="161" t="str">
        <f>IFERROR(VLOOKUP($B138,TOLSEN!$A:$K,10,FALSE)," ")</f>
        <v xml:space="preserve"> </v>
      </c>
      <c r="P138" s="161" t="str">
        <f>IFERROR(VLOOKUP($B138,TOLSEN!$A:$K,11,FALSE)," ")</f>
        <v xml:space="preserve"> </v>
      </c>
    </row>
    <row r="139" spans="2:16" ht="52.5" customHeight="1">
      <c r="B139" s="25"/>
      <c r="C139" s="137"/>
      <c r="D139" s="110"/>
      <c r="E139" s="110"/>
      <c r="F139" s="60" t="str">
        <f>IFERROR(VLOOKUP(B139,TOLSEN!A:D,3,FALSE),"0")</f>
        <v>0</v>
      </c>
      <c r="G139" s="61" t="str">
        <f>IFERROR(VLOOKUP(B139,TOLSEN!A:D,4,FALSE),"0")</f>
        <v>0</v>
      </c>
      <c r="H139" s="62" t="str">
        <f>IFERROR(VLOOKUP(B139,TOLSEN!A:K,6,FALSE),"0")</f>
        <v>0</v>
      </c>
      <c r="I139" s="62" t="str">
        <f>IFERROR(VLOOKUP(B139,TOLSEN!A:AC,7,FALSE),"0")</f>
        <v>0</v>
      </c>
      <c r="J139" s="63">
        <f t="shared" si="2"/>
        <v>0</v>
      </c>
      <c r="K139" s="107" t="e">
        <f t="shared" si="3"/>
        <v>#VALUE!</v>
      </c>
      <c r="L139" s="148">
        <f>IFERROR(VLOOKUP($B139,TOLSEN!A:I,8,FALSE),0)</f>
        <v>0</v>
      </c>
      <c r="M139" s="148">
        <f>IFERROR(VLOOKUP($B139,TOLSEN!A:K,9,FALSE),0)</f>
        <v>0</v>
      </c>
      <c r="N139" s="94" t="str">
        <f>IFERROR(VLOOKUP(B139,TOLSEN!A:K,5,FALSE)," ")</f>
        <v xml:space="preserve"> </v>
      </c>
      <c r="O139" s="161" t="str">
        <f>IFERROR(VLOOKUP($B139,TOLSEN!$A:$K,10,FALSE)," ")</f>
        <v xml:space="preserve"> </v>
      </c>
      <c r="P139" s="161" t="str">
        <f>IFERROR(VLOOKUP($B139,TOLSEN!$A:$K,11,FALSE)," ")</f>
        <v xml:space="preserve"> </v>
      </c>
    </row>
    <row r="140" spans="2:16" ht="52.5" customHeight="1">
      <c r="B140" s="25"/>
      <c r="C140" s="138"/>
      <c r="D140" s="110"/>
      <c r="E140" s="110"/>
      <c r="F140" s="60" t="str">
        <f>IFERROR(VLOOKUP(B140,TOLSEN!A:D,3,FALSE),"0")</f>
        <v>0</v>
      </c>
      <c r="G140" s="61" t="str">
        <f>IFERROR(VLOOKUP(B140,TOLSEN!A:D,4,FALSE),"0")</f>
        <v>0</v>
      </c>
      <c r="H140" s="62" t="str">
        <f>IFERROR(VLOOKUP(B140,TOLSEN!A:K,6,FALSE),"0")</f>
        <v>0</v>
      </c>
      <c r="I140" s="62" t="str">
        <f>IFERROR(VLOOKUP(B140,TOLSEN!A:AC,7,FALSE),"0")</f>
        <v>0</v>
      </c>
      <c r="J140" s="63">
        <f t="shared" si="2"/>
        <v>0</v>
      </c>
      <c r="K140" s="107" t="e">
        <f t="shared" si="3"/>
        <v>#VALUE!</v>
      </c>
      <c r="L140" s="148">
        <f>IFERROR(VLOOKUP($B140,TOLSEN!A:I,8,FALSE),0)</f>
        <v>0</v>
      </c>
      <c r="M140" s="148">
        <f>IFERROR(VLOOKUP($B140,TOLSEN!A:K,9,FALSE),0)</f>
        <v>0</v>
      </c>
      <c r="N140" s="94" t="str">
        <f>IFERROR(VLOOKUP(B140,TOLSEN!A:K,5,FALSE)," ")</f>
        <v xml:space="preserve"> </v>
      </c>
      <c r="O140" s="161" t="str">
        <f>IFERROR(VLOOKUP($B140,TOLSEN!$A:$K,10,FALSE)," ")</f>
        <v xml:space="preserve"> </v>
      </c>
      <c r="P140" s="161" t="str">
        <f>IFERROR(VLOOKUP($B140,TOLSEN!$A:$K,11,FALSE)," ")</f>
        <v xml:space="preserve"> </v>
      </c>
    </row>
    <row r="141" spans="2:16" ht="52.5" customHeight="1">
      <c r="B141" s="25"/>
      <c r="C141" s="137"/>
      <c r="D141" s="110"/>
      <c r="E141" s="110"/>
      <c r="F141" s="60" t="str">
        <f>IFERROR(VLOOKUP(B141,TOLSEN!A:D,3,FALSE),"0")</f>
        <v>0</v>
      </c>
      <c r="G141" s="61" t="str">
        <f>IFERROR(VLOOKUP(B141,TOLSEN!A:D,4,FALSE),"0")</f>
        <v>0</v>
      </c>
      <c r="H141" s="62" t="str">
        <f>IFERROR(VLOOKUP(B141,TOLSEN!A:K,6,FALSE),"0")</f>
        <v>0</v>
      </c>
      <c r="I141" s="62" t="str">
        <f>IFERROR(VLOOKUP(B141,TOLSEN!A:AC,7,FALSE),"0")</f>
        <v>0</v>
      </c>
      <c r="J141" s="63">
        <f t="shared" si="2"/>
        <v>0</v>
      </c>
      <c r="K141" s="107" t="e">
        <f t="shared" si="3"/>
        <v>#VALUE!</v>
      </c>
      <c r="L141" s="148">
        <f>IFERROR(VLOOKUP($B141,TOLSEN!A:I,8,FALSE),0)</f>
        <v>0</v>
      </c>
      <c r="M141" s="148">
        <f>IFERROR(VLOOKUP($B141,TOLSEN!A:K,9,FALSE),0)</f>
        <v>0</v>
      </c>
      <c r="N141" s="94" t="str">
        <f>IFERROR(VLOOKUP(B141,TOLSEN!A:K,5,FALSE)," ")</f>
        <v xml:space="preserve"> </v>
      </c>
      <c r="O141" s="161" t="str">
        <f>IFERROR(VLOOKUP($B141,TOLSEN!$A:$K,10,FALSE)," ")</f>
        <v xml:space="preserve"> </v>
      </c>
      <c r="P141" s="161" t="str">
        <f>IFERROR(VLOOKUP($B141,TOLSEN!$A:$K,11,FALSE)," ")</f>
        <v xml:space="preserve"> </v>
      </c>
    </row>
    <row r="142" spans="2:16" ht="52.5" customHeight="1">
      <c r="B142" s="25"/>
      <c r="C142" s="138"/>
      <c r="D142" s="110"/>
      <c r="E142" s="110"/>
      <c r="F142" s="60" t="str">
        <f>IFERROR(VLOOKUP(B142,TOLSEN!A:D,3,FALSE),"0")</f>
        <v>0</v>
      </c>
      <c r="G142" s="61" t="str">
        <f>IFERROR(VLOOKUP(B142,TOLSEN!A:D,4,FALSE),"0")</f>
        <v>0</v>
      </c>
      <c r="H142" s="62" t="str">
        <f>IFERROR(VLOOKUP(B142,TOLSEN!A:K,6,FALSE),"0")</f>
        <v>0</v>
      </c>
      <c r="I142" s="62" t="str">
        <f>IFERROR(VLOOKUP(B142,TOLSEN!A:AC,7,FALSE),"0")</f>
        <v>0</v>
      </c>
      <c r="J142" s="63">
        <f t="shared" si="2"/>
        <v>0</v>
      </c>
      <c r="K142" s="107" t="e">
        <f t="shared" si="3"/>
        <v>#VALUE!</v>
      </c>
      <c r="L142" s="148">
        <f>IFERROR(VLOOKUP($B142,TOLSEN!A:I,8,FALSE),0)</f>
        <v>0</v>
      </c>
      <c r="M142" s="148">
        <f>IFERROR(VLOOKUP($B142,TOLSEN!A:K,9,FALSE),0)</f>
        <v>0</v>
      </c>
      <c r="N142" s="94" t="str">
        <f>IFERROR(VLOOKUP(B142,TOLSEN!A:K,5,FALSE)," ")</f>
        <v xml:space="preserve"> </v>
      </c>
      <c r="O142" s="161" t="str">
        <f>IFERROR(VLOOKUP($B142,TOLSEN!$A:$K,10,FALSE)," ")</f>
        <v xml:space="preserve"> </v>
      </c>
      <c r="P142" s="161" t="str">
        <f>IFERROR(VLOOKUP($B142,TOLSEN!$A:$K,11,FALSE)," ")</f>
        <v xml:space="preserve"> </v>
      </c>
    </row>
    <row r="143" spans="2:16" ht="52.5" customHeight="1">
      <c r="B143" s="25"/>
      <c r="C143" s="137"/>
      <c r="D143" s="110"/>
      <c r="E143" s="110"/>
      <c r="F143" s="60" t="str">
        <f>IFERROR(VLOOKUP(B143,TOLSEN!A:D,3,FALSE),"0")</f>
        <v>0</v>
      </c>
      <c r="G143" s="61" t="str">
        <f>IFERROR(VLOOKUP(B143,TOLSEN!A:D,4,FALSE),"0")</f>
        <v>0</v>
      </c>
      <c r="H143" s="62" t="str">
        <f>IFERROR(VLOOKUP(B143,TOLSEN!A:K,6,FALSE),"0")</f>
        <v>0</v>
      </c>
      <c r="I143" s="62" t="str">
        <f>IFERROR(VLOOKUP(B143,TOLSEN!A:AC,7,FALSE),"0")</f>
        <v>0</v>
      </c>
      <c r="J143" s="63">
        <f t="shared" si="2"/>
        <v>0</v>
      </c>
      <c r="K143" s="107" t="e">
        <f t="shared" si="3"/>
        <v>#VALUE!</v>
      </c>
      <c r="L143" s="148">
        <f>IFERROR(VLOOKUP($B143,TOLSEN!A:I,8,FALSE),0)</f>
        <v>0</v>
      </c>
      <c r="M143" s="148">
        <f>IFERROR(VLOOKUP($B143,TOLSEN!A:K,9,FALSE),0)</f>
        <v>0</v>
      </c>
      <c r="N143" s="94" t="str">
        <f>IFERROR(VLOOKUP(B143,TOLSEN!A:K,5,FALSE)," ")</f>
        <v xml:space="preserve"> </v>
      </c>
      <c r="O143" s="161" t="str">
        <f>IFERROR(VLOOKUP($B143,TOLSEN!$A:$K,10,FALSE)," ")</f>
        <v xml:space="preserve"> </v>
      </c>
      <c r="P143" s="161" t="str">
        <f>IFERROR(VLOOKUP($B143,TOLSEN!$A:$K,11,FALSE)," ")</f>
        <v xml:space="preserve"> </v>
      </c>
    </row>
    <row r="144" spans="2:16" ht="52.5" customHeight="1">
      <c r="B144" s="25"/>
      <c r="C144" s="138"/>
      <c r="D144" s="110"/>
      <c r="E144" s="110"/>
      <c r="F144" s="60" t="str">
        <f>IFERROR(VLOOKUP(B144,TOLSEN!A:D,3,FALSE),"0")</f>
        <v>0</v>
      </c>
      <c r="G144" s="61" t="str">
        <f>IFERROR(VLOOKUP(B144,TOLSEN!A:D,4,FALSE),"0")</f>
        <v>0</v>
      </c>
      <c r="H144" s="62" t="str">
        <f>IFERROR(VLOOKUP(B144,TOLSEN!A:K,6,FALSE),"0")</f>
        <v>0</v>
      </c>
      <c r="I144" s="62" t="str">
        <f>IFERROR(VLOOKUP(B144,TOLSEN!A:AC,7,FALSE),"0")</f>
        <v>0</v>
      </c>
      <c r="J144" s="63">
        <f t="shared" si="2"/>
        <v>0</v>
      </c>
      <c r="K144" s="107" t="e">
        <f t="shared" si="3"/>
        <v>#VALUE!</v>
      </c>
      <c r="L144" s="148">
        <f>IFERROR(VLOOKUP($B144,TOLSEN!A:I,8,FALSE),0)</f>
        <v>0</v>
      </c>
      <c r="M144" s="148">
        <f>IFERROR(VLOOKUP($B144,TOLSEN!A:K,9,FALSE),0)</f>
        <v>0</v>
      </c>
      <c r="N144" s="94" t="str">
        <f>IFERROR(VLOOKUP(B144,TOLSEN!A:K,5,FALSE)," ")</f>
        <v xml:space="preserve"> </v>
      </c>
      <c r="O144" s="161" t="str">
        <f>IFERROR(VLOOKUP($B144,TOLSEN!$A:$K,10,FALSE)," ")</f>
        <v xml:space="preserve"> </v>
      </c>
      <c r="P144" s="161" t="str">
        <f>IFERROR(VLOOKUP($B144,TOLSEN!$A:$K,11,FALSE)," ")</f>
        <v xml:space="preserve"> </v>
      </c>
    </row>
    <row r="145" spans="2:16" ht="52.5" customHeight="1">
      <c r="B145" s="25"/>
      <c r="C145" s="137"/>
      <c r="D145" s="110"/>
      <c r="E145" s="110"/>
      <c r="F145" s="60" t="str">
        <f>IFERROR(VLOOKUP(B145,TOLSEN!A:D,3,FALSE),"0")</f>
        <v>0</v>
      </c>
      <c r="G145" s="61" t="str">
        <f>IFERROR(VLOOKUP(B145,TOLSEN!A:D,4,FALSE),"0")</f>
        <v>0</v>
      </c>
      <c r="H145" s="62" t="str">
        <f>IFERROR(VLOOKUP(B145,TOLSEN!A:K,6,FALSE),"0")</f>
        <v>0</v>
      </c>
      <c r="I145" s="62" t="str">
        <f>IFERROR(VLOOKUP(B145,TOLSEN!A:AC,7,FALSE),"0")</f>
        <v>0</v>
      </c>
      <c r="J145" s="63">
        <f t="shared" si="2"/>
        <v>0</v>
      </c>
      <c r="K145" s="107" t="e">
        <f t="shared" si="3"/>
        <v>#VALUE!</v>
      </c>
      <c r="L145" s="148">
        <f>IFERROR(VLOOKUP($B145,TOLSEN!A:I,8,FALSE),0)</f>
        <v>0</v>
      </c>
      <c r="M145" s="148">
        <f>IFERROR(VLOOKUP($B145,TOLSEN!A:K,9,FALSE),0)</f>
        <v>0</v>
      </c>
      <c r="N145" s="94" t="str">
        <f>IFERROR(VLOOKUP(B145,TOLSEN!A:K,5,FALSE)," ")</f>
        <v xml:space="preserve"> </v>
      </c>
      <c r="O145" s="161" t="str">
        <f>IFERROR(VLOOKUP($B145,TOLSEN!$A:$K,10,FALSE)," ")</f>
        <v xml:space="preserve"> </v>
      </c>
      <c r="P145" s="161" t="str">
        <f>IFERROR(VLOOKUP($B145,TOLSEN!$A:$K,11,FALSE)," ")</f>
        <v xml:space="preserve"> </v>
      </c>
    </row>
    <row r="146" spans="2:16" ht="52.5" customHeight="1">
      <c r="B146" s="25"/>
      <c r="C146" s="138"/>
      <c r="D146" s="110"/>
      <c r="E146" s="110"/>
      <c r="F146" s="60" t="str">
        <f>IFERROR(VLOOKUP(B146,TOLSEN!A:D,3,FALSE),"0")</f>
        <v>0</v>
      </c>
      <c r="G146" s="61" t="str">
        <f>IFERROR(VLOOKUP(B146,TOLSEN!A:D,4,FALSE),"0")</f>
        <v>0</v>
      </c>
      <c r="H146" s="62" t="str">
        <f>IFERROR(VLOOKUP(B146,TOLSEN!A:K,6,FALSE),"0")</f>
        <v>0</v>
      </c>
      <c r="I146" s="62" t="str">
        <f>IFERROR(VLOOKUP(B146,TOLSEN!A:AC,7,FALSE),"0")</f>
        <v>0</v>
      </c>
      <c r="J146" s="63">
        <f t="shared" si="2"/>
        <v>0</v>
      </c>
      <c r="K146" s="107" t="e">
        <f t="shared" si="3"/>
        <v>#VALUE!</v>
      </c>
      <c r="L146" s="148">
        <f>IFERROR(VLOOKUP($B146,TOLSEN!A:I,8,FALSE),0)</f>
        <v>0</v>
      </c>
      <c r="M146" s="148">
        <f>IFERROR(VLOOKUP($B146,TOLSEN!A:K,9,FALSE),0)</f>
        <v>0</v>
      </c>
      <c r="N146" s="94" t="str">
        <f>IFERROR(VLOOKUP(B146,TOLSEN!A:K,5,FALSE)," ")</f>
        <v xml:space="preserve"> </v>
      </c>
      <c r="O146" s="161" t="str">
        <f>IFERROR(VLOOKUP($B146,TOLSEN!$A:$K,10,FALSE)," ")</f>
        <v xml:space="preserve"> </v>
      </c>
      <c r="P146" s="161" t="str">
        <f>IFERROR(VLOOKUP($B146,TOLSEN!$A:$K,11,FALSE)," ")</f>
        <v xml:space="preserve"> </v>
      </c>
    </row>
    <row r="147" spans="2:16" ht="52.5" customHeight="1">
      <c r="B147" s="25"/>
      <c r="C147" s="137"/>
      <c r="D147" s="110"/>
      <c r="E147" s="110"/>
      <c r="F147" s="60" t="str">
        <f>IFERROR(VLOOKUP(B147,TOLSEN!A:D,3,FALSE),"0")</f>
        <v>0</v>
      </c>
      <c r="G147" s="61" t="str">
        <f>IFERROR(VLOOKUP(B147,TOLSEN!A:D,4,FALSE),"0")</f>
        <v>0</v>
      </c>
      <c r="H147" s="62" t="str">
        <f>IFERROR(VLOOKUP(B147,TOLSEN!A:K,6,FALSE),"0")</f>
        <v>0</v>
      </c>
      <c r="I147" s="62" t="str">
        <f>IFERROR(VLOOKUP(B147,TOLSEN!A:AC,7,FALSE),"0")</f>
        <v>0</v>
      </c>
      <c r="J147" s="63">
        <f t="shared" si="2"/>
        <v>0</v>
      </c>
      <c r="K147" s="107" t="e">
        <f t="shared" si="3"/>
        <v>#VALUE!</v>
      </c>
      <c r="L147" s="148">
        <f>IFERROR(VLOOKUP($B147,TOLSEN!A:I,8,FALSE),0)</f>
        <v>0</v>
      </c>
      <c r="M147" s="148">
        <f>IFERROR(VLOOKUP($B147,TOLSEN!A:K,9,FALSE),0)</f>
        <v>0</v>
      </c>
      <c r="N147" s="94" t="str">
        <f>IFERROR(VLOOKUP(B147,TOLSEN!A:K,5,FALSE)," ")</f>
        <v xml:space="preserve"> </v>
      </c>
      <c r="O147" s="161" t="str">
        <f>IFERROR(VLOOKUP($B147,TOLSEN!$A:$K,10,FALSE)," ")</f>
        <v xml:space="preserve"> </v>
      </c>
      <c r="P147" s="161" t="str">
        <f>IFERROR(VLOOKUP($B147,TOLSEN!$A:$K,11,FALSE)," ")</f>
        <v xml:space="preserve"> </v>
      </c>
    </row>
    <row r="148" spans="2:16" ht="52.5" customHeight="1">
      <c r="B148" s="25"/>
      <c r="C148" s="138"/>
      <c r="D148" s="110"/>
      <c r="E148" s="110"/>
      <c r="F148" s="60" t="str">
        <f>IFERROR(VLOOKUP(B148,TOLSEN!A:D,3,FALSE),"0")</f>
        <v>0</v>
      </c>
      <c r="G148" s="61" t="str">
        <f>IFERROR(VLOOKUP(B148,TOLSEN!A:D,4,FALSE),"0")</f>
        <v>0</v>
      </c>
      <c r="H148" s="62" t="str">
        <f>IFERROR(VLOOKUP(B148,TOLSEN!A:K,6,FALSE),"0")</f>
        <v>0</v>
      </c>
      <c r="I148" s="62" t="str">
        <f>IFERROR(VLOOKUP(B148,TOLSEN!A:AC,7,FALSE),"0")</f>
        <v>0</v>
      </c>
      <c r="J148" s="63">
        <f t="shared" si="2"/>
        <v>0</v>
      </c>
      <c r="K148" s="107" t="e">
        <f t="shared" si="3"/>
        <v>#VALUE!</v>
      </c>
      <c r="L148" s="148">
        <f>IFERROR(VLOOKUP($B148,TOLSEN!A:I,8,FALSE),0)</f>
        <v>0</v>
      </c>
      <c r="M148" s="148">
        <f>IFERROR(VLOOKUP($B148,TOLSEN!A:K,9,FALSE),0)</f>
        <v>0</v>
      </c>
      <c r="N148" s="94" t="str">
        <f>IFERROR(VLOOKUP(B148,TOLSEN!A:K,5,FALSE)," ")</f>
        <v xml:space="preserve"> </v>
      </c>
      <c r="O148" s="161" t="str">
        <f>IFERROR(VLOOKUP($B148,TOLSEN!$A:$K,10,FALSE)," ")</f>
        <v xml:space="preserve"> </v>
      </c>
      <c r="P148" s="161" t="str">
        <f>IFERROR(VLOOKUP($B148,TOLSEN!$A:$K,11,FALSE)," ")</f>
        <v xml:space="preserve"> </v>
      </c>
    </row>
    <row r="149" spans="2:16" ht="52.5" customHeight="1">
      <c r="B149" s="25"/>
      <c r="C149" s="137"/>
      <c r="D149" s="110"/>
      <c r="E149" s="110"/>
      <c r="F149" s="60" t="str">
        <f>IFERROR(VLOOKUP(B149,TOLSEN!A:D,3,FALSE),"0")</f>
        <v>0</v>
      </c>
      <c r="G149" s="61" t="str">
        <f>IFERROR(VLOOKUP(B149,TOLSEN!A:D,4,FALSE),"0")</f>
        <v>0</v>
      </c>
      <c r="H149" s="62" t="str">
        <f>IFERROR(VLOOKUP(B149,TOLSEN!A:K,6,FALSE),"0")</f>
        <v>0</v>
      </c>
      <c r="I149" s="62" t="str">
        <f>IFERROR(VLOOKUP(B149,TOLSEN!A:AC,7,FALSE),"0")</f>
        <v>0</v>
      </c>
      <c r="J149" s="63">
        <f t="shared" si="2"/>
        <v>0</v>
      </c>
      <c r="K149" s="107" t="e">
        <f t="shared" si="3"/>
        <v>#VALUE!</v>
      </c>
      <c r="L149" s="148">
        <f>IFERROR(VLOOKUP($B149,TOLSEN!A:I,8,FALSE),0)</f>
        <v>0</v>
      </c>
      <c r="M149" s="148">
        <f>IFERROR(VLOOKUP($B149,TOLSEN!A:K,9,FALSE),0)</f>
        <v>0</v>
      </c>
      <c r="N149" s="94" t="str">
        <f>IFERROR(VLOOKUP(B149,TOLSEN!A:K,5,FALSE)," ")</f>
        <v xml:space="preserve"> </v>
      </c>
      <c r="O149" s="161" t="str">
        <f>IFERROR(VLOOKUP($B149,TOLSEN!$A:$K,10,FALSE)," ")</f>
        <v xml:space="preserve"> </v>
      </c>
      <c r="P149" s="161" t="str">
        <f>IFERROR(VLOOKUP($B149,TOLSEN!$A:$K,11,FALSE)," ")</f>
        <v xml:space="preserve"> </v>
      </c>
    </row>
    <row r="150" spans="2:16" ht="52.5" customHeight="1">
      <c r="B150" s="25"/>
      <c r="C150" s="137"/>
      <c r="D150" s="110"/>
      <c r="E150" s="110"/>
      <c r="F150" s="60" t="str">
        <f>IFERROR(VLOOKUP(B150,TOLSEN!A:D,3,FALSE),"0")</f>
        <v>0</v>
      </c>
      <c r="G150" s="61" t="str">
        <f>IFERROR(VLOOKUP(B150,TOLSEN!A:D,4,FALSE),"0")</f>
        <v>0</v>
      </c>
      <c r="H150" s="62" t="str">
        <f>IFERROR(VLOOKUP(B150,TOLSEN!A:K,6,FALSE),"0")</f>
        <v>0</v>
      </c>
      <c r="I150" s="62" t="str">
        <f>IFERROR(VLOOKUP(B150,TOLSEN!A:AC,7,FALSE),"0")</f>
        <v>0</v>
      </c>
      <c r="J150" s="63">
        <f t="shared" si="2"/>
        <v>0</v>
      </c>
      <c r="K150" s="107" t="e">
        <f t="shared" si="3"/>
        <v>#VALUE!</v>
      </c>
      <c r="L150" s="148">
        <f>IFERROR(VLOOKUP($B150,TOLSEN!A:I,8,FALSE),0)</f>
        <v>0</v>
      </c>
      <c r="M150" s="148">
        <f>IFERROR(VLOOKUP($B150,TOLSEN!A:K,9,FALSE),0)</f>
        <v>0</v>
      </c>
      <c r="N150" s="94" t="str">
        <f>IFERROR(VLOOKUP(B150,TOLSEN!A:K,5,FALSE)," ")</f>
        <v xml:space="preserve"> </v>
      </c>
      <c r="O150" s="161" t="str">
        <f>IFERROR(VLOOKUP($B150,TOLSEN!$A:$K,10,FALSE)," ")</f>
        <v xml:space="preserve"> </v>
      </c>
      <c r="P150" s="161" t="str">
        <f>IFERROR(VLOOKUP($B150,TOLSEN!$A:$K,11,FALSE)," ")</f>
        <v xml:space="preserve"> </v>
      </c>
    </row>
    <row r="151" spans="2:16" ht="52.5" customHeight="1">
      <c r="B151" s="25"/>
      <c r="C151" s="137"/>
      <c r="D151" s="110"/>
      <c r="E151" s="110"/>
      <c r="F151" s="60" t="str">
        <f>IFERROR(VLOOKUP(B151,TOLSEN!A:D,3,FALSE),"0")</f>
        <v>0</v>
      </c>
      <c r="G151" s="61" t="str">
        <f>IFERROR(VLOOKUP(B151,TOLSEN!A:D,4,FALSE),"0")</f>
        <v>0</v>
      </c>
      <c r="H151" s="62" t="str">
        <f>IFERROR(VLOOKUP(B151,TOLSEN!A:K,6,FALSE),"0")</f>
        <v>0</v>
      </c>
      <c r="I151" s="62" t="str">
        <f>IFERROR(VLOOKUP(B151,TOLSEN!A:AC,7,FALSE),"0")</f>
        <v>0</v>
      </c>
      <c r="J151" s="63">
        <f t="shared" si="2"/>
        <v>0</v>
      </c>
      <c r="K151" s="107" t="e">
        <f t="shared" si="3"/>
        <v>#VALUE!</v>
      </c>
      <c r="L151" s="148">
        <f>IFERROR(VLOOKUP($B151,TOLSEN!A:I,8,FALSE),0)</f>
        <v>0</v>
      </c>
      <c r="M151" s="148">
        <f>IFERROR(VLOOKUP($B151,TOLSEN!A:K,9,FALSE),0)</f>
        <v>0</v>
      </c>
      <c r="N151" s="94" t="str">
        <f>IFERROR(VLOOKUP(B151,TOLSEN!A:K,5,FALSE)," ")</f>
        <v xml:space="preserve"> </v>
      </c>
      <c r="O151" s="161" t="str">
        <f>IFERROR(VLOOKUP($B151,TOLSEN!$A:$K,10,FALSE)," ")</f>
        <v xml:space="preserve"> </v>
      </c>
      <c r="P151" s="161" t="str">
        <f>IFERROR(VLOOKUP($B151,TOLSEN!$A:$K,11,FALSE)," ")</f>
        <v xml:space="preserve"> </v>
      </c>
    </row>
    <row r="152" spans="2:16" ht="52.5" customHeight="1">
      <c r="B152" s="25"/>
      <c r="C152" s="137"/>
      <c r="D152" s="110"/>
      <c r="E152" s="110"/>
      <c r="F152" s="60" t="str">
        <f>IFERROR(VLOOKUP(B152,TOLSEN!A:D,3,FALSE),"0")</f>
        <v>0</v>
      </c>
      <c r="G152" s="61" t="str">
        <f>IFERROR(VLOOKUP(B152,TOLSEN!A:D,4,FALSE),"0")</f>
        <v>0</v>
      </c>
      <c r="H152" s="62" t="str">
        <f>IFERROR(VLOOKUP(B152,TOLSEN!A:K,6,FALSE),"0")</f>
        <v>0</v>
      </c>
      <c r="I152" s="62" t="str">
        <f>IFERROR(VLOOKUP(B152,TOLSEN!A:AC,7,FALSE),"0")</f>
        <v>0</v>
      </c>
      <c r="J152" s="63">
        <f t="shared" ref="J152:J215" si="4">(I152*C152)</f>
        <v>0</v>
      </c>
      <c r="K152" s="107" t="e">
        <f t="shared" ref="K152:K215" si="5">(J152*(1+N152))</f>
        <v>#VALUE!</v>
      </c>
      <c r="L152" s="148">
        <f>IFERROR(VLOOKUP($B152,TOLSEN!A:I,8,FALSE),0)</f>
        <v>0</v>
      </c>
      <c r="M152" s="148">
        <f>IFERROR(VLOOKUP($B152,TOLSEN!A:K,9,FALSE),0)</f>
        <v>0</v>
      </c>
      <c r="N152" s="94" t="str">
        <f>IFERROR(VLOOKUP(B152,TOLSEN!A:K,5,FALSE)," ")</f>
        <v xml:space="preserve"> </v>
      </c>
      <c r="O152" s="161" t="str">
        <f>IFERROR(VLOOKUP($B152,TOLSEN!$A:$K,10,FALSE)," ")</f>
        <v xml:space="preserve"> </v>
      </c>
      <c r="P152" s="161" t="str">
        <f>IFERROR(VLOOKUP($B152,TOLSEN!$A:$K,11,FALSE)," ")</f>
        <v xml:space="preserve"> </v>
      </c>
    </row>
    <row r="153" spans="2:16" ht="52.5" customHeight="1">
      <c r="B153" s="25"/>
      <c r="C153" s="137"/>
      <c r="D153" s="110"/>
      <c r="E153" s="110"/>
      <c r="F153" s="60" t="str">
        <f>IFERROR(VLOOKUP(B153,TOLSEN!A:D,3,FALSE),"0")</f>
        <v>0</v>
      </c>
      <c r="G153" s="61" t="str">
        <f>IFERROR(VLOOKUP(B153,TOLSEN!A:D,4,FALSE),"0")</f>
        <v>0</v>
      </c>
      <c r="H153" s="62" t="str">
        <f>IFERROR(VLOOKUP(B153,TOLSEN!A:K,6,FALSE),"0")</f>
        <v>0</v>
      </c>
      <c r="I153" s="62" t="str">
        <f>IFERROR(VLOOKUP(B153,TOLSEN!A:AC,7,FALSE),"0")</f>
        <v>0</v>
      </c>
      <c r="J153" s="63">
        <f t="shared" si="4"/>
        <v>0</v>
      </c>
      <c r="K153" s="107" t="e">
        <f t="shared" si="5"/>
        <v>#VALUE!</v>
      </c>
      <c r="L153" s="148">
        <f>IFERROR(VLOOKUP($B153,TOLSEN!A:I,8,FALSE),0)</f>
        <v>0</v>
      </c>
      <c r="M153" s="148">
        <f>IFERROR(VLOOKUP($B153,TOLSEN!A:K,9,FALSE),0)</f>
        <v>0</v>
      </c>
      <c r="N153" s="94" t="str">
        <f>IFERROR(VLOOKUP(B153,TOLSEN!A:K,5,FALSE)," ")</f>
        <v xml:space="preserve"> </v>
      </c>
      <c r="O153" s="161" t="str">
        <f>IFERROR(VLOOKUP($B153,TOLSEN!$A:$K,10,FALSE)," ")</f>
        <v xml:space="preserve"> </v>
      </c>
      <c r="P153" s="161" t="str">
        <f>IFERROR(VLOOKUP($B153,TOLSEN!$A:$K,11,FALSE)," ")</f>
        <v xml:space="preserve"> </v>
      </c>
    </row>
    <row r="154" spans="2:16" ht="52.5" customHeight="1">
      <c r="B154" s="25"/>
      <c r="C154" s="137"/>
      <c r="D154" s="110"/>
      <c r="E154" s="110"/>
      <c r="F154" s="60" t="str">
        <f>IFERROR(VLOOKUP(B154,TOLSEN!A:D,3,FALSE),"0")</f>
        <v>0</v>
      </c>
      <c r="G154" s="61" t="str">
        <f>IFERROR(VLOOKUP(B154,TOLSEN!A:D,4,FALSE),"0")</f>
        <v>0</v>
      </c>
      <c r="H154" s="62" t="str">
        <f>IFERROR(VLOOKUP(B154,TOLSEN!A:K,6,FALSE),"0")</f>
        <v>0</v>
      </c>
      <c r="I154" s="62" t="str">
        <f>IFERROR(VLOOKUP(B154,TOLSEN!A:AC,7,FALSE),"0")</f>
        <v>0</v>
      </c>
      <c r="J154" s="63">
        <f t="shared" si="4"/>
        <v>0</v>
      </c>
      <c r="K154" s="107" t="e">
        <f t="shared" si="5"/>
        <v>#VALUE!</v>
      </c>
      <c r="L154" s="148">
        <f>IFERROR(VLOOKUP($B154,TOLSEN!A:I,8,FALSE),0)</f>
        <v>0</v>
      </c>
      <c r="M154" s="148">
        <f>IFERROR(VLOOKUP($B154,TOLSEN!A:K,9,FALSE),0)</f>
        <v>0</v>
      </c>
      <c r="N154" s="94" t="str">
        <f>IFERROR(VLOOKUP(B154,TOLSEN!A:K,5,FALSE)," ")</f>
        <v xml:space="preserve"> </v>
      </c>
      <c r="O154" s="161" t="str">
        <f>IFERROR(VLOOKUP($B154,TOLSEN!$A:$K,10,FALSE)," ")</f>
        <v xml:space="preserve"> </v>
      </c>
      <c r="P154" s="161" t="str">
        <f>IFERROR(VLOOKUP($B154,TOLSEN!$A:$K,11,FALSE)," ")</f>
        <v xml:space="preserve"> </v>
      </c>
    </row>
    <row r="155" spans="2:16" ht="52.5" customHeight="1">
      <c r="B155" s="25"/>
      <c r="C155" s="137"/>
      <c r="D155" s="110"/>
      <c r="E155" s="110"/>
      <c r="F155" s="60" t="str">
        <f>IFERROR(VLOOKUP(B155,TOLSEN!A:D,3,FALSE),"0")</f>
        <v>0</v>
      </c>
      <c r="G155" s="61" t="str">
        <f>IFERROR(VLOOKUP(B155,TOLSEN!A:D,4,FALSE),"0")</f>
        <v>0</v>
      </c>
      <c r="H155" s="62" t="str">
        <f>IFERROR(VLOOKUP(B155,TOLSEN!A:K,6,FALSE),"0")</f>
        <v>0</v>
      </c>
      <c r="I155" s="62" t="str">
        <f>IFERROR(VLOOKUP(B155,TOLSEN!A:AC,7,FALSE),"0")</f>
        <v>0</v>
      </c>
      <c r="J155" s="63">
        <f t="shared" si="4"/>
        <v>0</v>
      </c>
      <c r="K155" s="107" t="e">
        <f t="shared" si="5"/>
        <v>#VALUE!</v>
      </c>
      <c r="L155" s="148">
        <f>IFERROR(VLOOKUP($B155,TOLSEN!A:I,8,FALSE),0)</f>
        <v>0</v>
      </c>
      <c r="M155" s="148">
        <f>IFERROR(VLOOKUP($B155,TOLSEN!A:K,9,FALSE),0)</f>
        <v>0</v>
      </c>
      <c r="N155" s="94" t="str">
        <f>IFERROR(VLOOKUP(B155,TOLSEN!A:K,5,FALSE)," ")</f>
        <v xml:space="preserve"> </v>
      </c>
      <c r="O155" s="161" t="str">
        <f>IFERROR(VLOOKUP($B155,TOLSEN!$A:$K,10,FALSE)," ")</f>
        <v xml:space="preserve"> </v>
      </c>
      <c r="P155" s="161" t="str">
        <f>IFERROR(VLOOKUP($B155,TOLSEN!$A:$K,11,FALSE)," ")</f>
        <v xml:space="preserve"> </v>
      </c>
    </row>
    <row r="156" spans="2:16" ht="52.5" customHeight="1">
      <c r="B156" s="25"/>
      <c r="C156" s="137"/>
      <c r="D156" s="110"/>
      <c r="E156" s="110"/>
      <c r="F156" s="60" t="str">
        <f>IFERROR(VLOOKUP(B156,TOLSEN!A:D,3,FALSE),"0")</f>
        <v>0</v>
      </c>
      <c r="G156" s="61" t="str">
        <f>IFERROR(VLOOKUP(B156,TOLSEN!A:D,4,FALSE),"0")</f>
        <v>0</v>
      </c>
      <c r="H156" s="62" t="str">
        <f>IFERROR(VLOOKUP(B156,TOLSEN!A:K,6,FALSE),"0")</f>
        <v>0</v>
      </c>
      <c r="I156" s="62" t="str">
        <f>IFERROR(VLOOKUP(B156,TOLSEN!A:AC,7,FALSE),"0")</f>
        <v>0</v>
      </c>
      <c r="J156" s="63">
        <f t="shared" si="4"/>
        <v>0</v>
      </c>
      <c r="K156" s="107" t="e">
        <f t="shared" si="5"/>
        <v>#VALUE!</v>
      </c>
      <c r="L156" s="148">
        <f>IFERROR(VLOOKUP($B156,TOLSEN!A:I,8,FALSE),0)</f>
        <v>0</v>
      </c>
      <c r="M156" s="148">
        <f>IFERROR(VLOOKUP($B156,TOLSEN!A:K,9,FALSE),0)</f>
        <v>0</v>
      </c>
      <c r="N156" s="94" t="str">
        <f>IFERROR(VLOOKUP(B156,TOLSEN!A:K,5,FALSE)," ")</f>
        <v xml:space="preserve"> </v>
      </c>
      <c r="O156" s="161" t="str">
        <f>IFERROR(VLOOKUP($B156,TOLSEN!$A:$K,10,FALSE)," ")</f>
        <v xml:space="preserve"> </v>
      </c>
      <c r="P156" s="161" t="str">
        <f>IFERROR(VLOOKUP($B156,TOLSEN!$A:$K,11,FALSE)," ")</f>
        <v xml:space="preserve"> </v>
      </c>
    </row>
    <row r="157" spans="2:16" ht="52.5" customHeight="1">
      <c r="B157" s="25"/>
      <c r="C157" s="137"/>
      <c r="D157" s="110"/>
      <c r="E157" s="110"/>
      <c r="F157" s="60" t="str">
        <f>IFERROR(VLOOKUP(B157,TOLSEN!A:D,3,FALSE),"0")</f>
        <v>0</v>
      </c>
      <c r="G157" s="61" t="str">
        <f>IFERROR(VLOOKUP(B157,TOLSEN!A:D,4,FALSE),"0")</f>
        <v>0</v>
      </c>
      <c r="H157" s="62" t="str">
        <f>IFERROR(VLOOKUP(B157,TOLSEN!A:K,6,FALSE),"0")</f>
        <v>0</v>
      </c>
      <c r="I157" s="62" t="str">
        <f>IFERROR(VLOOKUP(B157,TOLSEN!A:AC,7,FALSE),"0")</f>
        <v>0</v>
      </c>
      <c r="J157" s="63">
        <f t="shared" si="4"/>
        <v>0</v>
      </c>
      <c r="K157" s="107" t="e">
        <f t="shared" si="5"/>
        <v>#VALUE!</v>
      </c>
      <c r="L157" s="148">
        <f>IFERROR(VLOOKUP($B157,TOLSEN!A:I,8,FALSE),0)</f>
        <v>0</v>
      </c>
      <c r="M157" s="148">
        <f>IFERROR(VLOOKUP($B157,TOLSEN!A:K,9,FALSE),0)</f>
        <v>0</v>
      </c>
      <c r="N157" s="94" t="str">
        <f>IFERROR(VLOOKUP(B157,TOLSEN!A:K,5,FALSE)," ")</f>
        <v xml:space="preserve"> </v>
      </c>
      <c r="O157" s="161" t="str">
        <f>IFERROR(VLOOKUP($B157,TOLSEN!$A:$K,10,FALSE)," ")</f>
        <v xml:space="preserve"> </v>
      </c>
      <c r="P157" s="161" t="str">
        <f>IFERROR(VLOOKUP($B157,TOLSEN!$A:$K,11,FALSE)," ")</f>
        <v xml:space="preserve"> </v>
      </c>
    </row>
    <row r="158" spans="2:16" ht="52.5" customHeight="1">
      <c r="B158" s="25"/>
      <c r="C158" s="137"/>
      <c r="D158" s="110"/>
      <c r="E158" s="110"/>
      <c r="F158" s="60" t="str">
        <f>IFERROR(VLOOKUP(B158,TOLSEN!A:D,3,FALSE),"0")</f>
        <v>0</v>
      </c>
      <c r="G158" s="61" t="str">
        <f>IFERROR(VLOOKUP(B158,TOLSEN!A:D,4,FALSE),"0")</f>
        <v>0</v>
      </c>
      <c r="H158" s="62" t="str">
        <f>IFERROR(VLOOKUP(B158,TOLSEN!A:K,6,FALSE),"0")</f>
        <v>0</v>
      </c>
      <c r="I158" s="62" t="str">
        <f>IFERROR(VLOOKUP(B158,TOLSEN!A:AC,7,FALSE),"0")</f>
        <v>0</v>
      </c>
      <c r="J158" s="63">
        <f t="shared" si="4"/>
        <v>0</v>
      </c>
      <c r="K158" s="107" t="e">
        <f t="shared" si="5"/>
        <v>#VALUE!</v>
      </c>
      <c r="L158" s="148">
        <f>IFERROR(VLOOKUP($B158,TOLSEN!A:I,8,FALSE),0)</f>
        <v>0</v>
      </c>
      <c r="M158" s="148">
        <f>IFERROR(VLOOKUP($B158,TOLSEN!A:K,9,FALSE),0)</f>
        <v>0</v>
      </c>
      <c r="N158" s="94" t="str">
        <f>IFERROR(VLOOKUP(B158,TOLSEN!A:K,5,FALSE)," ")</f>
        <v xml:space="preserve"> </v>
      </c>
      <c r="O158" s="161" t="str">
        <f>IFERROR(VLOOKUP($B158,TOLSEN!$A:$K,10,FALSE)," ")</f>
        <v xml:space="preserve"> </v>
      </c>
      <c r="P158" s="161" t="str">
        <f>IFERROR(VLOOKUP($B158,TOLSEN!$A:$K,11,FALSE)," ")</f>
        <v xml:space="preserve"> </v>
      </c>
    </row>
    <row r="159" spans="2:16" ht="52.5" customHeight="1">
      <c r="B159" s="25"/>
      <c r="C159" s="137"/>
      <c r="D159" s="110"/>
      <c r="E159" s="110"/>
      <c r="F159" s="60" t="str">
        <f>IFERROR(VLOOKUP(B159,TOLSEN!A:D,3,FALSE),"0")</f>
        <v>0</v>
      </c>
      <c r="G159" s="61" t="str">
        <f>IFERROR(VLOOKUP(B159,TOLSEN!A:D,4,FALSE),"0")</f>
        <v>0</v>
      </c>
      <c r="H159" s="62" t="str">
        <f>IFERROR(VLOOKUP(B159,TOLSEN!A:K,6,FALSE),"0")</f>
        <v>0</v>
      </c>
      <c r="I159" s="62" t="str">
        <f>IFERROR(VLOOKUP(B159,TOLSEN!A:AC,7,FALSE),"0")</f>
        <v>0</v>
      </c>
      <c r="J159" s="63">
        <f t="shared" si="4"/>
        <v>0</v>
      </c>
      <c r="K159" s="107" t="e">
        <f t="shared" si="5"/>
        <v>#VALUE!</v>
      </c>
      <c r="L159" s="148">
        <f>IFERROR(VLOOKUP($B159,TOLSEN!A:I,8,FALSE),0)</f>
        <v>0</v>
      </c>
      <c r="M159" s="148">
        <f>IFERROR(VLOOKUP($B159,TOLSEN!A:K,9,FALSE),0)</f>
        <v>0</v>
      </c>
      <c r="N159" s="94" t="str">
        <f>IFERROR(VLOOKUP(B159,TOLSEN!A:K,5,FALSE)," ")</f>
        <v xml:space="preserve"> </v>
      </c>
      <c r="O159" s="161" t="str">
        <f>IFERROR(VLOOKUP($B159,TOLSEN!$A:$K,10,FALSE)," ")</f>
        <v xml:space="preserve"> </v>
      </c>
      <c r="P159" s="161" t="str">
        <f>IFERROR(VLOOKUP($B159,TOLSEN!$A:$K,11,FALSE)," ")</f>
        <v xml:space="preserve"> </v>
      </c>
    </row>
    <row r="160" spans="2:16" ht="52.5" customHeight="1">
      <c r="B160" s="25"/>
      <c r="C160" s="137"/>
      <c r="D160" s="110"/>
      <c r="E160" s="110"/>
      <c r="F160" s="60" t="str">
        <f>IFERROR(VLOOKUP(B160,TOLSEN!A:D,3,FALSE),"0")</f>
        <v>0</v>
      </c>
      <c r="G160" s="61" t="str">
        <f>IFERROR(VLOOKUP(B160,TOLSEN!A:D,4,FALSE),"0")</f>
        <v>0</v>
      </c>
      <c r="H160" s="62" t="str">
        <f>IFERROR(VLOOKUP(B160,TOLSEN!A:K,6,FALSE),"0")</f>
        <v>0</v>
      </c>
      <c r="I160" s="62" t="str">
        <f>IFERROR(VLOOKUP(B160,TOLSEN!A:AC,7,FALSE),"0")</f>
        <v>0</v>
      </c>
      <c r="J160" s="63">
        <f t="shared" si="4"/>
        <v>0</v>
      </c>
      <c r="K160" s="107" t="e">
        <f t="shared" si="5"/>
        <v>#VALUE!</v>
      </c>
      <c r="L160" s="148">
        <f>IFERROR(VLOOKUP($B160,TOLSEN!A:I,8,FALSE),0)</f>
        <v>0</v>
      </c>
      <c r="M160" s="148">
        <f>IFERROR(VLOOKUP($B160,TOLSEN!A:K,9,FALSE),0)</f>
        <v>0</v>
      </c>
      <c r="N160" s="94" t="str">
        <f>IFERROR(VLOOKUP(B160,TOLSEN!A:K,5,FALSE)," ")</f>
        <v xml:space="preserve"> </v>
      </c>
      <c r="O160" s="161" t="str">
        <f>IFERROR(VLOOKUP($B160,TOLSEN!$A:$K,10,FALSE)," ")</f>
        <v xml:space="preserve"> </v>
      </c>
      <c r="P160" s="161" t="str">
        <f>IFERROR(VLOOKUP($B160,TOLSEN!$A:$K,11,FALSE)," ")</f>
        <v xml:space="preserve"> </v>
      </c>
    </row>
    <row r="161" spans="2:16" ht="52.5" customHeight="1">
      <c r="B161" s="25"/>
      <c r="C161" s="137"/>
      <c r="D161" s="110"/>
      <c r="E161" s="110"/>
      <c r="F161" s="60" t="str">
        <f>IFERROR(VLOOKUP(B161,TOLSEN!A:D,3,FALSE),"0")</f>
        <v>0</v>
      </c>
      <c r="G161" s="61" t="str">
        <f>IFERROR(VLOOKUP(B161,TOLSEN!A:D,4,FALSE),"0")</f>
        <v>0</v>
      </c>
      <c r="H161" s="62" t="str">
        <f>IFERROR(VLOOKUP(B161,TOLSEN!A:K,6,FALSE),"0")</f>
        <v>0</v>
      </c>
      <c r="I161" s="62" t="str">
        <f>IFERROR(VLOOKUP(B161,TOLSEN!A:AC,7,FALSE),"0")</f>
        <v>0</v>
      </c>
      <c r="J161" s="63">
        <f t="shared" si="4"/>
        <v>0</v>
      </c>
      <c r="K161" s="107" t="e">
        <f t="shared" si="5"/>
        <v>#VALUE!</v>
      </c>
      <c r="L161" s="148">
        <f>IFERROR(VLOOKUP($B161,TOLSEN!A:I,8,FALSE),0)</f>
        <v>0</v>
      </c>
      <c r="M161" s="148">
        <f>IFERROR(VLOOKUP($B161,TOLSEN!A:K,9,FALSE),0)</f>
        <v>0</v>
      </c>
      <c r="N161" s="94" t="str">
        <f>IFERROR(VLOOKUP(B161,TOLSEN!A:K,5,FALSE)," ")</f>
        <v xml:space="preserve"> </v>
      </c>
      <c r="O161" s="161" t="str">
        <f>IFERROR(VLOOKUP($B161,TOLSEN!$A:$K,10,FALSE)," ")</f>
        <v xml:space="preserve"> </v>
      </c>
      <c r="P161" s="161" t="str">
        <f>IFERROR(VLOOKUP($B161,TOLSEN!$A:$K,11,FALSE)," ")</f>
        <v xml:space="preserve"> </v>
      </c>
    </row>
    <row r="162" spans="2:16" ht="52.5" customHeight="1">
      <c r="B162" s="25"/>
      <c r="C162" s="137"/>
      <c r="D162" s="110"/>
      <c r="E162" s="110"/>
      <c r="F162" s="60" t="str">
        <f>IFERROR(VLOOKUP(B162,TOLSEN!A:D,3,FALSE),"0")</f>
        <v>0</v>
      </c>
      <c r="G162" s="61" t="str">
        <f>IFERROR(VLOOKUP(B162,TOLSEN!A:D,4,FALSE),"0")</f>
        <v>0</v>
      </c>
      <c r="H162" s="62" t="str">
        <f>IFERROR(VLOOKUP(B162,TOLSEN!A:K,6,FALSE),"0")</f>
        <v>0</v>
      </c>
      <c r="I162" s="62" t="str">
        <f>IFERROR(VLOOKUP(B162,TOLSEN!A:AC,7,FALSE),"0")</f>
        <v>0</v>
      </c>
      <c r="J162" s="63">
        <f t="shared" si="4"/>
        <v>0</v>
      </c>
      <c r="K162" s="107" t="e">
        <f t="shared" si="5"/>
        <v>#VALUE!</v>
      </c>
      <c r="L162" s="148">
        <f>IFERROR(VLOOKUP($B162,TOLSEN!A:I,8,FALSE),0)</f>
        <v>0</v>
      </c>
      <c r="M162" s="148">
        <f>IFERROR(VLOOKUP($B162,TOLSEN!A:K,9,FALSE),0)</f>
        <v>0</v>
      </c>
      <c r="N162" s="94" t="str">
        <f>IFERROR(VLOOKUP(B162,TOLSEN!A:K,5,FALSE)," ")</f>
        <v xml:space="preserve"> </v>
      </c>
      <c r="O162" s="161" t="str">
        <f>IFERROR(VLOOKUP($B162,TOLSEN!$A:$K,10,FALSE)," ")</f>
        <v xml:space="preserve"> </v>
      </c>
      <c r="P162" s="161" t="str">
        <f>IFERROR(VLOOKUP($B162,TOLSEN!$A:$K,11,FALSE)," ")</f>
        <v xml:space="preserve"> </v>
      </c>
    </row>
    <row r="163" spans="2:16" ht="52.5" customHeight="1">
      <c r="B163" s="25"/>
      <c r="C163" s="137"/>
      <c r="D163" s="110"/>
      <c r="E163" s="110"/>
      <c r="F163" s="60" t="str">
        <f>IFERROR(VLOOKUP(B163,TOLSEN!A:D,3,FALSE),"0")</f>
        <v>0</v>
      </c>
      <c r="G163" s="61" t="str">
        <f>IFERROR(VLOOKUP(B163,TOLSEN!A:D,4,FALSE),"0")</f>
        <v>0</v>
      </c>
      <c r="H163" s="62" t="str">
        <f>IFERROR(VLOOKUP(B163,TOLSEN!A:K,6,FALSE),"0")</f>
        <v>0</v>
      </c>
      <c r="I163" s="62" t="str">
        <f>IFERROR(VLOOKUP(B163,TOLSEN!A:AC,7,FALSE),"0")</f>
        <v>0</v>
      </c>
      <c r="J163" s="63">
        <f t="shared" si="4"/>
        <v>0</v>
      </c>
      <c r="K163" s="107" t="e">
        <f t="shared" si="5"/>
        <v>#VALUE!</v>
      </c>
      <c r="L163" s="148">
        <f>IFERROR(VLOOKUP($B163,TOLSEN!A:I,8,FALSE),0)</f>
        <v>0</v>
      </c>
      <c r="M163" s="148">
        <f>IFERROR(VLOOKUP($B163,TOLSEN!A:K,9,FALSE),0)</f>
        <v>0</v>
      </c>
      <c r="N163" s="94" t="str">
        <f>IFERROR(VLOOKUP(B163,TOLSEN!A:K,5,FALSE)," ")</f>
        <v xml:space="preserve"> </v>
      </c>
      <c r="O163" s="161" t="str">
        <f>IFERROR(VLOOKUP($B163,TOLSEN!$A:$K,10,FALSE)," ")</f>
        <v xml:space="preserve"> </v>
      </c>
      <c r="P163" s="161" t="str">
        <f>IFERROR(VLOOKUP($B163,TOLSEN!$A:$K,11,FALSE)," ")</f>
        <v xml:space="preserve"> </v>
      </c>
    </row>
    <row r="164" spans="2:16" ht="52.5" customHeight="1">
      <c r="B164" s="25"/>
      <c r="C164" s="137"/>
      <c r="D164" s="110"/>
      <c r="E164" s="110"/>
      <c r="F164" s="60" t="str">
        <f>IFERROR(VLOOKUP(B164,TOLSEN!A:D,3,FALSE),"0")</f>
        <v>0</v>
      </c>
      <c r="G164" s="61" t="str">
        <f>IFERROR(VLOOKUP(B164,TOLSEN!A:D,4,FALSE),"0")</f>
        <v>0</v>
      </c>
      <c r="H164" s="62" t="str">
        <f>IFERROR(VLOOKUP(B164,TOLSEN!A:K,6,FALSE),"0")</f>
        <v>0</v>
      </c>
      <c r="I164" s="62" t="str">
        <f>IFERROR(VLOOKUP(B164,TOLSEN!A:AC,7,FALSE),"0")</f>
        <v>0</v>
      </c>
      <c r="J164" s="63">
        <f t="shared" si="4"/>
        <v>0</v>
      </c>
      <c r="K164" s="107" t="e">
        <f t="shared" si="5"/>
        <v>#VALUE!</v>
      </c>
      <c r="L164" s="148">
        <f>IFERROR(VLOOKUP($B164,TOLSEN!A:I,8,FALSE),0)</f>
        <v>0</v>
      </c>
      <c r="M164" s="148">
        <f>IFERROR(VLOOKUP($B164,TOLSEN!A:K,9,FALSE),0)</f>
        <v>0</v>
      </c>
      <c r="N164" s="94" t="str">
        <f>IFERROR(VLOOKUP(B164,TOLSEN!A:K,5,FALSE)," ")</f>
        <v xml:space="preserve"> </v>
      </c>
      <c r="O164" s="161" t="str">
        <f>IFERROR(VLOOKUP($B164,TOLSEN!$A:$K,10,FALSE)," ")</f>
        <v xml:space="preserve"> </v>
      </c>
      <c r="P164" s="161" t="str">
        <f>IFERROR(VLOOKUP($B164,TOLSEN!$A:$K,11,FALSE)," ")</f>
        <v xml:space="preserve"> </v>
      </c>
    </row>
    <row r="165" spans="2:16" ht="52.5" customHeight="1">
      <c r="B165" s="25"/>
      <c r="C165" s="137"/>
      <c r="D165" s="110"/>
      <c r="E165" s="110"/>
      <c r="F165" s="60" t="str">
        <f>IFERROR(VLOOKUP(B165,TOLSEN!A:D,3,FALSE),"0")</f>
        <v>0</v>
      </c>
      <c r="G165" s="61" t="str">
        <f>IFERROR(VLOOKUP(B165,TOLSEN!A:D,4,FALSE),"0")</f>
        <v>0</v>
      </c>
      <c r="H165" s="62" t="str">
        <f>IFERROR(VLOOKUP(B165,TOLSEN!A:K,6,FALSE),"0")</f>
        <v>0</v>
      </c>
      <c r="I165" s="62" t="str">
        <f>IFERROR(VLOOKUP(B165,TOLSEN!A:AC,7,FALSE),"0")</f>
        <v>0</v>
      </c>
      <c r="J165" s="63">
        <f t="shared" si="4"/>
        <v>0</v>
      </c>
      <c r="K165" s="107" t="e">
        <f t="shared" si="5"/>
        <v>#VALUE!</v>
      </c>
      <c r="L165" s="148">
        <f>IFERROR(VLOOKUP($B165,TOLSEN!A:I,8,FALSE),0)</f>
        <v>0</v>
      </c>
      <c r="M165" s="148">
        <f>IFERROR(VLOOKUP($B165,TOLSEN!A:K,9,FALSE),0)</f>
        <v>0</v>
      </c>
      <c r="N165" s="94" t="str">
        <f>IFERROR(VLOOKUP(B165,TOLSEN!A:K,5,FALSE)," ")</f>
        <v xml:space="preserve"> </v>
      </c>
      <c r="O165" s="161" t="str">
        <f>IFERROR(VLOOKUP($B165,TOLSEN!$A:$K,10,FALSE)," ")</f>
        <v xml:space="preserve"> </v>
      </c>
      <c r="P165" s="161" t="str">
        <f>IFERROR(VLOOKUP($B165,TOLSEN!$A:$K,11,FALSE)," ")</f>
        <v xml:space="preserve"> </v>
      </c>
    </row>
    <row r="166" spans="2:16" ht="52.5" customHeight="1">
      <c r="B166" s="25"/>
      <c r="C166" s="137"/>
      <c r="D166" s="110"/>
      <c r="E166" s="110"/>
      <c r="F166" s="60" t="str">
        <f>IFERROR(VLOOKUP(B166,TOLSEN!A:D,3,FALSE),"0")</f>
        <v>0</v>
      </c>
      <c r="G166" s="61" t="str">
        <f>IFERROR(VLOOKUP(B166,TOLSEN!A:D,4,FALSE),"0")</f>
        <v>0</v>
      </c>
      <c r="H166" s="62" t="str">
        <f>IFERROR(VLOOKUP(B166,TOLSEN!A:K,6,FALSE),"0")</f>
        <v>0</v>
      </c>
      <c r="I166" s="62" t="str">
        <f>IFERROR(VLOOKUP(B166,TOLSEN!A:AC,7,FALSE),"0")</f>
        <v>0</v>
      </c>
      <c r="J166" s="63">
        <f t="shared" si="4"/>
        <v>0</v>
      </c>
      <c r="K166" s="107" t="e">
        <f t="shared" si="5"/>
        <v>#VALUE!</v>
      </c>
      <c r="L166" s="148">
        <f>IFERROR(VLOOKUP($B166,TOLSEN!A:I,8,FALSE),0)</f>
        <v>0</v>
      </c>
      <c r="M166" s="148">
        <f>IFERROR(VLOOKUP($B166,TOLSEN!A:K,9,FALSE),0)</f>
        <v>0</v>
      </c>
      <c r="N166" s="94" t="str">
        <f>IFERROR(VLOOKUP(B166,TOLSEN!A:K,5,FALSE)," ")</f>
        <v xml:space="preserve"> </v>
      </c>
      <c r="O166" s="161" t="str">
        <f>IFERROR(VLOOKUP($B166,TOLSEN!$A:$K,10,FALSE)," ")</f>
        <v xml:space="preserve"> </v>
      </c>
      <c r="P166" s="161" t="str">
        <f>IFERROR(VLOOKUP($B166,TOLSEN!$A:$K,11,FALSE)," ")</f>
        <v xml:space="preserve"> </v>
      </c>
    </row>
    <row r="167" spans="2:16" ht="52.5" customHeight="1">
      <c r="B167" s="25"/>
      <c r="C167" s="137"/>
      <c r="D167" s="110"/>
      <c r="E167" s="110"/>
      <c r="F167" s="60" t="str">
        <f>IFERROR(VLOOKUP(B167,TOLSEN!A:D,3,FALSE),"0")</f>
        <v>0</v>
      </c>
      <c r="G167" s="61" t="str">
        <f>IFERROR(VLOOKUP(B167,TOLSEN!A:D,4,FALSE),"0")</f>
        <v>0</v>
      </c>
      <c r="H167" s="62" t="str">
        <f>IFERROR(VLOOKUP(B167,TOLSEN!A:K,6,FALSE),"0")</f>
        <v>0</v>
      </c>
      <c r="I167" s="62" t="str">
        <f>IFERROR(VLOOKUP(B167,TOLSEN!A:AC,7,FALSE),"0")</f>
        <v>0</v>
      </c>
      <c r="J167" s="63">
        <f t="shared" si="4"/>
        <v>0</v>
      </c>
      <c r="K167" s="107" t="e">
        <f t="shared" si="5"/>
        <v>#VALUE!</v>
      </c>
      <c r="L167" s="148">
        <f>IFERROR(VLOOKUP($B167,TOLSEN!A:I,8,FALSE),0)</f>
        <v>0</v>
      </c>
      <c r="M167" s="148">
        <f>IFERROR(VLOOKUP($B167,TOLSEN!A:K,9,FALSE),0)</f>
        <v>0</v>
      </c>
      <c r="N167" s="94" t="str">
        <f>IFERROR(VLOOKUP(B167,TOLSEN!A:K,5,FALSE)," ")</f>
        <v xml:space="preserve"> </v>
      </c>
      <c r="O167" s="161" t="str">
        <f>IFERROR(VLOOKUP($B167,TOLSEN!$A:$K,10,FALSE)," ")</f>
        <v xml:space="preserve"> </v>
      </c>
      <c r="P167" s="161" t="str">
        <f>IFERROR(VLOOKUP($B167,TOLSEN!$A:$K,11,FALSE)," ")</f>
        <v xml:space="preserve"> </v>
      </c>
    </row>
    <row r="168" spans="2:16" ht="52.5" customHeight="1">
      <c r="B168" s="25"/>
      <c r="C168" s="137"/>
      <c r="D168" s="110"/>
      <c r="E168" s="110"/>
      <c r="F168" s="60" t="str">
        <f>IFERROR(VLOOKUP(B168,TOLSEN!A:D,3,FALSE),"0")</f>
        <v>0</v>
      </c>
      <c r="G168" s="61" t="str">
        <f>IFERROR(VLOOKUP(B168,TOLSEN!A:D,4,FALSE),"0")</f>
        <v>0</v>
      </c>
      <c r="H168" s="62" t="str">
        <f>IFERROR(VLOOKUP(B168,TOLSEN!A:K,6,FALSE),"0")</f>
        <v>0</v>
      </c>
      <c r="I168" s="62" t="str">
        <f>IFERROR(VLOOKUP(B168,TOLSEN!A:AC,7,FALSE),"0")</f>
        <v>0</v>
      </c>
      <c r="J168" s="63">
        <f t="shared" si="4"/>
        <v>0</v>
      </c>
      <c r="K168" s="107" t="e">
        <f t="shared" si="5"/>
        <v>#VALUE!</v>
      </c>
      <c r="L168" s="148">
        <f>IFERROR(VLOOKUP($B168,TOLSEN!A:I,8,FALSE),0)</f>
        <v>0</v>
      </c>
      <c r="M168" s="148">
        <f>IFERROR(VLOOKUP($B168,TOLSEN!A:K,9,FALSE),0)</f>
        <v>0</v>
      </c>
      <c r="N168" s="94" t="str">
        <f>IFERROR(VLOOKUP(B168,TOLSEN!A:K,5,FALSE)," ")</f>
        <v xml:space="preserve"> </v>
      </c>
      <c r="O168" s="161" t="str">
        <f>IFERROR(VLOOKUP($B168,TOLSEN!$A:$K,10,FALSE)," ")</f>
        <v xml:space="preserve"> </v>
      </c>
      <c r="P168" s="161" t="str">
        <f>IFERROR(VLOOKUP($B168,TOLSEN!$A:$K,11,FALSE)," ")</f>
        <v xml:space="preserve"> </v>
      </c>
    </row>
    <row r="169" spans="2:16" ht="52.5" customHeight="1">
      <c r="B169" s="26"/>
      <c r="C169" s="137"/>
      <c r="D169" s="110"/>
      <c r="E169" s="110"/>
      <c r="F169" s="60" t="str">
        <f>IFERROR(VLOOKUP(B169,TOLSEN!A:D,3,FALSE),"0")</f>
        <v>0</v>
      </c>
      <c r="G169" s="61" t="str">
        <f>IFERROR(VLOOKUP(B169,TOLSEN!A:D,4,FALSE),"0")</f>
        <v>0</v>
      </c>
      <c r="H169" s="62" t="str">
        <f>IFERROR(VLOOKUP(B169,TOLSEN!A:K,6,FALSE),"0")</f>
        <v>0</v>
      </c>
      <c r="I169" s="62" t="str">
        <f>IFERROR(VLOOKUP(B169,TOLSEN!A:AC,7,FALSE),"0")</f>
        <v>0</v>
      </c>
      <c r="J169" s="63">
        <f t="shared" si="4"/>
        <v>0</v>
      </c>
      <c r="K169" s="107" t="e">
        <f t="shared" si="5"/>
        <v>#VALUE!</v>
      </c>
      <c r="L169" s="148">
        <f>IFERROR(VLOOKUP($B169,TOLSEN!A:I,8,FALSE),0)</f>
        <v>0</v>
      </c>
      <c r="M169" s="148">
        <f>IFERROR(VLOOKUP($B169,TOLSEN!A:K,9,FALSE),0)</f>
        <v>0</v>
      </c>
      <c r="N169" s="94" t="str">
        <f>IFERROR(VLOOKUP(B169,TOLSEN!A:K,5,FALSE)," ")</f>
        <v xml:space="preserve"> </v>
      </c>
      <c r="O169" s="161" t="str">
        <f>IFERROR(VLOOKUP($B169,TOLSEN!$A:$K,10,FALSE)," ")</f>
        <v xml:space="preserve"> </v>
      </c>
      <c r="P169" s="161" t="str">
        <f>IFERROR(VLOOKUP($B169,TOLSEN!$A:$K,11,FALSE)," ")</f>
        <v xml:space="preserve"> </v>
      </c>
    </row>
    <row r="170" spans="2:16" ht="52.5" customHeight="1">
      <c r="B170" s="26"/>
      <c r="C170" s="137"/>
      <c r="D170" s="110"/>
      <c r="E170" s="110"/>
      <c r="F170" s="60" t="str">
        <f>IFERROR(VLOOKUP(B170,TOLSEN!A:D,3,FALSE),"0")</f>
        <v>0</v>
      </c>
      <c r="G170" s="61" t="str">
        <f>IFERROR(VLOOKUP(B170,TOLSEN!A:D,4,FALSE),"0")</f>
        <v>0</v>
      </c>
      <c r="H170" s="62" t="str">
        <f>IFERROR(VLOOKUP(B170,TOLSEN!A:K,6,FALSE),"0")</f>
        <v>0</v>
      </c>
      <c r="I170" s="62" t="str">
        <f>IFERROR(VLOOKUP(B170,TOLSEN!A:AC,7,FALSE),"0")</f>
        <v>0</v>
      </c>
      <c r="J170" s="63">
        <f t="shared" si="4"/>
        <v>0</v>
      </c>
      <c r="K170" s="107" t="e">
        <f t="shared" si="5"/>
        <v>#VALUE!</v>
      </c>
      <c r="L170" s="148">
        <f>IFERROR(VLOOKUP($B170,TOLSEN!A:I,8,FALSE),0)</f>
        <v>0</v>
      </c>
      <c r="M170" s="148">
        <f>IFERROR(VLOOKUP($B170,TOLSEN!A:K,9,FALSE),0)</f>
        <v>0</v>
      </c>
      <c r="N170" s="94" t="str">
        <f>IFERROR(VLOOKUP(B170,TOLSEN!A:K,5,FALSE)," ")</f>
        <v xml:space="preserve"> </v>
      </c>
      <c r="O170" s="161" t="str">
        <f>IFERROR(VLOOKUP($B170,TOLSEN!$A:$K,10,FALSE)," ")</f>
        <v xml:space="preserve"> </v>
      </c>
      <c r="P170" s="161" t="str">
        <f>IFERROR(VLOOKUP($B170,TOLSEN!$A:$K,11,FALSE)," ")</f>
        <v xml:space="preserve"> </v>
      </c>
    </row>
    <row r="171" spans="2:16" ht="52.5" customHeight="1">
      <c r="B171" s="26"/>
      <c r="C171" s="137"/>
      <c r="D171" s="110"/>
      <c r="E171" s="110"/>
      <c r="F171" s="60" t="str">
        <f>IFERROR(VLOOKUP(B171,TOLSEN!A:D,3,FALSE),"0")</f>
        <v>0</v>
      </c>
      <c r="G171" s="61" t="str">
        <f>IFERROR(VLOOKUP(B171,TOLSEN!A:D,4,FALSE),"0")</f>
        <v>0</v>
      </c>
      <c r="H171" s="62" t="str">
        <f>IFERROR(VLOOKUP(B171,TOLSEN!A:K,6,FALSE),"0")</f>
        <v>0</v>
      </c>
      <c r="I171" s="62" t="str">
        <f>IFERROR(VLOOKUP(B171,TOLSEN!A:AC,7,FALSE),"0")</f>
        <v>0</v>
      </c>
      <c r="J171" s="63">
        <f t="shared" si="4"/>
        <v>0</v>
      </c>
      <c r="K171" s="107" t="e">
        <f t="shared" si="5"/>
        <v>#VALUE!</v>
      </c>
      <c r="L171" s="148">
        <f>IFERROR(VLOOKUP($B171,TOLSEN!A:I,8,FALSE),0)</f>
        <v>0</v>
      </c>
      <c r="M171" s="148">
        <f>IFERROR(VLOOKUP($B171,TOLSEN!A:K,9,FALSE),0)</f>
        <v>0</v>
      </c>
      <c r="N171" s="94" t="str">
        <f>IFERROR(VLOOKUP(B171,TOLSEN!A:K,5,FALSE)," ")</f>
        <v xml:space="preserve"> </v>
      </c>
      <c r="O171" s="161" t="str">
        <f>IFERROR(VLOOKUP($B171,TOLSEN!$A:$K,10,FALSE)," ")</f>
        <v xml:space="preserve"> </v>
      </c>
      <c r="P171" s="161" t="str">
        <f>IFERROR(VLOOKUP($B171,TOLSEN!$A:$K,11,FALSE)," ")</f>
        <v xml:space="preserve"> </v>
      </c>
    </row>
    <row r="172" spans="2:16" ht="52.5" customHeight="1">
      <c r="B172" s="26"/>
      <c r="C172" s="137"/>
      <c r="D172" s="110"/>
      <c r="E172" s="110"/>
      <c r="F172" s="60" t="str">
        <f>IFERROR(VLOOKUP(B172,TOLSEN!A:D,3,FALSE),"0")</f>
        <v>0</v>
      </c>
      <c r="G172" s="61" t="str">
        <f>IFERROR(VLOOKUP(B172,TOLSEN!A:D,4,FALSE),"0")</f>
        <v>0</v>
      </c>
      <c r="H172" s="62" t="str">
        <f>IFERROR(VLOOKUP(B172,TOLSEN!A:K,6,FALSE),"0")</f>
        <v>0</v>
      </c>
      <c r="I172" s="62" t="str">
        <f>IFERROR(VLOOKUP(B172,TOLSEN!A:AC,7,FALSE),"0")</f>
        <v>0</v>
      </c>
      <c r="J172" s="63">
        <f t="shared" si="4"/>
        <v>0</v>
      </c>
      <c r="K172" s="107" t="e">
        <f t="shared" si="5"/>
        <v>#VALUE!</v>
      </c>
      <c r="L172" s="148">
        <f>IFERROR(VLOOKUP($B172,TOLSEN!A:I,8,FALSE),0)</f>
        <v>0</v>
      </c>
      <c r="M172" s="148">
        <f>IFERROR(VLOOKUP($B172,TOLSEN!A:K,9,FALSE),0)</f>
        <v>0</v>
      </c>
      <c r="N172" s="94" t="str">
        <f>IFERROR(VLOOKUP(B172,TOLSEN!A:K,5,FALSE)," ")</f>
        <v xml:space="preserve"> </v>
      </c>
      <c r="O172" s="161" t="str">
        <f>IFERROR(VLOOKUP($B172,TOLSEN!$A:$K,10,FALSE)," ")</f>
        <v xml:space="preserve"> </v>
      </c>
      <c r="P172" s="161" t="str">
        <f>IFERROR(VLOOKUP($B172,TOLSEN!$A:$K,11,FALSE)," ")</f>
        <v xml:space="preserve"> </v>
      </c>
    </row>
    <row r="173" spans="2:16" ht="52.5" customHeight="1">
      <c r="B173" s="26"/>
      <c r="C173" s="137"/>
      <c r="D173" s="110"/>
      <c r="E173" s="110"/>
      <c r="F173" s="60" t="str">
        <f>IFERROR(VLOOKUP(B173,TOLSEN!A:D,3,FALSE),"0")</f>
        <v>0</v>
      </c>
      <c r="G173" s="61" t="str">
        <f>IFERROR(VLOOKUP(B173,TOLSEN!A:D,4,FALSE),"0")</f>
        <v>0</v>
      </c>
      <c r="H173" s="62" t="str">
        <f>IFERROR(VLOOKUP(B173,TOLSEN!A:K,6,FALSE),"0")</f>
        <v>0</v>
      </c>
      <c r="I173" s="62" t="str">
        <f>IFERROR(VLOOKUP(B173,TOLSEN!A:AC,7,FALSE),"0")</f>
        <v>0</v>
      </c>
      <c r="J173" s="63">
        <f t="shared" si="4"/>
        <v>0</v>
      </c>
      <c r="K173" s="107" t="e">
        <f t="shared" si="5"/>
        <v>#VALUE!</v>
      </c>
      <c r="L173" s="148">
        <f>IFERROR(VLOOKUP($B173,TOLSEN!A:I,8,FALSE),0)</f>
        <v>0</v>
      </c>
      <c r="M173" s="148">
        <f>IFERROR(VLOOKUP($B173,TOLSEN!A:K,9,FALSE),0)</f>
        <v>0</v>
      </c>
      <c r="N173" s="94" t="str">
        <f>IFERROR(VLOOKUP(B173,TOLSEN!A:K,5,FALSE)," ")</f>
        <v xml:space="preserve"> </v>
      </c>
      <c r="O173" s="161" t="str">
        <f>IFERROR(VLOOKUP($B173,TOLSEN!$A:$K,10,FALSE)," ")</f>
        <v xml:space="preserve"> </v>
      </c>
      <c r="P173" s="161" t="str">
        <f>IFERROR(VLOOKUP($B173,TOLSEN!$A:$K,11,FALSE)," ")</f>
        <v xml:space="preserve"> </v>
      </c>
    </row>
    <row r="174" spans="2:16" ht="52.5" customHeight="1">
      <c r="B174" s="26"/>
      <c r="C174" s="137"/>
      <c r="D174" s="110"/>
      <c r="E174" s="110"/>
      <c r="F174" s="60" t="str">
        <f>IFERROR(VLOOKUP(B174,TOLSEN!A:D,3,FALSE),"0")</f>
        <v>0</v>
      </c>
      <c r="G174" s="61" t="str">
        <f>IFERROR(VLOOKUP(B174,TOLSEN!A:D,4,FALSE),"0")</f>
        <v>0</v>
      </c>
      <c r="H174" s="62" t="str">
        <f>IFERROR(VLOOKUP(B174,TOLSEN!A:K,6,FALSE),"0")</f>
        <v>0</v>
      </c>
      <c r="I174" s="62" t="str">
        <f>IFERROR(VLOOKUP(B174,TOLSEN!A:AC,7,FALSE),"0")</f>
        <v>0</v>
      </c>
      <c r="J174" s="63">
        <f t="shared" si="4"/>
        <v>0</v>
      </c>
      <c r="K174" s="107" t="e">
        <f t="shared" si="5"/>
        <v>#VALUE!</v>
      </c>
      <c r="L174" s="148">
        <f>IFERROR(VLOOKUP($B174,TOLSEN!A:I,8,FALSE),0)</f>
        <v>0</v>
      </c>
      <c r="M174" s="148">
        <f>IFERROR(VLOOKUP($B174,TOLSEN!A:K,9,FALSE),0)</f>
        <v>0</v>
      </c>
      <c r="N174" s="94" t="str">
        <f>IFERROR(VLOOKUP(B174,TOLSEN!A:K,5,FALSE)," ")</f>
        <v xml:space="preserve"> </v>
      </c>
      <c r="O174" s="161" t="str">
        <f>IFERROR(VLOOKUP($B174,TOLSEN!$A:$K,10,FALSE)," ")</f>
        <v xml:space="preserve"> </v>
      </c>
      <c r="P174" s="161" t="str">
        <f>IFERROR(VLOOKUP($B174,TOLSEN!$A:$K,11,FALSE)," ")</f>
        <v xml:space="preserve"> </v>
      </c>
    </row>
    <row r="175" spans="2:16" ht="52.5" customHeight="1">
      <c r="B175" s="26"/>
      <c r="C175" s="137"/>
      <c r="D175" s="110"/>
      <c r="E175" s="110"/>
      <c r="F175" s="60" t="str">
        <f>IFERROR(VLOOKUP(B175,TOLSEN!A:D,3,FALSE),"0")</f>
        <v>0</v>
      </c>
      <c r="G175" s="61" t="str">
        <f>IFERROR(VLOOKUP(B175,TOLSEN!A:D,4,FALSE),"0")</f>
        <v>0</v>
      </c>
      <c r="H175" s="62" t="str">
        <f>IFERROR(VLOOKUP(B175,TOLSEN!A:K,6,FALSE),"0")</f>
        <v>0</v>
      </c>
      <c r="I175" s="62" t="str">
        <f>IFERROR(VLOOKUP(B175,TOLSEN!A:AC,7,FALSE),"0")</f>
        <v>0</v>
      </c>
      <c r="J175" s="63">
        <f t="shared" si="4"/>
        <v>0</v>
      </c>
      <c r="K175" s="107" t="e">
        <f t="shared" si="5"/>
        <v>#VALUE!</v>
      </c>
      <c r="L175" s="148">
        <f>IFERROR(VLOOKUP($B175,TOLSEN!A:I,8,FALSE),0)</f>
        <v>0</v>
      </c>
      <c r="M175" s="148">
        <f>IFERROR(VLOOKUP($B175,TOLSEN!A:K,9,FALSE),0)</f>
        <v>0</v>
      </c>
      <c r="N175" s="94" t="str">
        <f>IFERROR(VLOOKUP(B175,TOLSEN!A:K,5,FALSE)," ")</f>
        <v xml:space="preserve"> </v>
      </c>
      <c r="O175" s="161" t="str">
        <f>IFERROR(VLOOKUP($B175,TOLSEN!$A:$K,10,FALSE)," ")</f>
        <v xml:space="preserve"> </v>
      </c>
      <c r="P175" s="161" t="str">
        <f>IFERROR(VLOOKUP($B175,TOLSEN!$A:$K,11,FALSE)," ")</f>
        <v xml:space="preserve"> </v>
      </c>
    </row>
    <row r="176" spans="2:16" ht="52.5" customHeight="1">
      <c r="B176" s="26"/>
      <c r="C176" s="137"/>
      <c r="D176" s="110"/>
      <c r="E176" s="110"/>
      <c r="F176" s="60" t="str">
        <f>IFERROR(VLOOKUP(B176,TOLSEN!A:D,3,FALSE),"0")</f>
        <v>0</v>
      </c>
      <c r="G176" s="61" t="str">
        <f>IFERROR(VLOOKUP(B176,TOLSEN!A:D,4,FALSE),"0")</f>
        <v>0</v>
      </c>
      <c r="H176" s="62" t="str">
        <f>IFERROR(VLOOKUP(B176,TOLSEN!A:K,6,FALSE),"0")</f>
        <v>0</v>
      </c>
      <c r="I176" s="62" t="str">
        <f>IFERROR(VLOOKUP(B176,TOLSEN!A:AC,7,FALSE),"0")</f>
        <v>0</v>
      </c>
      <c r="J176" s="63">
        <f t="shared" si="4"/>
        <v>0</v>
      </c>
      <c r="K176" s="107" t="e">
        <f t="shared" si="5"/>
        <v>#VALUE!</v>
      </c>
      <c r="L176" s="148">
        <f>IFERROR(VLOOKUP($B176,TOLSEN!A:I,8,FALSE),0)</f>
        <v>0</v>
      </c>
      <c r="M176" s="148">
        <f>IFERROR(VLOOKUP($B176,TOLSEN!A:K,9,FALSE),0)</f>
        <v>0</v>
      </c>
      <c r="N176" s="94" t="str">
        <f>IFERROR(VLOOKUP(B176,TOLSEN!A:K,5,FALSE)," ")</f>
        <v xml:space="preserve"> </v>
      </c>
      <c r="O176" s="161" t="str">
        <f>IFERROR(VLOOKUP($B176,TOLSEN!$A:$K,10,FALSE)," ")</f>
        <v xml:space="preserve"> </v>
      </c>
      <c r="P176" s="161" t="str">
        <f>IFERROR(VLOOKUP($B176,TOLSEN!$A:$K,11,FALSE)," ")</f>
        <v xml:space="preserve"> </v>
      </c>
    </row>
    <row r="177" spans="2:16" ht="52.5" customHeight="1">
      <c r="B177" s="26"/>
      <c r="C177" s="137"/>
      <c r="D177" s="110"/>
      <c r="E177" s="110"/>
      <c r="F177" s="60" t="str">
        <f>IFERROR(VLOOKUP(B177,TOLSEN!A:D,3,FALSE),"0")</f>
        <v>0</v>
      </c>
      <c r="G177" s="61" t="str">
        <f>IFERROR(VLOOKUP(B177,TOLSEN!A:D,4,FALSE),"0")</f>
        <v>0</v>
      </c>
      <c r="H177" s="62" t="str">
        <f>IFERROR(VLOOKUP(B177,TOLSEN!A:K,6,FALSE),"0")</f>
        <v>0</v>
      </c>
      <c r="I177" s="62" t="str">
        <f>IFERROR(VLOOKUP(B177,TOLSEN!A:AC,7,FALSE),"0")</f>
        <v>0</v>
      </c>
      <c r="J177" s="63">
        <f t="shared" si="4"/>
        <v>0</v>
      </c>
      <c r="K177" s="107" t="e">
        <f t="shared" si="5"/>
        <v>#VALUE!</v>
      </c>
      <c r="L177" s="148">
        <f>IFERROR(VLOOKUP($B177,TOLSEN!A:I,8,FALSE),0)</f>
        <v>0</v>
      </c>
      <c r="M177" s="148">
        <f>IFERROR(VLOOKUP($B177,TOLSEN!A:K,9,FALSE),0)</f>
        <v>0</v>
      </c>
      <c r="N177" s="94" t="str">
        <f>IFERROR(VLOOKUP(B177,TOLSEN!A:K,5,FALSE)," ")</f>
        <v xml:space="preserve"> </v>
      </c>
      <c r="O177" s="161" t="str">
        <f>IFERROR(VLOOKUP($B177,TOLSEN!$A:$K,10,FALSE)," ")</f>
        <v xml:space="preserve"> </v>
      </c>
      <c r="P177" s="161" t="str">
        <f>IFERROR(VLOOKUP($B177,TOLSEN!$A:$K,11,FALSE)," ")</f>
        <v xml:space="preserve"> </v>
      </c>
    </row>
    <row r="178" spans="2:16" ht="52.5" customHeight="1">
      <c r="B178" s="26"/>
      <c r="C178" s="137"/>
      <c r="D178" s="110"/>
      <c r="E178" s="110"/>
      <c r="F178" s="60" t="str">
        <f>IFERROR(VLOOKUP(B178,TOLSEN!A:D,3,FALSE),"0")</f>
        <v>0</v>
      </c>
      <c r="G178" s="61" t="str">
        <f>IFERROR(VLOOKUP(B178,TOLSEN!A:D,4,FALSE),"0")</f>
        <v>0</v>
      </c>
      <c r="H178" s="62" t="str">
        <f>IFERROR(VLOOKUP(B178,TOLSEN!A:K,6,FALSE),"0")</f>
        <v>0</v>
      </c>
      <c r="I178" s="62" t="str">
        <f>IFERROR(VLOOKUP(B178,TOLSEN!A:AC,7,FALSE),"0")</f>
        <v>0</v>
      </c>
      <c r="J178" s="63">
        <f t="shared" si="4"/>
        <v>0</v>
      </c>
      <c r="K178" s="107" t="e">
        <f t="shared" si="5"/>
        <v>#VALUE!</v>
      </c>
      <c r="L178" s="148">
        <f>IFERROR(VLOOKUP($B178,TOLSEN!A:I,8,FALSE),0)</f>
        <v>0</v>
      </c>
      <c r="M178" s="148">
        <f>IFERROR(VLOOKUP($B178,TOLSEN!A:K,9,FALSE),0)</f>
        <v>0</v>
      </c>
      <c r="N178" s="94" t="str">
        <f>IFERROR(VLOOKUP(B178,TOLSEN!A:K,5,FALSE)," ")</f>
        <v xml:space="preserve"> </v>
      </c>
      <c r="O178" s="161" t="str">
        <f>IFERROR(VLOOKUP($B178,TOLSEN!$A:$K,10,FALSE)," ")</f>
        <v xml:space="preserve"> </v>
      </c>
      <c r="P178" s="161" t="str">
        <f>IFERROR(VLOOKUP($B178,TOLSEN!$A:$K,11,FALSE)," ")</f>
        <v xml:space="preserve"> </v>
      </c>
    </row>
    <row r="179" spans="2:16" ht="52.5" customHeight="1">
      <c r="B179" s="26"/>
      <c r="C179" s="137"/>
      <c r="D179" s="110"/>
      <c r="E179" s="110"/>
      <c r="F179" s="60" t="str">
        <f>IFERROR(VLOOKUP(B179,TOLSEN!A:D,3,FALSE),"0")</f>
        <v>0</v>
      </c>
      <c r="G179" s="61" t="str">
        <f>IFERROR(VLOOKUP(B179,TOLSEN!A:D,4,FALSE),"0")</f>
        <v>0</v>
      </c>
      <c r="H179" s="62" t="str">
        <f>IFERROR(VLOOKUP(B179,TOLSEN!A:K,6,FALSE),"0")</f>
        <v>0</v>
      </c>
      <c r="I179" s="62" t="str">
        <f>IFERROR(VLOOKUP(B179,TOLSEN!A:AC,7,FALSE),"0")</f>
        <v>0</v>
      </c>
      <c r="J179" s="63">
        <f t="shared" si="4"/>
        <v>0</v>
      </c>
      <c r="K179" s="107" t="e">
        <f t="shared" si="5"/>
        <v>#VALUE!</v>
      </c>
      <c r="L179" s="148">
        <f>IFERROR(VLOOKUP($B179,TOLSEN!A:I,8,FALSE),0)</f>
        <v>0</v>
      </c>
      <c r="M179" s="148">
        <f>IFERROR(VLOOKUP($B179,TOLSEN!A:K,9,FALSE),0)</f>
        <v>0</v>
      </c>
      <c r="N179" s="94" t="str">
        <f>IFERROR(VLOOKUP(B179,TOLSEN!A:K,5,FALSE)," ")</f>
        <v xml:space="preserve"> </v>
      </c>
      <c r="O179" s="161" t="str">
        <f>IFERROR(VLOOKUP($B179,TOLSEN!$A:$K,10,FALSE)," ")</f>
        <v xml:space="preserve"> </v>
      </c>
      <c r="P179" s="161" t="str">
        <f>IFERROR(VLOOKUP($B179,TOLSEN!$A:$K,11,FALSE)," ")</f>
        <v xml:space="preserve"> </v>
      </c>
    </row>
    <row r="180" spans="2:16" ht="52.5" customHeight="1">
      <c r="B180" s="25"/>
      <c r="C180" s="137"/>
      <c r="D180" s="110"/>
      <c r="E180" s="110"/>
      <c r="F180" s="60" t="str">
        <f>IFERROR(VLOOKUP(B180,TOLSEN!A:D,3,FALSE),"0")</f>
        <v>0</v>
      </c>
      <c r="G180" s="61" t="str">
        <f>IFERROR(VLOOKUP(B180,TOLSEN!A:D,4,FALSE),"0")</f>
        <v>0</v>
      </c>
      <c r="H180" s="62" t="str">
        <f>IFERROR(VLOOKUP(B180,TOLSEN!A:K,6,FALSE),"0")</f>
        <v>0</v>
      </c>
      <c r="I180" s="62" t="str">
        <f>IFERROR(VLOOKUP(B180,TOLSEN!A:AC,7,FALSE),"0")</f>
        <v>0</v>
      </c>
      <c r="J180" s="63">
        <f t="shared" si="4"/>
        <v>0</v>
      </c>
      <c r="K180" s="107" t="e">
        <f t="shared" si="5"/>
        <v>#VALUE!</v>
      </c>
      <c r="L180" s="148">
        <f>IFERROR(VLOOKUP($B180,TOLSEN!A:I,8,FALSE),0)</f>
        <v>0</v>
      </c>
      <c r="M180" s="148">
        <f>IFERROR(VLOOKUP($B180,TOLSEN!A:K,9,FALSE),0)</f>
        <v>0</v>
      </c>
      <c r="N180" s="94" t="str">
        <f>IFERROR(VLOOKUP(B180,TOLSEN!A:K,5,FALSE)," ")</f>
        <v xml:space="preserve"> </v>
      </c>
      <c r="O180" s="161" t="str">
        <f>IFERROR(VLOOKUP($B180,TOLSEN!$A:$K,10,FALSE)," ")</f>
        <v xml:space="preserve"> </v>
      </c>
      <c r="P180" s="161" t="str">
        <f>IFERROR(VLOOKUP($B180,TOLSEN!$A:$K,11,FALSE)," ")</f>
        <v xml:space="preserve"> </v>
      </c>
    </row>
    <row r="181" spans="2:16" ht="52.5" customHeight="1">
      <c r="B181" s="26"/>
      <c r="C181" s="137"/>
      <c r="D181" s="110"/>
      <c r="E181" s="110"/>
      <c r="F181" s="60" t="str">
        <f>IFERROR(VLOOKUP(B181,TOLSEN!A:D,3,FALSE),"0")</f>
        <v>0</v>
      </c>
      <c r="G181" s="61" t="str">
        <f>IFERROR(VLOOKUP(B181,TOLSEN!A:D,4,FALSE),"0")</f>
        <v>0</v>
      </c>
      <c r="H181" s="62" t="str">
        <f>IFERROR(VLOOKUP(B181,TOLSEN!A:K,6,FALSE),"0")</f>
        <v>0</v>
      </c>
      <c r="I181" s="62" t="str">
        <f>IFERROR(VLOOKUP(B181,TOLSEN!A:AC,7,FALSE),"0")</f>
        <v>0</v>
      </c>
      <c r="J181" s="63">
        <f t="shared" si="4"/>
        <v>0</v>
      </c>
      <c r="K181" s="107" t="e">
        <f t="shared" si="5"/>
        <v>#VALUE!</v>
      </c>
      <c r="L181" s="148">
        <f>IFERROR(VLOOKUP($B181,TOLSEN!A:I,8,FALSE),0)</f>
        <v>0</v>
      </c>
      <c r="M181" s="148">
        <f>IFERROR(VLOOKUP($B181,TOLSEN!A:K,9,FALSE),0)</f>
        <v>0</v>
      </c>
      <c r="N181" s="94" t="str">
        <f>IFERROR(VLOOKUP(B181,TOLSEN!A:K,5,FALSE)," ")</f>
        <v xml:space="preserve"> </v>
      </c>
      <c r="O181" s="161" t="str">
        <f>IFERROR(VLOOKUP($B181,TOLSEN!$A:$K,10,FALSE)," ")</f>
        <v xml:space="preserve"> </v>
      </c>
      <c r="P181" s="161" t="str">
        <f>IFERROR(VLOOKUP($B181,TOLSEN!$A:$K,11,FALSE)," ")</f>
        <v xml:space="preserve"> </v>
      </c>
    </row>
    <row r="182" spans="2:16" ht="52.5" customHeight="1">
      <c r="B182" s="26"/>
      <c r="C182" s="137"/>
      <c r="D182" s="110"/>
      <c r="E182" s="110"/>
      <c r="F182" s="60" t="str">
        <f>IFERROR(VLOOKUP(B182,TOLSEN!A:D,3,FALSE),"0")</f>
        <v>0</v>
      </c>
      <c r="G182" s="61" t="str">
        <f>IFERROR(VLOOKUP(B182,TOLSEN!A:D,4,FALSE),"0")</f>
        <v>0</v>
      </c>
      <c r="H182" s="62" t="str">
        <f>IFERROR(VLOOKUP(B182,TOLSEN!A:K,6,FALSE),"0")</f>
        <v>0</v>
      </c>
      <c r="I182" s="62" t="str">
        <f>IFERROR(VLOOKUP(B182,TOLSEN!A:AC,7,FALSE),"0")</f>
        <v>0</v>
      </c>
      <c r="J182" s="63">
        <f t="shared" si="4"/>
        <v>0</v>
      </c>
      <c r="K182" s="107" t="e">
        <f t="shared" si="5"/>
        <v>#VALUE!</v>
      </c>
      <c r="L182" s="148">
        <f>IFERROR(VLOOKUP($B182,TOLSEN!A:I,8,FALSE),0)</f>
        <v>0</v>
      </c>
      <c r="M182" s="148">
        <f>IFERROR(VLOOKUP($B182,TOLSEN!A:K,9,FALSE),0)</f>
        <v>0</v>
      </c>
      <c r="N182" s="94" t="str">
        <f>IFERROR(VLOOKUP(B182,TOLSEN!A:K,5,FALSE)," ")</f>
        <v xml:space="preserve"> </v>
      </c>
      <c r="O182" s="161" t="str">
        <f>IFERROR(VLOOKUP($B182,TOLSEN!$A:$K,10,FALSE)," ")</f>
        <v xml:space="preserve"> </v>
      </c>
      <c r="P182" s="161" t="str">
        <f>IFERROR(VLOOKUP($B182,TOLSEN!$A:$K,11,FALSE)," ")</f>
        <v xml:space="preserve"> </v>
      </c>
    </row>
    <row r="183" spans="2:16" ht="52.5" customHeight="1">
      <c r="B183" s="26"/>
      <c r="C183" s="137"/>
      <c r="D183" s="110"/>
      <c r="E183" s="110"/>
      <c r="F183" s="60" t="str">
        <f>IFERROR(VLOOKUP(B183,TOLSEN!A:D,3,FALSE),"0")</f>
        <v>0</v>
      </c>
      <c r="G183" s="61" t="str">
        <f>IFERROR(VLOOKUP(B183,TOLSEN!A:D,4,FALSE),"0")</f>
        <v>0</v>
      </c>
      <c r="H183" s="62" t="str">
        <f>IFERROR(VLOOKUP(B183,TOLSEN!A:K,6,FALSE),"0")</f>
        <v>0</v>
      </c>
      <c r="I183" s="62" t="str">
        <f>IFERROR(VLOOKUP(B183,TOLSEN!A:AC,7,FALSE),"0")</f>
        <v>0</v>
      </c>
      <c r="J183" s="63">
        <f t="shared" si="4"/>
        <v>0</v>
      </c>
      <c r="K183" s="107" t="e">
        <f t="shared" si="5"/>
        <v>#VALUE!</v>
      </c>
      <c r="L183" s="148">
        <f>IFERROR(VLOOKUP($B183,TOLSEN!A:I,8,FALSE),0)</f>
        <v>0</v>
      </c>
      <c r="M183" s="148">
        <f>IFERROR(VLOOKUP($B183,TOLSEN!A:K,9,FALSE),0)</f>
        <v>0</v>
      </c>
      <c r="N183" s="94" t="str">
        <f>IFERROR(VLOOKUP(B183,TOLSEN!A:K,5,FALSE)," ")</f>
        <v xml:space="preserve"> </v>
      </c>
      <c r="O183" s="161" t="str">
        <f>IFERROR(VLOOKUP($B183,TOLSEN!$A:$K,10,FALSE)," ")</f>
        <v xml:space="preserve"> </v>
      </c>
      <c r="P183" s="161" t="str">
        <f>IFERROR(VLOOKUP($B183,TOLSEN!$A:$K,11,FALSE)," ")</f>
        <v xml:space="preserve"> </v>
      </c>
    </row>
    <row r="184" spans="2:16" ht="52.5" customHeight="1">
      <c r="B184" s="26"/>
      <c r="C184" s="137"/>
      <c r="D184" s="110"/>
      <c r="E184" s="110"/>
      <c r="F184" s="60" t="str">
        <f>IFERROR(VLOOKUP(B184,TOLSEN!A:D,3,FALSE),"0")</f>
        <v>0</v>
      </c>
      <c r="G184" s="61" t="str">
        <f>IFERROR(VLOOKUP(B184,TOLSEN!A:D,4,FALSE),"0")</f>
        <v>0</v>
      </c>
      <c r="H184" s="62" t="str">
        <f>IFERROR(VLOOKUP(B184,TOLSEN!A:K,6,FALSE),"0")</f>
        <v>0</v>
      </c>
      <c r="I184" s="62" t="str">
        <f>IFERROR(VLOOKUP(B184,TOLSEN!A:AC,7,FALSE),"0")</f>
        <v>0</v>
      </c>
      <c r="J184" s="63">
        <f t="shared" si="4"/>
        <v>0</v>
      </c>
      <c r="K184" s="107" t="e">
        <f t="shared" si="5"/>
        <v>#VALUE!</v>
      </c>
      <c r="L184" s="148">
        <f>IFERROR(VLOOKUP($B184,TOLSEN!A:I,8,FALSE),0)</f>
        <v>0</v>
      </c>
      <c r="M184" s="148">
        <f>IFERROR(VLOOKUP($B184,TOLSEN!A:K,9,FALSE),0)</f>
        <v>0</v>
      </c>
      <c r="N184" s="94" t="str">
        <f>IFERROR(VLOOKUP(B184,TOLSEN!A:K,5,FALSE)," ")</f>
        <v xml:space="preserve"> </v>
      </c>
      <c r="O184" s="161" t="str">
        <f>IFERROR(VLOOKUP($B184,TOLSEN!$A:$K,10,FALSE)," ")</f>
        <v xml:space="preserve"> </v>
      </c>
      <c r="P184" s="161" t="str">
        <f>IFERROR(VLOOKUP($B184,TOLSEN!$A:$K,11,FALSE)," ")</f>
        <v xml:space="preserve"> </v>
      </c>
    </row>
    <row r="185" spans="2:16" ht="52.5" customHeight="1">
      <c r="B185" s="26"/>
      <c r="C185" s="137"/>
      <c r="D185" s="110"/>
      <c r="E185" s="110"/>
      <c r="F185" s="60" t="str">
        <f>IFERROR(VLOOKUP(B185,TOLSEN!A:D,3,FALSE),"0")</f>
        <v>0</v>
      </c>
      <c r="G185" s="61" t="str">
        <f>IFERROR(VLOOKUP(B185,TOLSEN!A:D,4,FALSE),"0")</f>
        <v>0</v>
      </c>
      <c r="H185" s="62" t="str">
        <f>IFERROR(VLOOKUP(B185,TOLSEN!A:K,6,FALSE),"0")</f>
        <v>0</v>
      </c>
      <c r="I185" s="62" t="str">
        <f>IFERROR(VLOOKUP(B185,TOLSEN!A:AC,7,FALSE),"0")</f>
        <v>0</v>
      </c>
      <c r="J185" s="63">
        <f t="shared" si="4"/>
        <v>0</v>
      </c>
      <c r="K185" s="107" t="e">
        <f t="shared" si="5"/>
        <v>#VALUE!</v>
      </c>
      <c r="L185" s="148">
        <f>IFERROR(VLOOKUP($B185,TOLSEN!A:I,8,FALSE),0)</f>
        <v>0</v>
      </c>
      <c r="M185" s="148">
        <f>IFERROR(VLOOKUP($B185,TOLSEN!A:K,9,FALSE),0)</f>
        <v>0</v>
      </c>
      <c r="N185" s="94" t="str">
        <f>IFERROR(VLOOKUP(B185,TOLSEN!A:K,5,FALSE)," ")</f>
        <v xml:space="preserve"> </v>
      </c>
      <c r="O185" s="161" t="str">
        <f>IFERROR(VLOOKUP($B185,TOLSEN!$A:$K,10,FALSE)," ")</f>
        <v xml:space="preserve"> </v>
      </c>
      <c r="P185" s="161" t="str">
        <f>IFERROR(VLOOKUP($B185,TOLSEN!$A:$K,11,FALSE)," ")</f>
        <v xml:space="preserve"> </v>
      </c>
    </row>
    <row r="186" spans="2:16" ht="52.5" customHeight="1">
      <c r="B186" s="25"/>
      <c r="C186" s="137"/>
      <c r="D186" s="110"/>
      <c r="E186" s="110"/>
      <c r="F186" s="60" t="str">
        <f>IFERROR(VLOOKUP(B186,TOLSEN!A:D,3,FALSE),"0")</f>
        <v>0</v>
      </c>
      <c r="G186" s="61" t="str">
        <f>IFERROR(VLOOKUP(B186,TOLSEN!A:D,4,FALSE),"0")</f>
        <v>0</v>
      </c>
      <c r="H186" s="62" t="str">
        <f>IFERROR(VLOOKUP(B186,TOLSEN!A:K,6,FALSE),"0")</f>
        <v>0</v>
      </c>
      <c r="I186" s="62" t="str">
        <f>IFERROR(VLOOKUP(B186,TOLSEN!A:AC,7,FALSE),"0")</f>
        <v>0</v>
      </c>
      <c r="J186" s="63">
        <f t="shared" si="4"/>
        <v>0</v>
      </c>
      <c r="K186" s="107" t="e">
        <f t="shared" si="5"/>
        <v>#VALUE!</v>
      </c>
      <c r="L186" s="148">
        <f>IFERROR(VLOOKUP($B186,TOLSEN!A:I,8,FALSE),0)</f>
        <v>0</v>
      </c>
      <c r="M186" s="148">
        <f>IFERROR(VLOOKUP($B186,TOLSEN!A:K,9,FALSE),0)</f>
        <v>0</v>
      </c>
      <c r="N186" s="94" t="str">
        <f>IFERROR(VLOOKUP(B186,TOLSEN!A:K,5,FALSE)," ")</f>
        <v xml:space="preserve"> </v>
      </c>
      <c r="O186" s="161" t="str">
        <f>IFERROR(VLOOKUP($B186,TOLSEN!$A:$K,10,FALSE)," ")</f>
        <v xml:space="preserve"> </v>
      </c>
      <c r="P186" s="161" t="str">
        <f>IFERROR(VLOOKUP($B186,TOLSEN!$A:$K,11,FALSE)," ")</f>
        <v xml:space="preserve"> </v>
      </c>
    </row>
    <row r="187" spans="2:16" ht="52.5" customHeight="1">
      <c r="B187" s="25"/>
      <c r="C187" s="137"/>
      <c r="D187" s="110"/>
      <c r="E187" s="110"/>
      <c r="F187" s="60" t="str">
        <f>IFERROR(VLOOKUP(B187,TOLSEN!A:D,3,FALSE),"0")</f>
        <v>0</v>
      </c>
      <c r="G187" s="61" t="str">
        <f>IFERROR(VLOOKUP(B187,TOLSEN!A:D,4,FALSE),"0")</f>
        <v>0</v>
      </c>
      <c r="H187" s="62" t="str">
        <f>IFERROR(VLOOKUP(B187,TOLSEN!A:K,6,FALSE),"0")</f>
        <v>0</v>
      </c>
      <c r="I187" s="62" t="str">
        <f>IFERROR(VLOOKUP(B187,TOLSEN!A:AC,7,FALSE),"0")</f>
        <v>0</v>
      </c>
      <c r="J187" s="63">
        <f t="shared" si="4"/>
        <v>0</v>
      </c>
      <c r="K187" s="107" t="e">
        <f t="shared" si="5"/>
        <v>#VALUE!</v>
      </c>
      <c r="L187" s="148">
        <f>IFERROR(VLOOKUP($B187,TOLSEN!A:I,8,FALSE),0)</f>
        <v>0</v>
      </c>
      <c r="M187" s="148">
        <f>IFERROR(VLOOKUP($B187,TOLSEN!A:K,9,FALSE),0)</f>
        <v>0</v>
      </c>
      <c r="N187" s="94" t="str">
        <f>IFERROR(VLOOKUP(B187,TOLSEN!A:K,5,FALSE)," ")</f>
        <v xml:space="preserve"> </v>
      </c>
      <c r="O187" s="161" t="str">
        <f>IFERROR(VLOOKUP($B187,TOLSEN!$A:$K,10,FALSE)," ")</f>
        <v xml:space="preserve"> </v>
      </c>
      <c r="P187" s="161" t="str">
        <f>IFERROR(VLOOKUP($B187,TOLSEN!$A:$K,11,FALSE)," ")</f>
        <v xml:space="preserve"> </v>
      </c>
    </row>
    <row r="188" spans="2:16" ht="52.5" customHeight="1">
      <c r="B188" s="25"/>
      <c r="C188" s="137"/>
      <c r="D188" s="110"/>
      <c r="E188" s="110"/>
      <c r="F188" s="60" t="str">
        <f>IFERROR(VLOOKUP(B188,TOLSEN!A:D,3,FALSE),"0")</f>
        <v>0</v>
      </c>
      <c r="G188" s="61" t="str">
        <f>IFERROR(VLOOKUP(B188,TOLSEN!A:D,4,FALSE),"0")</f>
        <v>0</v>
      </c>
      <c r="H188" s="62" t="str">
        <f>IFERROR(VLOOKUP(B188,TOLSEN!A:K,6,FALSE),"0")</f>
        <v>0</v>
      </c>
      <c r="I188" s="62" t="str">
        <f>IFERROR(VLOOKUP(B188,TOLSEN!A:AC,7,FALSE),"0")</f>
        <v>0</v>
      </c>
      <c r="J188" s="63">
        <f t="shared" si="4"/>
        <v>0</v>
      </c>
      <c r="K188" s="107" t="e">
        <f t="shared" si="5"/>
        <v>#VALUE!</v>
      </c>
      <c r="L188" s="148">
        <f>IFERROR(VLOOKUP($B188,TOLSEN!A:I,8,FALSE),0)</f>
        <v>0</v>
      </c>
      <c r="M188" s="148">
        <f>IFERROR(VLOOKUP($B188,TOLSEN!A:K,9,FALSE),0)</f>
        <v>0</v>
      </c>
      <c r="N188" s="94" t="str">
        <f>IFERROR(VLOOKUP(B188,TOLSEN!A:K,5,FALSE)," ")</f>
        <v xml:space="preserve"> </v>
      </c>
      <c r="O188" s="161" t="str">
        <f>IFERROR(VLOOKUP($B188,TOLSEN!$A:$K,10,FALSE)," ")</f>
        <v xml:space="preserve"> </v>
      </c>
      <c r="P188" s="161" t="str">
        <f>IFERROR(VLOOKUP($B188,TOLSEN!$A:$K,11,FALSE)," ")</f>
        <v xml:space="preserve"> </v>
      </c>
    </row>
    <row r="189" spans="2:16" ht="52.5" customHeight="1">
      <c r="B189" s="25"/>
      <c r="C189" s="137"/>
      <c r="D189" s="110"/>
      <c r="E189" s="110"/>
      <c r="F189" s="60" t="str">
        <f>IFERROR(VLOOKUP(B189,TOLSEN!A:D,3,FALSE),"0")</f>
        <v>0</v>
      </c>
      <c r="G189" s="61" t="str">
        <f>IFERROR(VLOOKUP(B189,TOLSEN!A:D,4,FALSE),"0")</f>
        <v>0</v>
      </c>
      <c r="H189" s="62" t="str">
        <f>IFERROR(VLOOKUP(B189,TOLSEN!A:K,6,FALSE),"0")</f>
        <v>0</v>
      </c>
      <c r="I189" s="62" t="str">
        <f>IFERROR(VLOOKUP(B189,TOLSEN!A:AC,7,FALSE),"0")</f>
        <v>0</v>
      </c>
      <c r="J189" s="63">
        <f t="shared" si="4"/>
        <v>0</v>
      </c>
      <c r="K189" s="107" t="e">
        <f t="shared" si="5"/>
        <v>#VALUE!</v>
      </c>
      <c r="L189" s="148">
        <f>IFERROR(VLOOKUP($B189,TOLSEN!A:I,8,FALSE),0)</f>
        <v>0</v>
      </c>
      <c r="M189" s="148">
        <f>IFERROR(VLOOKUP($B189,TOLSEN!A:K,9,FALSE),0)</f>
        <v>0</v>
      </c>
      <c r="N189" s="94" t="str">
        <f>IFERROR(VLOOKUP(B189,TOLSEN!A:K,5,FALSE)," ")</f>
        <v xml:space="preserve"> </v>
      </c>
      <c r="O189" s="161" t="str">
        <f>IFERROR(VLOOKUP($B189,TOLSEN!$A:$K,10,FALSE)," ")</f>
        <v xml:space="preserve"> </v>
      </c>
      <c r="P189" s="161" t="str">
        <f>IFERROR(VLOOKUP($B189,TOLSEN!$A:$K,11,FALSE)," ")</f>
        <v xml:space="preserve"> </v>
      </c>
    </row>
    <row r="190" spans="2:16" ht="52.5" customHeight="1">
      <c r="B190" s="25"/>
      <c r="C190" s="137"/>
      <c r="D190" s="110"/>
      <c r="E190" s="110"/>
      <c r="F190" s="60" t="str">
        <f>IFERROR(VLOOKUP(B190,TOLSEN!A:D,3,FALSE),"0")</f>
        <v>0</v>
      </c>
      <c r="G190" s="61" t="str">
        <f>IFERROR(VLOOKUP(B190,TOLSEN!A:D,4,FALSE),"0")</f>
        <v>0</v>
      </c>
      <c r="H190" s="62" t="str">
        <f>IFERROR(VLOOKUP(B190,TOLSEN!A:K,6,FALSE),"0")</f>
        <v>0</v>
      </c>
      <c r="I190" s="62" t="str">
        <f>IFERROR(VLOOKUP(B190,TOLSEN!A:AC,7,FALSE),"0")</f>
        <v>0</v>
      </c>
      <c r="J190" s="63">
        <f t="shared" si="4"/>
        <v>0</v>
      </c>
      <c r="K190" s="107" t="e">
        <f t="shared" si="5"/>
        <v>#VALUE!</v>
      </c>
      <c r="L190" s="148">
        <f>IFERROR(VLOOKUP($B190,TOLSEN!A:I,8,FALSE),0)</f>
        <v>0</v>
      </c>
      <c r="M190" s="148">
        <f>IFERROR(VLOOKUP($B190,TOLSEN!A:K,9,FALSE),0)</f>
        <v>0</v>
      </c>
      <c r="N190" s="94" t="str">
        <f>IFERROR(VLOOKUP(B190,TOLSEN!A:K,5,FALSE)," ")</f>
        <v xml:space="preserve"> </v>
      </c>
      <c r="O190" s="161" t="str">
        <f>IFERROR(VLOOKUP($B190,TOLSEN!$A:$K,10,FALSE)," ")</f>
        <v xml:space="preserve"> </v>
      </c>
      <c r="P190" s="161" t="str">
        <f>IFERROR(VLOOKUP($B190,TOLSEN!$A:$K,11,FALSE)," ")</f>
        <v xml:space="preserve"> </v>
      </c>
    </row>
    <row r="191" spans="2:16" ht="52.5" customHeight="1">
      <c r="B191" s="25"/>
      <c r="C191" s="137"/>
      <c r="D191" s="110"/>
      <c r="E191" s="110"/>
      <c r="F191" s="60" t="str">
        <f>IFERROR(VLOOKUP(B191,TOLSEN!A:D,3,FALSE),"0")</f>
        <v>0</v>
      </c>
      <c r="G191" s="61" t="str">
        <f>IFERROR(VLOOKUP(B191,TOLSEN!A:D,4,FALSE),"0")</f>
        <v>0</v>
      </c>
      <c r="H191" s="62" t="str">
        <f>IFERROR(VLOOKUP(B191,TOLSEN!A:K,6,FALSE),"0")</f>
        <v>0</v>
      </c>
      <c r="I191" s="62" t="str">
        <f>IFERROR(VLOOKUP(B191,TOLSEN!A:AC,7,FALSE),"0")</f>
        <v>0</v>
      </c>
      <c r="J191" s="63">
        <f t="shared" si="4"/>
        <v>0</v>
      </c>
      <c r="K191" s="107" t="e">
        <f t="shared" si="5"/>
        <v>#VALUE!</v>
      </c>
      <c r="L191" s="148">
        <f>IFERROR(VLOOKUP($B191,TOLSEN!A:I,8,FALSE),0)</f>
        <v>0</v>
      </c>
      <c r="M191" s="148">
        <f>IFERROR(VLOOKUP($B191,TOLSEN!A:K,9,FALSE),0)</f>
        <v>0</v>
      </c>
      <c r="N191" s="94" t="str">
        <f>IFERROR(VLOOKUP(B191,TOLSEN!A:K,5,FALSE)," ")</f>
        <v xml:space="preserve"> </v>
      </c>
      <c r="O191" s="161" t="str">
        <f>IFERROR(VLOOKUP($B191,TOLSEN!$A:$K,10,FALSE)," ")</f>
        <v xml:space="preserve"> </v>
      </c>
      <c r="P191" s="161" t="str">
        <f>IFERROR(VLOOKUP($B191,TOLSEN!$A:$K,11,FALSE)," ")</f>
        <v xml:space="preserve"> </v>
      </c>
    </row>
    <row r="192" spans="2:16" ht="52.5" customHeight="1">
      <c r="B192" s="25"/>
      <c r="C192" s="138"/>
      <c r="D192" s="110"/>
      <c r="E192" s="110"/>
      <c r="F192" s="60" t="str">
        <f>IFERROR(VLOOKUP(B192,TOLSEN!A:D,3,FALSE),"0")</f>
        <v>0</v>
      </c>
      <c r="G192" s="61" t="str">
        <f>IFERROR(VLOOKUP(B192,TOLSEN!A:D,4,FALSE),"0")</f>
        <v>0</v>
      </c>
      <c r="H192" s="62" t="str">
        <f>IFERROR(VLOOKUP(B192,TOLSEN!A:K,6,FALSE),"0")</f>
        <v>0</v>
      </c>
      <c r="I192" s="62" t="str">
        <f>IFERROR(VLOOKUP(B192,TOLSEN!A:AC,7,FALSE),"0")</f>
        <v>0</v>
      </c>
      <c r="J192" s="63">
        <f t="shared" si="4"/>
        <v>0</v>
      </c>
      <c r="K192" s="107" t="e">
        <f t="shared" si="5"/>
        <v>#VALUE!</v>
      </c>
      <c r="L192" s="148">
        <f>IFERROR(VLOOKUP($B192,TOLSEN!A:I,8,FALSE),0)</f>
        <v>0</v>
      </c>
      <c r="M192" s="148">
        <f>IFERROR(VLOOKUP($B192,TOLSEN!A:K,9,FALSE),0)</f>
        <v>0</v>
      </c>
      <c r="N192" s="94" t="str">
        <f>IFERROR(VLOOKUP(B192,TOLSEN!A:K,5,FALSE)," ")</f>
        <v xml:space="preserve"> </v>
      </c>
      <c r="O192" s="161" t="str">
        <f>IFERROR(VLOOKUP($B192,TOLSEN!$A:$K,10,FALSE)," ")</f>
        <v xml:space="preserve"> </v>
      </c>
      <c r="P192" s="161" t="str">
        <f>IFERROR(VLOOKUP($B192,TOLSEN!$A:$K,11,FALSE)," ")</f>
        <v xml:space="preserve"> </v>
      </c>
    </row>
    <row r="193" spans="2:16" ht="52.5" customHeight="1">
      <c r="B193" s="25"/>
      <c r="C193" s="137"/>
      <c r="D193" s="110"/>
      <c r="E193" s="110"/>
      <c r="F193" s="60" t="str">
        <f>IFERROR(VLOOKUP(B193,TOLSEN!A:D,3,FALSE),"0")</f>
        <v>0</v>
      </c>
      <c r="G193" s="61" t="str">
        <f>IFERROR(VLOOKUP(B193,TOLSEN!A:D,4,FALSE),"0")</f>
        <v>0</v>
      </c>
      <c r="H193" s="62" t="str">
        <f>IFERROR(VLOOKUP(B193,TOLSEN!A:K,6,FALSE),"0")</f>
        <v>0</v>
      </c>
      <c r="I193" s="62" t="str">
        <f>IFERROR(VLOOKUP(B193,TOLSEN!A:AC,7,FALSE),"0")</f>
        <v>0</v>
      </c>
      <c r="J193" s="63">
        <f t="shared" si="4"/>
        <v>0</v>
      </c>
      <c r="K193" s="107" t="e">
        <f t="shared" si="5"/>
        <v>#VALUE!</v>
      </c>
      <c r="L193" s="148">
        <f>IFERROR(VLOOKUP($B193,TOLSEN!A:I,8,FALSE),0)</f>
        <v>0</v>
      </c>
      <c r="M193" s="148">
        <f>IFERROR(VLOOKUP($B193,TOLSEN!A:K,9,FALSE),0)</f>
        <v>0</v>
      </c>
      <c r="N193" s="94" t="str">
        <f>IFERROR(VLOOKUP(B193,TOLSEN!A:K,5,FALSE)," ")</f>
        <v xml:space="preserve"> </v>
      </c>
      <c r="O193" s="161" t="str">
        <f>IFERROR(VLOOKUP($B193,TOLSEN!$A:$K,10,FALSE)," ")</f>
        <v xml:space="preserve"> </v>
      </c>
      <c r="P193" s="161" t="str">
        <f>IFERROR(VLOOKUP($B193,TOLSEN!$A:$K,11,FALSE)," ")</f>
        <v xml:space="preserve"> </v>
      </c>
    </row>
    <row r="194" spans="2:16" ht="52.5" customHeight="1">
      <c r="B194" s="25"/>
      <c r="C194" s="138"/>
      <c r="D194" s="110"/>
      <c r="E194" s="110"/>
      <c r="F194" s="60" t="str">
        <f>IFERROR(VLOOKUP(B194,TOLSEN!A:D,3,FALSE),"0")</f>
        <v>0</v>
      </c>
      <c r="G194" s="61" t="str">
        <f>IFERROR(VLOOKUP(B194,TOLSEN!A:D,4,FALSE),"0")</f>
        <v>0</v>
      </c>
      <c r="H194" s="62" t="str">
        <f>IFERROR(VLOOKUP(B194,TOLSEN!A:K,6,FALSE),"0")</f>
        <v>0</v>
      </c>
      <c r="I194" s="62" t="str">
        <f>IFERROR(VLOOKUP(B194,TOLSEN!A:AC,7,FALSE),"0")</f>
        <v>0</v>
      </c>
      <c r="J194" s="63">
        <f t="shared" si="4"/>
        <v>0</v>
      </c>
      <c r="K194" s="107" t="e">
        <f t="shared" si="5"/>
        <v>#VALUE!</v>
      </c>
      <c r="L194" s="148">
        <f>IFERROR(VLOOKUP($B194,TOLSEN!A:I,8,FALSE),0)</f>
        <v>0</v>
      </c>
      <c r="M194" s="148">
        <f>IFERROR(VLOOKUP($B194,TOLSEN!A:K,9,FALSE),0)</f>
        <v>0</v>
      </c>
      <c r="N194" s="94" t="str">
        <f>IFERROR(VLOOKUP(B194,TOLSEN!A:K,5,FALSE)," ")</f>
        <v xml:space="preserve"> </v>
      </c>
      <c r="O194" s="161" t="str">
        <f>IFERROR(VLOOKUP($B194,TOLSEN!$A:$K,10,FALSE)," ")</f>
        <v xml:space="preserve"> </v>
      </c>
      <c r="P194" s="161" t="str">
        <f>IFERROR(VLOOKUP($B194,TOLSEN!$A:$K,11,FALSE)," ")</f>
        <v xml:space="preserve"> </v>
      </c>
    </row>
    <row r="195" spans="2:16" ht="52.5" customHeight="1">
      <c r="B195" s="25"/>
      <c r="C195" s="137"/>
      <c r="D195" s="110"/>
      <c r="E195" s="110"/>
      <c r="F195" s="60" t="str">
        <f>IFERROR(VLOOKUP(B195,TOLSEN!A:D,3,FALSE),"0")</f>
        <v>0</v>
      </c>
      <c r="G195" s="61" t="str">
        <f>IFERROR(VLOOKUP(B195,TOLSEN!A:D,4,FALSE),"0")</f>
        <v>0</v>
      </c>
      <c r="H195" s="62" t="str">
        <f>IFERROR(VLOOKUP(B195,TOLSEN!A:K,6,FALSE),"0")</f>
        <v>0</v>
      </c>
      <c r="I195" s="62" t="str">
        <f>IFERROR(VLOOKUP(B195,TOLSEN!A:AC,7,FALSE),"0")</f>
        <v>0</v>
      </c>
      <c r="J195" s="63">
        <f t="shared" si="4"/>
        <v>0</v>
      </c>
      <c r="K195" s="107" t="e">
        <f t="shared" si="5"/>
        <v>#VALUE!</v>
      </c>
      <c r="L195" s="148">
        <f>IFERROR(VLOOKUP($B195,TOLSEN!A:I,8,FALSE),0)</f>
        <v>0</v>
      </c>
      <c r="M195" s="148">
        <f>IFERROR(VLOOKUP($B195,TOLSEN!A:K,9,FALSE),0)</f>
        <v>0</v>
      </c>
      <c r="N195" s="94" t="str">
        <f>IFERROR(VLOOKUP(B195,TOLSEN!A:K,5,FALSE)," ")</f>
        <v xml:space="preserve"> </v>
      </c>
      <c r="O195" s="161" t="str">
        <f>IFERROR(VLOOKUP($B195,TOLSEN!$A:$K,10,FALSE)," ")</f>
        <v xml:space="preserve"> </v>
      </c>
      <c r="P195" s="161" t="str">
        <f>IFERROR(VLOOKUP($B195,TOLSEN!$A:$K,11,FALSE)," ")</f>
        <v xml:space="preserve"> </v>
      </c>
    </row>
    <row r="196" spans="2:16" ht="52.5" customHeight="1">
      <c r="B196" s="25"/>
      <c r="C196" s="138"/>
      <c r="D196" s="110"/>
      <c r="E196" s="110"/>
      <c r="F196" s="60" t="str">
        <f>IFERROR(VLOOKUP(B196,TOLSEN!A:D,3,FALSE),"0")</f>
        <v>0</v>
      </c>
      <c r="G196" s="61" t="str">
        <f>IFERROR(VLOOKUP(B196,TOLSEN!A:D,4,FALSE),"0")</f>
        <v>0</v>
      </c>
      <c r="H196" s="62" t="str">
        <f>IFERROR(VLOOKUP(B196,TOLSEN!A:K,6,FALSE),"0")</f>
        <v>0</v>
      </c>
      <c r="I196" s="62" t="str">
        <f>IFERROR(VLOOKUP(B196,TOLSEN!A:AC,7,FALSE),"0")</f>
        <v>0</v>
      </c>
      <c r="J196" s="63">
        <f t="shared" si="4"/>
        <v>0</v>
      </c>
      <c r="K196" s="107" t="e">
        <f t="shared" si="5"/>
        <v>#VALUE!</v>
      </c>
      <c r="L196" s="148">
        <f>IFERROR(VLOOKUP($B196,TOLSEN!A:I,8,FALSE),0)</f>
        <v>0</v>
      </c>
      <c r="M196" s="148">
        <f>IFERROR(VLOOKUP($B196,TOLSEN!A:K,9,FALSE),0)</f>
        <v>0</v>
      </c>
      <c r="N196" s="94" t="str">
        <f>IFERROR(VLOOKUP(B196,TOLSEN!A:K,5,FALSE)," ")</f>
        <v xml:space="preserve"> </v>
      </c>
      <c r="O196" s="161" t="str">
        <f>IFERROR(VLOOKUP($B196,TOLSEN!$A:$K,10,FALSE)," ")</f>
        <v xml:space="preserve"> </v>
      </c>
      <c r="P196" s="161" t="str">
        <f>IFERROR(VLOOKUP($B196,TOLSEN!$A:$K,11,FALSE)," ")</f>
        <v xml:space="preserve"> </v>
      </c>
    </row>
    <row r="197" spans="2:16" ht="52.5" customHeight="1">
      <c r="B197" s="25"/>
      <c r="C197" s="137"/>
      <c r="D197" s="110"/>
      <c r="E197" s="110"/>
      <c r="F197" s="60" t="str">
        <f>IFERROR(VLOOKUP(B197,TOLSEN!A:D,3,FALSE),"0")</f>
        <v>0</v>
      </c>
      <c r="G197" s="61" t="str">
        <f>IFERROR(VLOOKUP(B197,TOLSEN!A:D,4,FALSE),"0")</f>
        <v>0</v>
      </c>
      <c r="H197" s="62" t="str">
        <f>IFERROR(VLOOKUP(B197,TOLSEN!A:K,6,FALSE),"0")</f>
        <v>0</v>
      </c>
      <c r="I197" s="62" t="str">
        <f>IFERROR(VLOOKUP(B197,TOLSEN!A:AC,7,FALSE),"0")</f>
        <v>0</v>
      </c>
      <c r="J197" s="63">
        <f t="shared" si="4"/>
        <v>0</v>
      </c>
      <c r="K197" s="107" t="e">
        <f t="shared" si="5"/>
        <v>#VALUE!</v>
      </c>
      <c r="L197" s="148">
        <f>IFERROR(VLOOKUP($B197,TOLSEN!A:I,8,FALSE),0)</f>
        <v>0</v>
      </c>
      <c r="M197" s="148">
        <f>IFERROR(VLOOKUP($B197,TOLSEN!A:K,9,FALSE),0)</f>
        <v>0</v>
      </c>
      <c r="N197" s="94" t="str">
        <f>IFERROR(VLOOKUP(B197,TOLSEN!A:K,5,FALSE)," ")</f>
        <v xml:space="preserve"> </v>
      </c>
      <c r="O197" s="161" t="str">
        <f>IFERROR(VLOOKUP($B197,TOLSEN!$A:$K,10,FALSE)," ")</f>
        <v xml:space="preserve"> </v>
      </c>
      <c r="P197" s="161" t="str">
        <f>IFERROR(VLOOKUP($B197,TOLSEN!$A:$K,11,FALSE)," ")</f>
        <v xml:space="preserve"> </v>
      </c>
    </row>
    <row r="198" spans="2:16" ht="52.5" customHeight="1">
      <c r="B198" s="25"/>
      <c r="C198" s="138"/>
      <c r="D198" s="110"/>
      <c r="E198" s="110"/>
      <c r="F198" s="60" t="str">
        <f>IFERROR(VLOOKUP(B198,TOLSEN!A:D,3,FALSE),"0")</f>
        <v>0</v>
      </c>
      <c r="G198" s="61" t="str">
        <f>IFERROR(VLOOKUP(B198,TOLSEN!A:D,4,FALSE),"0")</f>
        <v>0</v>
      </c>
      <c r="H198" s="62" t="str">
        <f>IFERROR(VLOOKUP(B198,TOLSEN!A:K,6,FALSE),"0")</f>
        <v>0</v>
      </c>
      <c r="I198" s="62" t="str">
        <f>IFERROR(VLOOKUP(B198,TOLSEN!A:AC,7,FALSE),"0")</f>
        <v>0</v>
      </c>
      <c r="J198" s="63">
        <f t="shared" si="4"/>
        <v>0</v>
      </c>
      <c r="K198" s="107" t="e">
        <f t="shared" si="5"/>
        <v>#VALUE!</v>
      </c>
      <c r="L198" s="148">
        <f>IFERROR(VLOOKUP($B198,TOLSEN!A:I,8,FALSE),0)</f>
        <v>0</v>
      </c>
      <c r="M198" s="148">
        <f>IFERROR(VLOOKUP($B198,TOLSEN!A:K,9,FALSE),0)</f>
        <v>0</v>
      </c>
      <c r="N198" s="94" t="str">
        <f>IFERROR(VLOOKUP(B198,TOLSEN!A:K,5,FALSE)," ")</f>
        <v xml:space="preserve"> </v>
      </c>
      <c r="O198" s="161" t="str">
        <f>IFERROR(VLOOKUP($B198,TOLSEN!$A:$K,10,FALSE)," ")</f>
        <v xml:space="preserve"> </v>
      </c>
      <c r="P198" s="161" t="str">
        <f>IFERROR(VLOOKUP($B198,TOLSEN!$A:$K,11,FALSE)," ")</f>
        <v xml:space="preserve"> </v>
      </c>
    </row>
    <row r="199" spans="2:16" ht="52.5" customHeight="1">
      <c r="B199" s="25"/>
      <c r="C199" s="137"/>
      <c r="D199" s="110"/>
      <c r="E199" s="110"/>
      <c r="F199" s="60" t="str">
        <f>IFERROR(VLOOKUP(B199,TOLSEN!A:D,3,FALSE),"0")</f>
        <v>0</v>
      </c>
      <c r="G199" s="61" t="str">
        <f>IFERROR(VLOOKUP(B199,TOLSEN!A:D,4,FALSE),"0")</f>
        <v>0</v>
      </c>
      <c r="H199" s="62" t="str">
        <f>IFERROR(VLOOKUP(B199,TOLSEN!A:K,6,FALSE),"0")</f>
        <v>0</v>
      </c>
      <c r="I199" s="62" t="str">
        <f>IFERROR(VLOOKUP(B199,TOLSEN!A:AC,7,FALSE),"0")</f>
        <v>0</v>
      </c>
      <c r="J199" s="63">
        <f t="shared" si="4"/>
        <v>0</v>
      </c>
      <c r="K199" s="107" t="e">
        <f t="shared" si="5"/>
        <v>#VALUE!</v>
      </c>
      <c r="L199" s="148">
        <f>IFERROR(VLOOKUP($B199,TOLSEN!A:I,8,FALSE),0)</f>
        <v>0</v>
      </c>
      <c r="M199" s="148">
        <f>IFERROR(VLOOKUP($B199,TOLSEN!A:K,9,FALSE),0)</f>
        <v>0</v>
      </c>
      <c r="N199" s="94" t="str">
        <f>IFERROR(VLOOKUP(B199,TOLSEN!A:K,5,FALSE)," ")</f>
        <v xml:space="preserve"> </v>
      </c>
      <c r="O199" s="161" t="str">
        <f>IFERROR(VLOOKUP($B199,TOLSEN!$A:$K,10,FALSE)," ")</f>
        <v xml:space="preserve"> </v>
      </c>
      <c r="P199" s="161" t="str">
        <f>IFERROR(VLOOKUP($B199,TOLSEN!$A:$K,11,FALSE)," ")</f>
        <v xml:space="preserve"> </v>
      </c>
    </row>
    <row r="200" spans="2:16" ht="52.5" customHeight="1">
      <c r="B200" s="25"/>
      <c r="C200" s="138"/>
      <c r="D200" s="110"/>
      <c r="E200" s="110"/>
      <c r="F200" s="60" t="str">
        <f>IFERROR(VLOOKUP(B200,TOLSEN!A:D,3,FALSE),"0")</f>
        <v>0</v>
      </c>
      <c r="G200" s="61" t="str">
        <f>IFERROR(VLOOKUP(B200,TOLSEN!A:D,4,FALSE),"0")</f>
        <v>0</v>
      </c>
      <c r="H200" s="62" t="str">
        <f>IFERROR(VLOOKUP(B200,TOLSEN!A:K,6,FALSE),"0")</f>
        <v>0</v>
      </c>
      <c r="I200" s="62" t="str">
        <f>IFERROR(VLOOKUP(B200,TOLSEN!A:AC,7,FALSE),"0")</f>
        <v>0</v>
      </c>
      <c r="J200" s="63">
        <f t="shared" si="4"/>
        <v>0</v>
      </c>
      <c r="K200" s="107" t="e">
        <f t="shared" si="5"/>
        <v>#VALUE!</v>
      </c>
      <c r="L200" s="148">
        <f>IFERROR(VLOOKUP($B200,TOLSEN!A:I,8,FALSE),0)</f>
        <v>0</v>
      </c>
      <c r="M200" s="148">
        <f>IFERROR(VLOOKUP($B200,TOLSEN!A:K,9,FALSE),0)</f>
        <v>0</v>
      </c>
      <c r="N200" s="94" t="str">
        <f>IFERROR(VLOOKUP(B200,TOLSEN!A:K,5,FALSE)," ")</f>
        <v xml:space="preserve"> </v>
      </c>
      <c r="O200" s="161" t="str">
        <f>IFERROR(VLOOKUP($B200,TOLSEN!$A:$K,10,FALSE)," ")</f>
        <v xml:space="preserve"> </v>
      </c>
      <c r="P200" s="161" t="str">
        <f>IFERROR(VLOOKUP($B200,TOLSEN!$A:$K,11,FALSE)," ")</f>
        <v xml:space="preserve"> </v>
      </c>
    </row>
    <row r="201" spans="2:16" ht="52.5" customHeight="1">
      <c r="B201" s="25"/>
      <c r="C201" s="137"/>
      <c r="D201" s="110"/>
      <c r="E201" s="110"/>
      <c r="F201" s="60" t="str">
        <f>IFERROR(VLOOKUP(B201,TOLSEN!A:D,3,FALSE),"0")</f>
        <v>0</v>
      </c>
      <c r="G201" s="61" t="str">
        <f>IFERROR(VLOOKUP(B201,TOLSEN!A:D,4,FALSE),"0")</f>
        <v>0</v>
      </c>
      <c r="H201" s="62" t="str">
        <f>IFERROR(VLOOKUP(B201,TOLSEN!A:K,6,FALSE),"0")</f>
        <v>0</v>
      </c>
      <c r="I201" s="62" t="str">
        <f>IFERROR(VLOOKUP(B201,TOLSEN!A:AC,7,FALSE),"0")</f>
        <v>0</v>
      </c>
      <c r="J201" s="63">
        <f t="shared" si="4"/>
        <v>0</v>
      </c>
      <c r="K201" s="107" t="e">
        <f t="shared" si="5"/>
        <v>#VALUE!</v>
      </c>
      <c r="L201" s="148">
        <f>IFERROR(VLOOKUP($B201,TOLSEN!A:I,8,FALSE),0)</f>
        <v>0</v>
      </c>
      <c r="M201" s="148">
        <f>IFERROR(VLOOKUP($B201,TOLSEN!A:K,9,FALSE),0)</f>
        <v>0</v>
      </c>
      <c r="N201" s="94" t="str">
        <f>IFERROR(VLOOKUP(B201,TOLSEN!A:K,5,FALSE)," ")</f>
        <v xml:space="preserve"> </v>
      </c>
      <c r="O201" s="161" t="str">
        <f>IFERROR(VLOOKUP($B201,TOLSEN!$A:$K,10,FALSE)," ")</f>
        <v xml:space="preserve"> </v>
      </c>
      <c r="P201" s="161" t="str">
        <f>IFERROR(VLOOKUP($B201,TOLSEN!$A:$K,11,FALSE)," ")</f>
        <v xml:space="preserve"> </v>
      </c>
    </row>
    <row r="202" spans="2:16" ht="52.5" customHeight="1">
      <c r="B202" s="25"/>
      <c r="C202" s="138"/>
      <c r="D202" s="110"/>
      <c r="E202" s="110"/>
      <c r="F202" s="60" t="str">
        <f>IFERROR(VLOOKUP(B202,TOLSEN!A:D,3,FALSE),"0")</f>
        <v>0</v>
      </c>
      <c r="G202" s="61" t="str">
        <f>IFERROR(VLOOKUP(B202,TOLSEN!A:D,4,FALSE),"0")</f>
        <v>0</v>
      </c>
      <c r="H202" s="62" t="str">
        <f>IFERROR(VLOOKUP(B202,TOLSEN!A:K,6,FALSE),"0")</f>
        <v>0</v>
      </c>
      <c r="I202" s="62" t="str">
        <f>IFERROR(VLOOKUP(B202,TOLSEN!A:AC,7,FALSE),"0")</f>
        <v>0</v>
      </c>
      <c r="J202" s="63">
        <f t="shared" si="4"/>
        <v>0</v>
      </c>
      <c r="K202" s="107" t="e">
        <f t="shared" si="5"/>
        <v>#VALUE!</v>
      </c>
      <c r="L202" s="148">
        <f>IFERROR(VLOOKUP($B202,TOLSEN!A:I,8,FALSE),0)</f>
        <v>0</v>
      </c>
      <c r="M202" s="148">
        <f>IFERROR(VLOOKUP($B202,TOLSEN!A:K,9,FALSE),0)</f>
        <v>0</v>
      </c>
      <c r="N202" s="94" t="str">
        <f>IFERROR(VLOOKUP(B202,TOLSEN!A:K,5,FALSE)," ")</f>
        <v xml:space="preserve"> </v>
      </c>
      <c r="O202" s="161" t="str">
        <f>IFERROR(VLOOKUP($B202,TOLSEN!$A:$K,10,FALSE)," ")</f>
        <v xml:space="preserve"> </v>
      </c>
      <c r="P202" s="161" t="str">
        <f>IFERROR(VLOOKUP($B202,TOLSEN!$A:$K,11,FALSE)," ")</f>
        <v xml:space="preserve"> </v>
      </c>
    </row>
    <row r="203" spans="2:16" ht="52.5" customHeight="1">
      <c r="B203" s="25"/>
      <c r="C203" s="137"/>
      <c r="D203" s="110"/>
      <c r="E203" s="110"/>
      <c r="F203" s="60" t="str">
        <f>IFERROR(VLOOKUP(B203,TOLSEN!A:D,3,FALSE),"0")</f>
        <v>0</v>
      </c>
      <c r="G203" s="61" t="str">
        <f>IFERROR(VLOOKUP(B203,TOLSEN!A:D,4,FALSE),"0")</f>
        <v>0</v>
      </c>
      <c r="H203" s="62" t="str">
        <f>IFERROR(VLOOKUP(B203,TOLSEN!A:K,6,FALSE),"0")</f>
        <v>0</v>
      </c>
      <c r="I203" s="62" t="str">
        <f>IFERROR(VLOOKUP(B203,TOLSEN!A:AC,7,FALSE),"0")</f>
        <v>0</v>
      </c>
      <c r="J203" s="63">
        <f t="shared" si="4"/>
        <v>0</v>
      </c>
      <c r="K203" s="107" t="e">
        <f t="shared" si="5"/>
        <v>#VALUE!</v>
      </c>
      <c r="L203" s="148">
        <f>IFERROR(VLOOKUP($B203,TOLSEN!A:I,8,FALSE),0)</f>
        <v>0</v>
      </c>
      <c r="M203" s="148">
        <f>IFERROR(VLOOKUP($B203,TOLSEN!A:K,9,FALSE),0)</f>
        <v>0</v>
      </c>
      <c r="N203" s="94" t="str">
        <f>IFERROR(VLOOKUP(B203,TOLSEN!A:K,5,FALSE)," ")</f>
        <v xml:space="preserve"> </v>
      </c>
      <c r="O203" s="161" t="str">
        <f>IFERROR(VLOOKUP($B203,TOLSEN!$A:$K,10,FALSE)," ")</f>
        <v xml:space="preserve"> </v>
      </c>
      <c r="P203" s="161" t="str">
        <f>IFERROR(VLOOKUP($B203,TOLSEN!$A:$K,11,FALSE)," ")</f>
        <v xml:space="preserve"> </v>
      </c>
    </row>
    <row r="204" spans="2:16" ht="52.5" customHeight="1">
      <c r="B204" s="25"/>
      <c r="C204" s="138"/>
      <c r="D204" s="110"/>
      <c r="E204" s="110"/>
      <c r="F204" s="60" t="str">
        <f>IFERROR(VLOOKUP(B204,TOLSEN!A:D,3,FALSE),"0")</f>
        <v>0</v>
      </c>
      <c r="G204" s="61" t="str">
        <f>IFERROR(VLOOKUP(B204,TOLSEN!A:D,4,FALSE),"0")</f>
        <v>0</v>
      </c>
      <c r="H204" s="62" t="str">
        <f>IFERROR(VLOOKUP(B204,TOLSEN!A:K,6,FALSE),"0")</f>
        <v>0</v>
      </c>
      <c r="I204" s="62" t="str">
        <f>IFERROR(VLOOKUP(B204,TOLSEN!A:AC,7,FALSE),"0")</f>
        <v>0</v>
      </c>
      <c r="J204" s="63">
        <f t="shared" si="4"/>
        <v>0</v>
      </c>
      <c r="K204" s="107" t="e">
        <f t="shared" si="5"/>
        <v>#VALUE!</v>
      </c>
      <c r="L204" s="148">
        <f>IFERROR(VLOOKUP($B204,TOLSEN!A:I,8,FALSE),0)</f>
        <v>0</v>
      </c>
      <c r="M204" s="148">
        <f>IFERROR(VLOOKUP($B204,TOLSEN!A:K,9,FALSE),0)</f>
        <v>0</v>
      </c>
      <c r="N204" s="94" t="str">
        <f>IFERROR(VLOOKUP(B204,TOLSEN!A:K,5,FALSE)," ")</f>
        <v xml:space="preserve"> </v>
      </c>
      <c r="O204" s="161" t="str">
        <f>IFERROR(VLOOKUP($B204,TOLSEN!$A:$K,10,FALSE)," ")</f>
        <v xml:space="preserve"> </v>
      </c>
      <c r="P204" s="161" t="str">
        <f>IFERROR(VLOOKUP($B204,TOLSEN!$A:$K,11,FALSE)," ")</f>
        <v xml:space="preserve"> </v>
      </c>
    </row>
    <row r="205" spans="2:16" ht="52.5" customHeight="1">
      <c r="B205" s="25"/>
      <c r="C205" s="137"/>
      <c r="D205" s="110"/>
      <c r="E205" s="110"/>
      <c r="F205" s="60" t="str">
        <f>IFERROR(VLOOKUP(B205,TOLSEN!A:D,3,FALSE),"0")</f>
        <v>0</v>
      </c>
      <c r="G205" s="61" t="str">
        <f>IFERROR(VLOOKUP(B205,TOLSEN!A:D,4,FALSE),"0")</f>
        <v>0</v>
      </c>
      <c r="H205" s="62" t="str">
        <f>IFERROR(VLOOKUP(B205,TOLSEN!A:K,6,FALSE),"0")</f>
        <v>0</v>
      </c>
      <c r="I205" s="62" t="str">
        <f>IFERROR(VLOOKUP(B205,TOLSEN!A:AC,7,FALSE),"0")</f>
        <v>0</v>
      </c>
      <c r="J205" s="63">
        <f t="shared" si="4"/>
        <v>0</v>
      </c>
      <c r="K205" s="107" t="e">
        <f t="shared" si="5"/>
        <v>#VALUE!</v>
      </c>
      <c r="L205" s="148">
        <f>IFERROR(VLOOKUP($B205,TOLSEN!A:I,8,FALSE),0)</f>
        <v>0</v>
      </c>
      <c r="M205" s="148">
        <f>IFERROR(VLOOKUP($B205,TOLSEN!A:K,9,FALSE),0)</f>
        <v>0</v>
      </c>
      <c r="N205" s="94" t="str">
        <f>IFERROR(VLOOKUP(B205,TOLSEN!A:K,5,FALSE)," ")</f>
        <v xml:space="preserve"> </v>
      </c>
      <c r="O205" s="161" t="str">
        <f>IFERROR(VLOOKUP($B205,TOLSEN!$A:$K,10,FALSE)," ")</f>
        <v xml:space="preserve"> </v>
      </c>
      <c r="P205" s="161" t="str">
        <f>IFERROR(VLOOKUP($B205,TOLSEN!$A:$K,11,FALSE)," ")</f>
        <v xml:space="preserve"> </v>
      </c>
    </row>
    <row r="206" spans="2:16" ht="52.5" customHeight="1">
      <c r="B206" s="25"/>
      <c r="C206" s="138"/>
      <c r="D206" s="110"/>
      <c r="E206" s="110"/>
      <c r="F206" s="60" t="str">
        <f>IFERROR(VLOOKUP(B206,TOLSEN!A:D,3,FALSE),"0")</f>
        <v>0</v>
      </c>
      <c r="G206" s="61" t="str">
        <f>IFERROR(VLOOKUP(B206,TOLSEN!A:D,4,FALSE),"0")</f>
        <v>0</v>
      </c>
      <c r="H206" s="62" t="str">
        <f>IFERROR(VLOOKUP(B206,TOLSEN!A:K,6,FALSE),"0")</f>
        <v>0</v>
      </c>
      <c r="I206" s="62" t="str">
        <f>IFERROR(VLOOKUP(B206,TOLSEN!A:AC,7,FALSE),"0")</f>
        <v>0</v>
      </c>
      <c r="J206" s="63">
        <f t="shared" si="4"/>
        <v>0</v>
      </c>
      <c r="K206" s="107" t="e">
        <f t="shared" si="5"/>
        <v>#VALUE!</v>
      </c>
      <c r="L206" s="148">
        <f>IFERROR(VLOOKUP($B206,TOLSEN!A:I,8,FALSE),0)</f>
        <v>0</v>
      </c>
      <c r="M206" s="148">
        <f>IFERROR(VLOOKUP($B206,TOLSEN!A:K,9,FALSE),0)</f>
        <v>0</v>
      </c>
      <c r="N206" s="94" t="str">
        <f>IFERROR(VLOOKUP(B206,TOLSEN!A:K,5,FALSE)," ")</f>
        <v xml:space="preserve"> </v>
      </c>
      <c r="O206" s="161" t="str">
        <f>IFERROR(VLOOKUP($B206,TOLSEN!$A:$K,10,FALSE)," ")</f>
        <v xml:space="preserve"> </v>
      </c>
      <c r="P206" s="161" t="str">
        <f>IFERROR(VLOOKUP($B206,TOLSEN!$A:$K,11,FALSE)," ")</f>
        <v xml:space="preserve"> </v>
      </c>
    </row>
    <row r="207" spans="2:16" ht="52.5" customHeight="1">
      <c r="B207" s="25"/>
      <c r="C207" s="137"/>
      <c r="D207" s="110"/>
      <c r="E207" s="110"/>
      <c r="F207" s="60" t="str">
        <f>IFERROR(VLOOKUP(B207,TOLSEN!A:D,3,FALSE),"0")</f>
        <v>0</v>
      </c>
      <c r="G207" s="61" t="str">
        <f>IFERROR(VLOOKUP(B207,TOLSEN!A:D,4,FALSE),"0")</f>
        <v>0</v>
      </c>
      <c r="H207" s="62" t="str">
        <f>IFERROR(VLOOKUP(B207,TOLSEN!A:K,6,FALSE),"0")</f>
        <v>0</v>
      </c>
      <c r="I207" s="62" t="str">
        <f>IFERROR(VLOOKUP(B207,TOLSEN!A:AC,7,FALSE),"0")</f>
        <v>0</v>
      </c>
      <c r="J207" s="63">
        <f t="shared" si="4"/>
        <v>0</v>
      </c>
      <c r="K207" s="107" t="e">
        <f t="shared" si="5"/>
        <v>#VALUE!</v>
      </c>
      <c r="L207" s="148">
        <f>IFERROR(VLOOKUP($B207,TOLSEN!A:I,8,FALSE),0)</f>
        <v>0</v>
      </c>
      <c r="M207" s="148">
        <f>IFERROR(VLOOKUP($B207,TOLSEN!A:K,9,FALSE),0)</f>
        <v>0</v>
      </c>
      <c r="N207" s="94" t="str">
        <f>IFERROR(VLOOKUP(B207,TOLSEN!A:K,5,FALSE)," ")</f>
        <v xml:space="preserve"> </v>
      </c>
      <c r="O207" s="161" t="str">
        <f>IFERROR(VLOOKUP($B207,TOLSEN!$A:$K,10,FALSE)," ")</f>
        <v xml:space="preserve"> </v>
      </c>
      <c r="P207" s="161" t="str">
        <f>IFERROR(VLOOKUP($B207,TOLSEN!$A:$K,11,FALSE)," ")</f>
        <v xml:space="preserve"> </v>
      </c>
    </row>
    <row r="208" spans="2:16" ht="52.5" customHeight="1">
      <c r="B208" s="25"/>
      <c r="C208" s="138"/>
      <c r="D208" s="110"/>
      <c r="E208" s="110"/>
      <c r="F208" s="60" t="str">
        <f>IFERROR(VLOOKUP(B208,TOLSEN!A:D,3,FALSE),"0")</f>
        <v>0</v>
      </c>
      <c r="G208" s="61" t="str">
        <f>IFERROR(VLOOKUP(B208,TOLSEN!A:D,4,FALSE),"0")</f>
        <v>0</v>
      </c>
      <c r="H208" s="62" t="str">
        <f>IFERROR(VLOOKUP(B208,TOLSEN!A:K,6,FALSE),"0")</f>
        <v>0</v>
      </c>
      <c r="I208" s="62" t="str">
        <f>IFERROR(VLOOKUP(B208,TOLSEN!A:AC,7,FALSE),"0")</f>
        <v>0</v>
      </c>
      <c r="J208" s="63">
        <f t="shared" si="4"/>
        <v>0</v>
      </c>
      <c r="K208" s="107" t="e">
        <f t="shared" si="5"/>
        <v>#VALUE!</v>
      </c>
      <c r="L208" s="148">
        <f>IFERROR(VLOOKUP($B208,TOLSEN!A:I,8,FALSE),0)</f>
        <v>0</v>
      </c>
      <c r="M208" s="148">
        <f>IFERROR(VLOOKUP($B208,TOLSEN!A:K,9,FALSE),0)</f>
        <v>0</v>
      </c>
      <c r="N208" s="94" t="str">
        <f>IFERROR(VLOOKUP(B208,TOLSEN!A:K,5,FALSE)," ")</f>
        <v xml:space="preserve"> </v>
      </c>
      <c r="O208" s="161" t="str">
        <f>IFERROR(VLOOKUP($B208,TOLSEN!$A:$K,10,FALSE)," ")</f>
        <v xml:space="preserve"> </v>
      </c>
      <c r="P208" s="161" t="str">
        <f>IFERROR(VLOOKUP($B208,TOLSEN!$A:$K,11,FALSE)," ")</f>
        <v xml:space="preserve"> </v>
      </c>
    </row>
    <row r="209" spans="2:16" ht="52.5" customHeight="1">
      <c r="B209" s="25"/>
      <c r="C209" s="137"/>
      <c r="D209" s="110"/>
      <c r="E209" s="110"/>
      <c r="F209" s="60" t="str">
        <f>IFERROR(VLOOKUP(B209,TOLSEN!A:D,3,FALSE),"0")</f>
        <v>0</v>
      </c>
      <c r="G209" s="61" t="str">
        <f>IFERROR(VLOOKUP(B209,TOLSEN!A:D,4,FALSE),"0")</f>
        <v>0</v>
      </c>
      <c r="H209" s="62" t="str">
        <f>IFERROR(VLOOKUP(B209,TOLSEN!A:K,6,FALSE),"0")</f>
        <v>0</v>
      </c>
      <c r="I209" s="62" t="str">
        <f>IFERROR(VLOOKUP(B209,TOLSEN!A:AC,7,FALSE),"0")</f>
        <v>0</v>
      </c>
      <c r="J209" s="63">
        <f t="shared" si="4"/>
        <v>0</v>
      </c>
      <c r="K209" s="107" t="e">
        <f t="shared" si="5"/>
        <v>#VALUE!</v>
      </c>
      <c r="L209" s="148">
        <f>IFERROR(VLOOKUP($B209,TOLSEN!A:I,8,FALSE),0)</f>
        <v>0</v>
      </c>
      <c r="M209" s="148">
        <f>IFERROR(VLOOKUP($B209,TOLSEN!A:K,9,FALSE),0)</f>
        <v>0</v>
      </c>
      <c r="N209" s="94" t="str">
        <f>IFERROR(VLOOKUP(B209,TOLSEN!A:K,5,FALSE)," ")</f>
        <v xml:space="preserve"> </v>
      </c>
      <c r="O209" s="161" t="str">
        <f>IFERROR(VLOOKUP($B209,TOLSEN!$A:$K,10,FALSE)," ")</f>
        <v xml:space="preserve"> </v>
      </c>
      <c r="P209" s="161" t="str">
        <f>IFERROR(VLOOKUP($B209,TOLSEN!$A:$K,11,FALSE)," ")</f>
        <v xml:space="preserve"> </v>
      </c>
    </row>
    <row r="210" spans="2:16" ht="52.5" customHeight="1">
      <c r="B210" s="25"/>
      <c r="C210" s="138"/>
      <c r="D210" s="110"/>
      <c r="E210" s="110"/>
      <c r="F210" s="60" t="str">
        <f>IFERROR(VLOOKUP(B210,TOLSEN!A:D,3,FALSE),"0")</f>
        <v>0</v>
      </c>
      <c r="G210" s="61" t="str">
        <f>IFERROR(VLOOKUP(B210,TOLSEN!A:D,4,FALSE),"0")</f>
        <v>0</v>
      </c>
      <c r="H210" s="62" t="str">
        <f>IFERROR(VLOOKUP(B210,TOLSEN!A:K,6,FALSE),"0")</f>
        <v>0</v>
      </c>
      <c r="I210" s="62" t="str">
        <f>IFERROR(VLOOKUP(B210,TOLSEN!A:AC,7,FALSE),"0")</f>
        <v>0</v>
      </c>
      <c r="J210" s="63">
        <f t="shared" si="4"/>
        <v>0</v>
      </c>
      <c r="K210" s="107" t="e">
        <f t="shared" si="5"/>
        <v>#VALUE!</v>
      </c>
      <c r="L210" s="148">
        <f>IFERROR(VLOOKUP($B210,TOLSEN!A:I,8,FALSE),0)</f>
        <v>0</v>
      </c>
      <c r="M210" s="148">
        <f>IFERROR(VLOOKUP($B210,TOLSEN!A:K,9,FALSE),0)</f>
        <v>0</v>
      </c>
      <c r="N210" s="94" t="str">
        <f>IFERROR(VLOOKUP(B210,TOLSEN!A:K,5,FALSE)," ")</f>
        <v xml:space="preserve"> </v>
      </c>
      <c r="O210" s="161" t="str">
        <f>IFERROR(VLOOKUP($B210,TOLSEN!$A:$K,10,FALSE)," ")</f>
        <v xml:space="preserve"> </v>
      </c>
      <c r="P210" s="161" t="str">
        <f>IFERROR(VLOOKUP($B210,TOLSEN!$A:$K,11,FALSE)," ")</f>
        <v xml:space="preserve"> </v>
      </c>
    </row>
    <row r="211" spans="2:16" ht="52.5" customHeight="1">
      <c r="B211" s="25"/>
      <c r="C211" s="137"/>
      <c r="D211" s="110"/>
      <c r="E211" s="110"/>
      <c r="F211" s="60" t="str">
        <f>IFERROR(VLOOKUP(B211,TOLSEN!A:D,3,FALSE),"0")</f>
        <v>0</v>
      </c>
      <c r="G211" s="61" t="str">
        <f>IFERROR(VLOOKUP(B211,TOLSEN!A:D,4,FALSE),"0")</f>
        <v>0</v>
      </c>
      <c r="H211" s="62" t="str">
        <f>IFERROR(VLOOKUP(B211,TOLSEN!A:K,6,FALSE),"0")</f>
        <v>0</v>
      </c>
      <c r="I211" s="62" t="str">
        <f>IFERROR(VLOOKUP(B211,TOLSEN!A:AC,7,FALSE),"0")</f>
        <v>0</v>
      </c>
      <c r="J211" s="63">
        <f t="shared" si="4"/>
        <v>0</v>
      </c>
      <c r="K211" s="107" t="e">
        <f t="shared" si="5"/>
        <v>#VALUE!</v>
      </c>
      <c r="L211" s="148">
        <f>IFERROR(VLOOKUP($B211,TOLSEN!A:I,8,FALSE),0)</f>
        <v>0</v>
      </c>
      <c r="M211" s="148">
        <f>IFERROR(VLOOKUP($B211,TOLSEN!A:K,9,FALSE),0)</f>
        <v>0</v>
      </c>
      <c r="N211" s="94" t="str">
        <f>IFERROR(VLOOKUP(B211,TOLSEN!A:K,5,FALSE)," ")</f>
        <v xml:space="preserve"> </v>
      </c>
      <c r="O211" s="161" t="str">
        <f>IFERROR(VLOOKUP($B211,TOLSEN!$A:$K,10,FALSE)," ")</f>
        <v xml:space="preserve"> </v>
      </c>
      <c r="P211" s="161" t="str">
        <f>IFERROR(VLOOKUP($B211,TOLSEN!$A:$K,11,FALSE)," ")</f>
        <v xml:space="preserve"> </v>
      </c>
    </row>
    <row r="212" spans="2:16" ht="52.5" customHeight="1">
      <c r="B212" s="25"/>
      <c r="C212" s="138"/>
      <c r="D212" s="110"/>
      <c r="E212" s="110"/>
      <c r="F212" s="60" t="str">
        <f>IFERROR(VLOOKUP(B212,TOLSEN!A:D,3,FALSE),"0")</f>
        <v>0</v>
      </c>
      <c r="G212" s="61" t="str">
        <f>IFERROR(VLOOKUP(B212,TOLSEN!A:D,4,FALSE),"0")</f>
        <v>0</v>
      </c>
      <c r="H212" s="62" t="str">
        <f>IFERROR(VLOOKUP(B212,TOLSEN!A:K,6,FALSE),"0")</f>
        <v>0</v>
      </c>
      <c r="I212" s="62" t="str">
        <f>IFERROR(VLOOKUP(B212,TOLSEN!A:AC,7,FALSE),"0")</f>
        <v>0</v>
      </c>
      <c r="J212" s="63">
        <f t="shared" si="4"/>
        <v>0</v>
      </c>
      <c r="K212" s="107" t="e">
        <f t="shared" si="5"/>
        <v>#VALUE!</v>
      </c>
      <c r="L212" s="148">
        <f>IFERROR(VLOOKUP($B212,TOLSEN!A:I,8,FALSE),0)</f>
        <v>0</v>
      </c>
      <c r="M212" s="148">
        <f>IFERROR(VLOOKUP($B212,TOLSEN!A:K,9,FALSE),0)</f>
        <v>0</v>
      </c>
      <c r="N212" s="94" t="str">
        <f>IFERROR(VLOOKUP(B212,TOLSEN!A:K,5,FALSE)," ")</f>
        <v xml:space="preserve"> </v>
      </c>
      <c r="O212" s="161" t="str">
        <f>IFERROR(VLOOKUP($B212,TOLSEN!$A:$K,10,FALSE)," ")</f>
        <v xml:space="preserve"> </v>
      </c>
      <c r="P212" s="161" t="str">
        <f>IFERROR(VLOOKUP($B212,TOLSEN!$A:$K,11,FALSE)," ")</f>
        <v xml:space="preserve"> </v>
      </c>
    </row>
    <row r="213" spans="2:16" ht="52.5" customHeight="1">
      <c r="B213" s="25"/>
      <c r="C213" s="137"/>
      <c r="D213" s="110"/>
      <c r="E213" s="110"/>
      <c r="F213" s="60" t="str">
        <f>IFERROR(VLOOKUP(B213,TOLSEN!A:D,3,FALSE),"0")</f>
        <v>0</v>
      </c>
      <c r="G213" s="61" t="str">
        <f>IFERROR(VLOOKUP(B213,TOLSEN!A:D,4,FALSE),"0")</f>
        <v>0</v>
      </c>
      <c r="H213" s="62" t="str">
        <f>IFERROR(VLOOKUP(B213,TOLSEN!A:K,6,FALSE),"0")</f>
        <v>0</v>
      </c>
      <c r="I213" s="62" t="str">
        <f>IFERROR(VLOOKUP(B213,TOLSEN!A:AC,7,FALSE),"0")</f>
        <v>0</v>
      </c>
      <c r="J213" s="63">
        <f t="shared" si="4"/>
        <v>0</v>
      </c>
      <c r="K213" s="107" t="e">
        <f t="shared" si="5"/>
        <v>#VALUE!</v>
      </c>
      <c r="L213" s="148">
        <f>IFERROR(VLOOKUP($B213,TOLSEN!A:I,8,FALSE),0)</f>
        <v>0</v>
      </c>
      <c r="M213" s="148">
        <f>IFERROR(VLOOKUP($B213,TOLSEN!A:K,9,FALSE),0)</f>
        <v>0</v>
      </c>
      <c r="N213" s="94" t="str">
        <f>IFERROR(VLOOKUP(B213,TOLSEN!A:K,5,FALSE)," ")</f>
        <v xml:space="preserve"> </v>
      </c>
      <c r="O213" s="161" t="str">
        <f>IFERROR(VLOOKUP($B213,TOLSEN!$A:$K,10,FALSE)," ")</f>
        <v xml:space="preserve"> </v>
      </c>
      <c r="P213" s="161" t="str">
        <f>IFERROR(VLOOKUP($B213,TOLSEN!$A:$K,11,FALSE)," ")</f>
        <v xml:space="preserve"> </v>
      </c>
    </row>
    <row r="214" spans="2:16" ht="52.5" customHeight="1">
      <c r="B214" s="25"/>
      <c r="C214" s="138"/>
      <c r="D214" s="110"/>
      <c r="E214" s="110"/>
      <c r="F214" s="60" t="str">
        <f>IFERROR(VLOOKUP(B214,TOLSEN!A:D,3,FALSE),"0")</f>
        <v>0</v>
      </c>
      <c r="G214" s="61" t="str">
        <f>IFERROR(VLOOKUP(B214,TOLSEN!A:D,4,FALSE),"0")</f>
        <v>0</v>
      </c>
      <c r="H214" s="62" t="str">
        <f>IFERROR(VLOOKUP(B214,TOLSEN!A:K,6,FALSE),"0")</f>
        <v>0</v>
      </c>
      <c r="I214" s="62" t="str">
        <f>IFERROR(VLOOKUP(B214,TOLSEN!A:AC,7,FALSE),"0")</f>
        <v>0</v>
      </c>
      <c r="J214" s="63">
        <f t="shared" si="4"/>
        <v>0</v>
      </c>
      <c r="K214" s="107" t="e">
        <f t="shared" si="5"/>
        <v>#VALUE!</v>
      </c>
      <c r="L214" s="148">
        <f>IFERROR(VLOOKUP($B214,TOLSEN!A:I,8,FALSE),0)</f>
        <v>0</v>
      </c>
      <c r="M214" s="148">
        <f>IFERROR(VLOOKUP($B214,TOLSEN!A:K,9,FALSE),0)</f>
        <v>0</v>
      </c>
      <c r="N214" s="94" t="str">
        <f>IFERROR(VLOOKUP(B214,TOLSEN!A:K,5,FALSE)," ")</f>
        <v xml:space="preserve"> </v>
      </c>
      <c r="O214" s="161" t="str">
        <f>IFERROR(VLOOKUP($B214,TOLSEN!$A:$K,10,FALSE)," ")</f>
        <v xml:space="preserve"> </v>
      </c>
      <c r="P214" s="161" t="str">
        <f>IFERROR(VLOOKUP($B214,TOLSEN!$A:$K,11,FALSE)," ")</f>
        <v xml:space="preserve"> </v>
      </c>
    </row>
    <row r="215" spans="2:16" ht="52.5" customHeight="1">
      <c r="B215" s="25"/>
      <c r="C215" s="137"/>
      <c r="D215" s="110"/>
      <c r="E215" s="110"/>
      <c r="F215" s="60" t="str">
        <f>IFERROR(VLOOKUP(B215,TOLSEN!A:D,3,FALSE),"0")</f>
        <v>0</v>
      </c>
      <c r="G215" s="61" t="str">
        <f>IFERROR(VLOOKUP(B215,TOLSEN!A:D,4,FALSE),"0")</f>
        <v>0</v>
      </c>
      <c r="H215" s="62" t="str">
        <f>IFERROR(VLOOKUP(B215,TOLSEN!A:K,6,FALSE),"0")</f>
        <v>0</v>
      </c>
      <c r="I215" s="62" t="str">
        <f>IFERROR(VLOOKUP(B215,TOLSEN!A:AC,7,FALSE),"0")</f>
        <v>0</v>
      </c>
      <c r="J215" s="63">
        <f t="shared" si="4"/>
        <v>0</v>
      </c>
      <c r="K215" s="107" t="e">
        <f t="shared" si="5"/>
        <v>#VALUE!</v>
      </c>
      <c r="L215" s="148">
        <f>IFERROR(VLOOKUP($B215,TOLSEN!A:I,8,FALSE),0)</f>
        <v>0</v>
      </c>
      <c r="M215" s="148">
        <f>IFERROR(VLOOKUP($B215,TOLSEN!A:K,9,FALSE),0)</f>
        <v>0</v>
      </c>
      <c r="N215" s="94" t="str">
        <f>IFERROR(VLOOKUP(B215,TOLSEN!A:K,5,FALSE)," ")</f>
        <v xml:space="preserve"> </v>
      </c>
      <c r="O215" s="161" t="str">
        <f>IFERROR(VLOOKUP($B215,TOLSEN!$A:$K,10,FALSE)," ")</f>
        <v xml:space="preserve"> </v>
      </c>
      <c r="P215" s="161" t="str">
        <f>IFERROR(VLOOKUP($B215,TOLSEN!$A:$K,11,FALSE)," ")</f>
        <v xml:space="preserve"> </v>
      </c>
    </row>
    <row r="216" spans="2:16" ht="52.5" customHeight="1">
      <c r="B216" s="25"/>
      <c r="C216" s="138"/>
      <c r="D216" s="110"/>
      <c r="E216" s="110"/>
      <c r="F216" s="60" t="str">
        <f>IFERROR(VLOOKUP(B216,TOLSEN!A:D,3,FALSE),"0")</f>
        <v>0</v>
      </c>
      <c r="G216" s="61" t="str">
        <f>IFERROR(VLOOKUP(B216,TOLSEN!A:D,4,FALSE),"0")</f>
        <v>0</v>
      </c>
      <c r="H216" s="62" t="str">
        <f>IFERROR(VLOOKUP(B216,TOLSEN!A:K,6,FALSE),"0")</f>
        <v>0</v>
      </c>
      <c r="I216" s="62" t="str">
        <f>IFERROR(VLOOKUP(B216,TOLSEN!A:AC,7,FALSE),"0")</f>
        <v>0</v>
      </c>
      <c r="J216" s="63">
        <f t="shared" ref="J216:J279" si="6">(I216*C216)</f>
        <v>0</v>
      </c>
      <c r="K216" s="107" t="e">
        <f t="shared" ref="K216:K279" si="7">(J216*(1+N216))</f>
        <v>#VALUE!</v>
      </c>
      <c r="L216" s="148">
        <f>IFERROR(VLOOKUP($B216,TOLSEN!A:I,8,FALSE),0)</f>
        <v>0</v>
      </c>
      <c r="M216" s="148">
        <f>IFERROR(VLOOKUP($B216,TOLSEN!A:K,9,FALSE),0)</f>
        <v>0</v>
      </c>
      <c r="N216" s="94" t="str">
        <f>IFERROR(VLOOKUP(B216,TOLSEN!A:K,5,FALSE)," ")</f>
        <v xml:space="preserve"> </v>
      </c>
      <c r="O216" s="161" t="str">
        <f>IFERROR(VLOOKUP($B216,TOLSEN!$A:$K,10,FALSE)," ")</f>
        <v xml:space="preserve"> </v>
      </c>
      <c r="P216" s="161" t="str">
        <f>IFERROR(VLOOKUP($B216,TOLSEN!$A:$K,11,FALSE)," ")</f>
        <v xml:space="preserve"> </v>
      </c>
    </row>
    <row r="217" spans="2:16" ht="52.5" customHeight="1">
      <c r="B217" s="25"/>
      <c r="C217" s="137"/>
      <c r="D217" s="110"/>
      <c r="E217" s="110"/>
      <c r="F217" s="60" t="str">
        <f>IFERROR(VLOOKUP(B217,TOLSEN!A:D,3,FALSE),"0")</f>
        <v>0</v>
      </c>
      <c r="G217" s="61" t="str">
        <f>IFERROR(VLOOKUP(B217,TOLSEN!A:D,4,FALSE),"0")</f>
        <v>0</v>
      </c>
      <c r="H217" s="62" t="str">
        <f>IFERROR(VLOOKUP(B217,TOLSEN!A:K,6,FALSE),"0")</f>
        <v>0</v>
      </c>
      <c r="I217" s="62" t="str">
        <f>IFERROR(VLOOKUP(B217,TOLSEN!A:AC,7,FALSE),"0")</f>
        <v>0</v>
      </c>
      <c r="J217" s="63">
        <f t="shared" si="6"/>
        <v>0</v>
      </c>
      <c r="K217" s="107" t="e">
        <f t="shared" si="7"/>
        <v>#VALUE!</v>
      </c>
      <c r="L217" s="148">
        <f>IFERROR(VLOOKUP($B217,TOLSEN!A:I,8,FALSE),0)</f>
        <v>0</v>
      </c>
      <c r="M217" s="148">
        <f>IFERROR(VLOOKUP($B217,TOLSEN!A:K,9,FALSE),0)</f>
        <v>0</v>
      </c>
      <c r="N217" s="94" t="str">
        <f>IFERROR(VLOOKUP(B217,TOLSEN!A:K,5,FALSE)," ")</f>
        <v xml:space="preserve"> </v>
      </c>
      <c r="O217" s="161" t="str">
        <f>IFERROR(VLOOKUP($B217,TOLSEN!$A:$K,10,FALSE)," ")</f>
        <v xml:space="preserve"> </v>
      </c>
      <c r="P217" s="161" t="str">
        <f>IFERROR(VLOOKUP($B217,TOLSEN!$A:$K,11,FALSE)," ")</f>
        <v xml:space="preserve"> </v>
      </c>
    </row>
    <row r="218" spans="2:16" ht="52.5" customHeight="1">
      <c r="B218" s="25"/>
      <c r="C218" s="138"/>
      <c r="D218" s="110"/>
      <c r="E218" s="110"/>
      <c r="F218" s="60" t="str">
        <f>IFERROR(VLOOKUP(B218,TOLSEN!A:D,3,FALSE),"0")</f>
        <v>0</v>
      </c>
      <c r="G218" s="61" t="str">
        <f>IFERROR(VLOOKUP(B218,TOLSEN!A:D,4,FALSE),"0")</f>
        <v>0</v>
      </c>
      <c r="H218" s="62" t="str">
        <f>IFERROR(VLOOKUP(B218,TOLSEN!A:K,6,FALSE),"0")</f>
        <v>0</v>
      </c>
      <c r="I218" s="62" t="str">
        <f>IFERROR(VLOOKUP(B218,TOLSEN!A:AC,7,FALSE),"0")</f>
        <v>0</v>
      </c>
      <c r="J218" s="63">
        <f t="shared" si="6"/>
        <v>0</v>
      </c>
      <c r="K218" s="107" t="e">
        <f t="shared" si="7"/>
        <v>#VALUE!</v>
      </c>
      <c r="L218" s="148">
        <f>IFERROR(VLOOKUP($B218,TOLSEN!A:I,8,FALSE),0)</f>
        <v>0</v>
      </c>
      <c r="M218" s="148">
        <f>IFERROR(VLOOKUP($B218,TOLSEN!A:K,9,FALSE),0)</f>
        <v>0</v>
      </c>
      <c r="N218" s="94" t="str">
        <f>IFERROR(VLOOKUP(B218,TOLSEN!A:K,5,FALSE)," ")</f>
        <v xml:space="preserve"> </v>
      </c>
      <c r="O218" s="161" t="str">
        <f>IFERROR(VLOOKUP($B218,TOLSEN!$A:$K,10,FALSE)," ")</f>
        <v xml:space="preserve"> </v>
      </c>
      <c r="P218" s="161" t="str">
        <f>IFERROR(VLOOKUP($B218,TOLSEN!$A:$K,11,FALSE)," ")</f>
        <v xml:space="preserve"> </v>
      </c>
    </row>
    <row r="219" spans="2:16" ht="52.5" customHeight="1">
      <c r="B219" s="25"/>
      <c r="C219" s="137"/>
      <c r="D219" s="110"/>
      <c r="E219" s="110"/>
      <c r="F219" s="60" t="str">
        <f>IFERROR(VLOOKUP(B219,TOLSEN!A:D,3,FALSE),"0")</f>
        <v>0</v>
      </c>
      <c r="G219" s="61" t="str">
        <f>IFERROR(VLOOKUP(B219,TOLSEN!A:D,4,FALSE),"0")</f>
        <v>0</v>
      </c>
      <c r="H219" s="62" t="str">
        <f>IFERROR(VLOOKUP(B219,TOLSEN!A:K,6,FALSE),"0")</f>
        <v>0</v>
      </c>
      <c r="I219" s="62" t="str">
        <f>IFERROR(VLOOKUP(B219,TOLSEN!A:AC,7,FALSE),"0")</f>
        <v>0</v>
      </c>
      <c r="J219" s="63">
        <f t="shared" si="6"/>
        <v>0</v>
      </c>
      <c r="K219" s="107" t="e">
        <f t="shared" si="7"/>
        <v>#VALUE!</v>
      </c>
      <c r="L219" s="148">
        <f>IFERROR(VLOOKUP($B219,TOLSEN!A:I,8,FALSE),0)</f>
        <v>0</v>
      </c>
      <c r="M219" s="148">
        <f>IFERROR(VLOOKUP($B219,TOLSEN!A:K,9,FALSE),0)</f>
        <v>0</v>
      </c>
      <c r="N219" s="94" t="str">
        <f>IFERROR(VLOOKUP(B219,TOLSEN!A:K,5,FALSE)," ")</f>
        <v xml:space="preserve"> </v>
      </c>
      <c r="O219" s="161" t="str">
        <f>IFERROR(VLOOKUP($B219,TOLSEN!$A:$K,10,FALSE)," ")</f>
        <v xml:space="preserve"> </v>
      </c>
      <c r="P219" s="161" t="str">
        <f>IFERROR(VLOOKUP($B219,TOLSEN!$A:$K,11,FALSE)," ")</f>
        <v xml:space="preserve"> </v>
      </c>
    </row>
    <row r="220" spans="2:16" ht="52.5" customHeight="1">
      <c r="B220" s="25"/>
      <c r="C220" s="138"/>
      <c r="D220" s="110"/>
      <c r="E220" s="110"/>
      <c r="F220" s="60" t="str">
        <f>IFERROR(VLOOKUP(B220,TOLSEN!A:D,3,FALSE),"0")</f>
        <v>0</v>
      </c>
      <c r="G220" s="61" t="str">
        <f>IFERROR(VLOOKUP(B220,TOLSEN!A:D,4,FALSE),"0")</f>
        <v>0</v>
      </c>
      <c r="H220" s="62" t="str">
        <f>IFERROR(VLOOKUP(B220,TOLSEN!A:K,6,FALSE),"0")</f>
        <v>0</v>
      </c>
      <c r="I220" s="62" t="str">
        <f>IFERROR(VLOOKUP(B220,TOLSEN!A:AC,7,FALSE),"0")</f>
        <v>0</v>
      </c>
      <c r="J220" s="63">
        <f t="shared" si="6"/>
        <v>0</v>
      </c>
      <c r="K220" s="107" t="e">
        <f t="shared" si="7"/>
        <v>#VALUE!</v>
      </c>
      <c r="L220" s="148">
        <f>IFERROR(VLOOKUP($B220,TOLSEN!A:I,8,FALSE),0)</f>
        <v>0</v>
      </c>
      <c r="M220" s="148">
        <f>IFERROR(VLOOKUP($B220,TOLSEN!A:K,9,FALSE),0)</f>
        <v>0</v>
      </c>
      <c r="N220" s="94" t="str">
        <f>IFERROR(VLOOKUP(B220,TOLSEN!A:K,5,FALSE)," ")</f>
        <v xml:space="preserve"> </v>
      </c>
      <c r="O220" s="161" t="str">
        <f>IFERROR(VLOOKUP($B220,TOLSEN!$A:$K,10,FALSE)," ")</f>
        <v xml:space="preserve"> </v>
      </c>
      <c r="P220" s="161" t="str">
        <f>IFERROR(VLOOKUP($B220,TOLSEN!$A:$K,11,FALSE)," ")</f>
        <v xml:space="preserve"> </v>
      </c>
    </row>
    <row r="221" spans="2:16" ht="52.5" customHeight="1">
      <c r="B221" s="25"/>
      <c r="C221" s="137"/>
      <c r="D221" s="110"/>
      <c r="E221" s="110"/>
      <c r="F221" s="60" t="str">
        <f>IFERROR(VLOOKUP(B221,TOLSEN!A:D,3,FALSE),"0")</f>
        <v>0</v>
      </c>
      <c r="G221" s="61" t="str">
        <f>IFERROR(VLOOKUP(B221,TOLSEN!A:D,4,FALSE),"0")</f>
        <v>0</v>
      </c>
      <c r="H221" s="62" t="str">
        <f>IFERROR(VLOOKUP(B221,TOLSEN!A:K,6,FALSE),"0")</f>
        <v>0</v>
      </c>
      <c r="I221" s="62" t="str">
        <f>IFERROR(VLOOKUP(B221,TOLSEN!A:AC,7,FALSE),"0")</f>
        <v>0</v>
      </c>
      <c r="J221" s="63">
        <f t="shared" si="6"/>
        <v>0</v>
      </c>
      <c r="K221" s="107" t="e">
        <f t="shared" si="7"/>
        <v>#VALUE!</v>
      </c>
      <c r="L221" s="148">
        <f>IFERROR(VLOOKUP($B221,TOLSEN!A:I,8,FALSE),0)</f>
        <v>0</v>
      </c>
      <c r="M221" s="148">
        <f>IFERROR(VLOOKUP($B221,TOLSEN!A:K,9,FALSE),0)</f>
        <v>0</v>
      </c>
      <c r="N221" s="94" t="str">
        <f>IFERROR(VLOOKUP(B221,TOLSEN!A:K,5,FALSE)," ")</f>
        <v xml:space="preserve"> </v>
      </c>
      <c r="O221" s="161" t="str">
        <f>IFERROR(VLOOKUP($B221,TOLSEN!$A:$K,10,FALSE)," ")</f>
        <v xml:space="preserve"> </v>
      </c>
      <c r="P221" s="161" t="str">
        <f>IFERROR(VLOOKUP($B221,TOLSEN!$A:$K,11,FALSE)," ")</f>
        <v xml:space="preserve"> </v>
      </c>
    </row>
    <row r="222" spans="2:16" ht="52.5" customHeight="1">
      <c r="B222" s="25"/>
      <c r="C222" s="138"/>
      <c r="D222" s="110"/>
      <c r="E222" s="110"/>
      <c r="F222" s="60" t="str">
        <f>IFERROR(VLOOKUP(B222,TOLSEN!A:D,3,FALSE),"0")</f>
        <v>0</v>
      </c>
      <c r="G222" s="61" t="str">
        <f>IFERROR(VLOOKUP(B222,TOLSEN!A:D,4,FALSE),"0")</f>
        <v>0</v>
      </c>
      <c r="H222" s="62" t="str">
        <f>IFERROR(VLOOKUP(B222,TOLSEN!A:K,6,FALSE),"0")</f>
        <v>0</v>
      </c>
      <c r="I222" s="62" t="str">
        <f>IFERROR(VLOOKUP(B222,TOLSEN!A:AC,7,FALSE),"0")</f>
        <v>0</v>
      </c>
      <c r="J222" s="63">
        <f t="shared" si="6"/>
        <v>0</v>
      </c>
      <c r="K222" s="107" t="e">
        <f t="shared" si="7"/>
        <v>#VALUE!</v>
      </c>
      <c r="L222" s="148">
        <f>IFERROR(VLOOKUP($B222,TOLSEN!A:I,8,FALSE),0)</f>
        <v>0</v>
      </c>
      <c r="M222" s="148">
        <f>IFERROR(VLOOKUP($B222,TOLSEN!A:K,9,FALSE),0)</f>
        <v>0</v>
      </c>
      <c r="N222" s="94" t="str">
        <f>IFERROR(VLOOKUP(B222,TOLSEN!A:K,5,FALSE)," ")</f>
        <v xml:space="preserve"> </v>
      </c>
      <c r="O222" s="161" t="str">
        <f>IFERROR(VLOOKUP($B222,TOLSEN!$A:$K,10,FALSE)," ")</f>
        <v xml:space="preserve"> </v>
      </c>
      <c r="P222" s="161" t="str">
        <f>IFERROR(VLOOKUP($B222,TOLSEN!$A:$K,11,FALSE)," ")</f>
        <v xml:space="preserve"> </v>
      </c>
    </row>
    <row r="223" spans="2:16" ht="52.5" customHeight="1">
      <c r="B223" s="25"/>
      <c r="C223" s="137"/>
      <c r="D223" s="110"/>
      <c r="E223" s="110"/>
      <c r="F223" s="60" t="str">
        <f>IFERROR(VLOOKUP(B223,TOLSEN!A:D,3,FALSE),"0")</f>
        <v>0</v>
      </c>
      <c r="G223" s="61" t="str">
        <f>IFERROR(VLOOKUP(B223,TOLSEN!A:D,4,FALSE),"0")</f>
        <v>0</v>
      </c>
      <c r="H223" s="62" t="str">
        <f>IFERROR(VLOOKUP(B223,TOLSEN!A:K,6,FALSE),"0")</f>
        <v>0</v>
      </c>
      <c r="I223" s="62" t="str">
        <f>IFERROR(VLOOKUP(B223,TOLSEN!A:AC,7,FALSE),"0")</f>
        <v>0</v>
      </c>
      <c r="J223" s="63">
        <f t="shared" si="6"/>
        <v>0</v>
      </c>
      <c r="K223" s="107" t="e">
        <f t="shared" si="7"/>
        <v>#VALUE!</v>
      </c>
      <c r="L223" s="148">
        <f>IFERROR(VLOOKUP($B223,TOLSEN!A:I,8,FALSE),0)</f>
        <v>0</v>
      </c>
      <c r="M223" s="148">
        <f>IFERROR(VLOOKUP($B223,TOLSEN!A:K,9,FALSE),0)</f>
        <v>0</v>
      </c>
      <c r="N223" s="94" t="str">
        <f>IFERROR(VLOOKUP(B223,TOLSEN!A:K,5,FALSE)," ")</f>
        <v xml:space="preserve"> </v>
      </c>
      <c r="O223" s="161" t="str">
        <f>IFERROR(VLOOKUP($B223,TOLSEN!$A:$K,10,FALSE)," ")</f>
        <v xml:space="preserve"> </v>
      </c>
      <c r="P223" s="161" t="str">
        <f>IFERROR(VLOOKUP($B223,TOLSEN!$A:$K,11,FALSE)," ")</f>
        <v xml:space="preserve"> </v>
      </c>
    </row>
    <row r="224" spans="2:16" ht="52.5" customHeight="1">
      <c r="B224" s="25"/>
      <c r="C224" s="138"/>
      <c r="D224" s="110"/>
      <c r="E224" s="110"/>
      <c r="F224" s="60" t="str">
        <f>IFERROR(VLOOKUP(B224,TOLSEN!A:D,3,FALSE),"0")</f>
        <v>0</v>
      </c>
      <c r="G224" s="61" t="str">
        <f>IFERROR(VLOOKUP(B224,TOLSEN!A:D,4,FALSE),"0")</f>
        <v>0</v>
      </c>
      <c r="H224" s="62" t="str">
        <f>IFERROR(VLOOKUP(B224,TOLSEN!A:K,6,FALSE),"0")</f>
        <v>0</v>
      </c>
      <c r="I224" s="62" t="str">
        <f>IFERROR(VLOOKUP(B224,TOLSEN!A:AC,7,FALSE),"0")</f>
        <v>0</v>
      </c>
      <c r="J224" s="63">
        <f t="shared" si="6"/>
        <v>0</v>
      </c>
      <c r="K224" s="107" t="e">
        <f t="shared" si="7"/>
        <v>#VALUE!</v>
      </c>
      <c r="L224" s="148">
        <f>IFERROR(VLOOKUP($B224,TOLSEN!A:I,8,FALSE),0)</f>
        <v>0</v>
      </c>
      <c r="M224" s="148">
        <f>IFERROR(VLOOKUP($B224,TOLSEN!A:K,9,FALSE),0)</f>
        <v>0</v>
      </c>
      <c r="N224" s="94" t="str">
        <f>IFERROR(VLOOKUP(B224,TOLSEN!A:K,5,FALSE)," ")</f>
        <v xml:space="preserve"> </v>
      </c>
      <c r="O224" s="161" t="str">
        <f>IFERROR(VLOOKUP($B224,TOLSEN!$A:$K,10,FALSE)," ")</f>
        <v xml:space="preserve"> </v>
      </c>
      <c r="P224" s="161" t="str">
        <f>IFERROR(VLOOKUP($B224,TOLSEN!$A:$K,11,FALSE)," ")</f>
        <v xml:space="preserve"> </v>
      </c>
    </row>
    <row r="225" spans="2:16" ht="52.5" customHeight="1">
      <c r="B225" s="25"/>
      <c r="C225" s="137"/>
      <c r="D225" s="110"/>
      <c r="E225" s="110"/>
      <c r="F225" s="60" t="str">
        <f>IFERROR(VLOOKUP(B225,TOLSEN!A:D,3,FALSE),"0")</f>
        <v>0</v>
      </c>
      <c r="G225" s="61" t="str">
        <f>IFERROR(VLOOKUP(B225,TOLSEN!A:D,4,FALSE),"0")</f>
        <v>0</v>
      </c>
      <c r="H225" s="62" t="str">
        <f>IFERROR(VLOOKUP(B225,TOLSEN!A:K,6,FALSE),"0")</f>
        <v>0</v>
      </c>
      <c r="I225" s="62" t="str">
        <f>IFERROR(VLOOKUP(B225,TOLSEN!A:AC,7,FALSE),"0")</f>
        <v>0</v>
      </c>
      <c r="J225" s="63">
        <f t="shared" si="6"/>
        <v>0</v>
      </c>
      <c r="K225" s="107" t="e">
        <f t="shared" si="7"/>
        <v>#VALUE!</v>
      </c>
      <c r="L225" s="148">
        <f>IFERROR(VLOOKUP($B225,TOLSEN!A:I,8,FALSE),0)</f>
        <v>0</v>
      </c>
      <c r="M225" s="148">
        <f>IFERROR(VLOOKUP($B225,TOLSEN!A:K,9,FALSE),0)</f>
        <v>0</v>
      </c>
      <c r="N225" s="94" t="str">
        <f>IFERROR(VLOOKUP(B225,TOLSEN!A:K,5,FALSE)," ")</f>
        <v xml:space="preserve"> </v>
      </c>
      <c r="O225" s="161" t="str">
        <f>IFERROR(VLOOKUP($B225,TOLSEN!$A:$K,10,FALSE)," ")</f>
        <v xml:space="preserve"> </v>
      </c>
      <c r="P225" s="161" t="str">
        <f>IFERROR(VLOOKUP($B225,TOLSEN!$A:$K,11,FALSE)," ")</f>
        <v xml:space="preserve"> </v>
      </c>
    </row>
    <row r="226" spans="2:16" ht="52.5" customHeight="1">
      <c r="B226" s="25"/>
      <c r="C226" s="138"/>
      <c r="D226" s="110"/>
      <c r="E226" s="110"/>
      <c r="F226" s="60" t="str">
        <f>IFERROR(VLOOKUP(B226,TOLSEN!A:D,3,FALSE),"0")</f>
        <v>0</v>
      </c>
      <c r="G226" s="61" t="str">
        <f>IFERROR(VLOOKUP(B226,TOLSEN!A:D,4,FALSE),"0")</f>
        <v>0</v>
      </c>
      <c r="H226" s="62" t="str">
        <f>IFERROR(VLOOKUP(B226,TOLSEN!A:K,6,FALSE),"0")</f>
        <v>0</v>
      </c>
      <c r="I226" s="62" t="str">
        <f>IFERROR(VLOOKUP(B226,TOLSEN!A:AC,7,FALSE),"0")</f>
        <v>0</v>
      </c>
      <c r="J226" s="63">
        <f t="shared" si="6"/>
        <v>0</v>
      </c>
      <c r="K226" s="107" t="e">
        <f t="shared" si="7"/>
        <v>#VALUE!</v>
      </c>
      <c r="L226" s="148">
        <f>IFERROR(VLOOKUP($B226,TOLSEN!A:I,8,FALSE),0)</f>
        <v>0</v>
      </c>
      <c r="M226" s="148">
        <f>IFERROR(VLOOKUP($B226,TOLSEN!A:K,9,FALSE),0)</f>
        <v>0</v>
      </c>
      <c r="N226" s="94" t="str">
        <f>IFERROR(VLOOKUP(B226,TOLSEN!A:K,5,FALSE)," ")</f>
        <v xml:space="preserve"> </v>
      </c>
      <c r="O226" s="161" t="str">
        <f>IFERROR(VLOOKUP($B226,TOLSEN!$A:$K,10,FALSE)," ")</f>
        <v xml:space="preserve"> </v>
      </c>
      <c r="P226" s="161" t="str">
        <f>IFERROR(VLOOKUP($B226,TOLSEN!$A:$K,11,FALSE)," ")</f>
        <v xml:space="preserve"> </v>
      </c>
    </row>
    <row r="227" spans="2:16" ht="52.5" customHeight="1">
      <c r="B227" s="25"/>
      <c r="C227" s="137"/>
      <c r="D227" s="110"/>
      <c r="E227" s="110"/>
      <c r="F227" s="60" t="str">
        <f>IFERROR(VLOOKUP(B227,TOLSEN!A:D,3,FALSE),"0")</f>
        <v>0</v>
      </c>
      <c r="G227" s="61" t="str">
        <f>IFERROR(VLOOKUP(B227,TOLSEN!A:D,4,FALSE),"0")</f>
        <v>0</v>
      </c>
      <c r="H227" s="62" t="str">
        <f>IFERROR(VLOOKUP(B227,TOLSEN!A:K,6,FALSE),"0")</f>
        <v>0</v>
      </c>
      <c r="I227" s="62" t="str">
        <f>IFERROR(VLOOKUP(B227,TOLSEN!A:AC,7,FALSE),"0")</f>
        <v>0</v>
      </c>
      <c r="J227" s="63">
        <f t="shared" si="6"/>
        <v>0</v>
      </c>
      <c r="K227" s="107" t="e">
        <f t="shared" si="7"/>
        <v>#VALUE!</v>
      </c>
      <c r="L227" s="148">
        <f>IFERROR(VLOOKUP($B227,TOLSEN!A:I,8,FALSE),0)</f>
        <v>0</v>
      </c>
      <c r="M227" s="148">
        <f>IFERROR(VLOOKUP($B227,TOLSEN!A:K,9,FALSE),0)</f>
        <v>0</v>
      </c>
      <c r="N227" s="94" t="str">
        <f>IFERROR(VLOOKUP(B227,TOLSEN!A:K,5,FALSE)," ")</f>
        <v xml:space="preserve"> </v>
      </c>
      <c r="O227" s="161" t="str">
        <f>IFERROR(VLOOKUP($B227,TOLSEN!$A:$K,10,FALSE)," ")</f>
        <v xml:space="preserve"> </v>
      </c>
      <c r="P227" s="161" t="str">
        <f>IFERROR(VLOOKUP($B227,TOLSEN!$A:$K,11,FALSE)," ")</f>
        <v xml:space="preserve"> </v>
      </c>
    </row>
    <row r="228" spans="2:16" ht="52.5" customHeight="1">
      <c r="B228" s="25"/>
      <c r="C228" s="138"/>
      <c r="D228" s="110"/>
      <c r="E228" s="110"/>
      <c r="F228" s="60" t="str">
        <f>IFERROR(VLOOKUP(B228,TOLSEN!A:D,3,FALSE),"0")</f>
        <v>0</v>
      </c>
      <c r="G228" s="61" t="str">
        <f>IFERROR(VLOOKUP(B228,TOLSEN!A:D,4,FALSE),"0")</f>
        <v>0</v>
      </c>
      <c r="H228" s="62" t="str">
        <f>IFERROR(VLOOKUP(B228,TOLSEN!A:K,6,FALSE),"0")</f>
        <v>0</v>
      </c>
      <c r="I228" s="62" t="str">
        <f>IFERROR(VLOOKUP(B228,TOLSEN!A:AC,7,FALSE),"0")</f>
        <v>0</v>
      </c>
      <c r="J228" s="63">
        <f t="shared" si="6"/>
        <v>0</v>
      </c>
      <c r="K228" s="107" t="e">
        <f t="shared" si="7"/>
        <v>#VALUE!</v>
      </c>
      <c r="L228" s="148">
        <f>IFERROR(VLOOKUP($B228,TOLSEN!A:I,8,FALSE),0)</f>
        <v>0</v>
      </c>
      <c r="M228" s="148">
        <f>IFERROR(VLOOKUP($B228,TOLSEN!A:K,9,FALSE),0)</f>
        <v>0</v>
      </c>
      <c r="N228" s="94" t="str">
        <f>IFERROR(VLOOKUP(B228,TOLSEN!A:K,5,FALSE)," ")</f>
        <v xml:space="preserve"> </v>
      </c>
      <c r="O228" s="161" t="str">
        <f>IFERROR(VLOOKUP($B228,TOLSEN!$A:$K,10,FALSE)," ")</f>
        <v xml:space="preserve"> </v>
      </c>
      <c r="P228" s="161" t="str">
        <f>IFERROR(VLOOKUP($B228,TOLSEN!$A:$K,11,FALSE)," ")</f>
        <v xml:space="preserve"> </v>
      </c>
    </row>
    <row r="229" spans="2:16" ht="52.5" customHeight="1">
      <c r="B229" s="25"/>
      <c r="C229" s="137"/>
      <c r="D229" s="110"/>
      <c r="E229" s="110"/>
      <c r="F229" s="60" t="str">
        <f>IFERROR(VLOOKUP(B229,TOLSEN!A:D,3,FALSE),"0")</f>
        <v>0</v>
      </c>
      <c r="G229" s="61" t="str">
        <f>IFERROR(VLOOKUP(B229,TOLSEN!A:D,4,FALSE),"0")</f>
        <v>0</v>
      </c>
      <c r="H229" s="62" t="str">
        <f>IFERROR(VLOOKUP(B229,TOLSEN!A:K,6,FALSE),"0")</f>
        <v>0</v>
      </c>
      <c r="I229" s="62" t="str">
        <f>IFERROR(VLOOKUP(B229,TOLSEN!A:AC,7,FALSE),"0")</f>
        <v>0</v>
      </c>
      <c r="J229" s="63">
        <f t="shared" si="6"/>
        <v>0</v>
      </c>
      <c r="K229" s="107" t="e">
        <f t="shared" si="7"/>
        <v>#VALUE!</v>
      </c>
      <c r="L229" s="148">
        <f>IFERROR(VLOOKUP($B229,TOLSEN!A:I,8,FALSE),0)</f>
        <v>0</v>
      </c>
      <c r="M229" s="148">
        <f>IFERROR(VLOOKUP($B229,TOLSEN!A:K,9,FALSE),0)</f>
        <v>0</v>
      </c>
      <c r="N229" s="94" t="str">
        <f>IFERROR(VLOOKUP(B229,TOLSEN!A:K,5,FALSE)," ")</f>
        <v xml:space="preserve"> </v>
      </c>
      <c r="O229" s="161" t="str">
        <f>IFERROR(VLOOKUP($B229,TOLSEN!$A:$K,10,FALSE)," ")</f>
        <v xml:space="preserve"> </v>
      </c>
      <c r="P229" s="161" t="str">
        <f>IFERROR(VLOOKUP($B229,TOLSEN!$A:$K,11,FALSE)," ")</f>
        <v xml:space="preserve"> </v>
      </c>
    </row>
    <row r="230" spans="2:16" ht="52.5" customHeight="1">
      <c r="B230" s="26"/>
      <c r="C230" s="138"/>
      <c r="D230" s="110"/>
      <c r="E230" s="110"/>
      <c r="F230" s="60" t="str">
        <f>IFERROR(VLOOKUP(B230,TOLSEN!A:D,3,FALSE),"0")</f>
        <v>0</v>
      </c>
      <c r="G230" s="61" t="str">
        <f>IFERROR(VLOOKUP(B230,TOLSEN!A:D,4,FALSE),"0")</f>
        <v>0</v>
      </c>
      <c r="H230" s="62" t="str">
        <f>IFERROR(VLOOKUP(B230,TOLSEN!A:K,6,FALSE),"0")</f>
        <v>0</v>
      </c>
      <c r="I230" s="62" t="str">
        <f>IFERROR(VLOOKUP(B230,TOLSEN!A:AC,7,FALSE),"0")</f>
        <v>0</v>
      </c>
      <c r="J230" s="63">
        <f t="shared" si="6"/>
        <v>0</v>
      </c>
      <c r="K230" s="107" t="e">
        <f t="shared" si="7"/>
        <v>#VALUE!</v>
      </c>
      <c r="L230" s="148">
        <f>IFERROR(VLOOKUP($B230,TOLSEN!A:I,8,FALSE),0)</f>
        <v>0</v>
      </c>
      <c r="M230" s="148">
        <f>IFERROR(VLOOKUP($B230,TOLSEN!A:K,9,FALSE),0)</f>
        <v>0</v>
      </c>
      <c r="N230" s="94" t="str">
        <f>IFERROR(VLOOKUP(B230,TOLSEN!A:K,5,FALSE)," ")</f>
        <v xml:space="preserve"> </v>
      </c>
      <c r="O230" s="161" t="str">
        <f>IFERROR(VLOOKUP($B230,TOLSEN!$A:$K,10,FALSE)," ")</f>
        <v xml:space="preserve"> </v>
      </c>
      <c r="P230" s="161" t="str">
        <f>IFERROR(VLOOKUP($B230,TOLSEN!$A:$K,11,FALSE)," ")</f>
        <v xml:space="preserve"> </v>
      </c>
    </row>
    <row r="231" spans="2:16" ht="52.5" customHeight="1">
      <c r="B231" s="26"/>
      <c r="C231" s="137"/>
      <c r="D231" s="110"/>
      <c r="E231" s="110"/>
      <c r="F231" s="60" t="str">
        <f>IFERROR(VLOOKUP(B231,TOLSEN!A:D,3,FALSE),"0")</f>
        <v>0</v>
      </c>
      <c r="G231" s="61" t="str">
        <f>IFERROR(VLOOKUP(B231,TOLSEN!A:D,4,FALSE),"0")</f>
        <v>0</v>
      </c>
      <c r="H231" s="62" t="str">
        <f>IFERROR(VLOOKUP(B231,TOLSEN!A:K,6,FALSE),"0")</f>
        <v>0</v>
      </c>
      <c r="I231" s="62" t="str">
        <f>IFERROR(VLOOKUP(B231,TOLSEN!A:AC,7,FALSE),"0")</f>
        <v>0</v>
      </c>
      <c r="J231" s="63">
        <f t="shared" si="6"/>
        <v>0</v>
      </c>
      <c r="K231" s="107" t="e">
        <f t="shared" si="7"/>
        <v>#VALUE!</v>
      </c>
      <c r="L231" s="148">
        <f>IFERROR(VLOOKUP($B231,TOLSEN!A:I,8,FALSE),0)</f>
        <v>0</v>
      </c>
      <c r="M231" s="148">
        <f>IFERROR(VLOOKUP($B231,TOLSEN!A:K,9,FALSE),0)</f>
        <v>0</v>
      </c>
      <c r="N231" s="94" t="str">
        <f>IFERROR(VLOOKUP(B231,TOLSEN!A:K,5,FALSE)," ")</f>
        <v xml:space="preserve"> </v>
      </c>
      <c r="O231" s="161" t="str">
        <f>IFERROR(VLOOKUP($B231,TOLSEN!$A:$K,10,FALSE)," ")</f>
        <v xml:space="preserve"> </v>
      </c>
      <c r="P231" s="161" t="str">
        <f>IFERROR(VLOOKUP($B231,TOLSEN!$A:$K,11,FALSE)," ")</f>
        <v xml:space="preserve"> </v>
      </c>
    </row>
    <row r="232" spans="2:16" ht="52.5" customHeight="1">
      <c r="B232" s="25"/>
      <c r="C232" s="138"/>
      <c r="D232" s="110"/>
      <c r="E232" s="110"/>
      <c r="F232" s="60" t="str">
        <f>IFERROR(VLOOKUP(B232,TOLSEN!A:D,3,FALSE),"0")</f>
        <v>0</v>
      </c>
      <c r="G232" s="61" t="str">
        <f>IFERROR(VLOOKUP(B232,TOLSEN!A:D,4,FALSE),"0")</f>
        <v>0</v>
      </c>
      <c r="H232" s="62" t="str">
        <f>IFERROR(VLOOKUP(B232,TOLSEN!A:K,6,FALSE),"0")</f>
        <v>0</v>
      </c>
      <c r="I232" s="62" t="str">
        <f>IFERROR(VLOOKUP(B232,TOLSEN!A:AC,7,FALSE),"0")</f>
        <v>0</v>
      </c>
      <c r="J232" s="63">
        <f t="shared" si="6"/>
        <v>0</v>
      </c>
      <c r="K232" s="107" t="e">
        <f t="shared" si="7"/>
        <v>#VALUE!</v>
      </c>
      <c r="L232" s="148">
        <f>IFERROR(VLOOKUP($B232,TOLSEN!A:I,8,FALSE),0)</f>
        <v>0</v>
      </c>
      <c r="M232" s="148">
        <f>IFERROR(VLOOKUP($B232,TOLSEN!A:K,9,FALSE),0)</f>
        <v>0</v>
      </c>
      <c r="N232" s="94" t="str">
        <f>IFERROR(VLOOKUP(B232,TOLSEN!A:K,5,FALSE)," ")</f>
        <v xml:space="preserve"> </v>
      </c>
      <c r="O232" s="161" t="str">
        <f>IFERROR(VLOOKUP($B232,TOLSEN!$A:$K,10,FALSE)," ")</f>
        <v xml:space="preserve"> </v>
      </c>
      <c r="P232" s="161" t="str">
        <f>IFERROR(VLOOKUP($B232,TOLSEN!$A:$K,11,FALSE)," ")</f>
        <v xml:space="preserve"> </v>
      </c>
    </row>
    <row r="233" spans="2:16" ht="52.5" customHeight="1">
      <c r="B233" s="25"/>
      <c r="C233" s="137"/>
      <c r="D233" s="110"/>
      <c r="E233" s="110"/>
      <c r="F233" s="60" t="str">
        <f>IFERROR(VLOOKUP(B233,TOLSEN!A:D,3,FALSE),"0")</f>
        <v>0</v>
      </c>
      <c r="G233" s="61" t="str">
        <f>IFERROR(VLOOKUP(B233,TOLSEN!A:D,4,FALSE),"0")</f>
        <v>0</v>
      </c>
      <c r="H233" s="62" t="str">
        <f>IFERROR(VLOOKUP(B233,TOLSEN!A:K,6,FALSE),"0")</f>
        <v>0</v>
      </c>
      <c r="I233" s="62" t="str">
        <f>IFERROR(VLOOKUP(B233,TOLSEN!A:AC,7,FALSE),"0")</f>
        <v>0</v>
      </c>
      <c r="J233" s="63">
        <f t="shared" si="6"/>
        <v>0</v>
      </c>
      <c r="K233" s="107" t="e">
        <f t="shared" si="7"/>
        <v>#VALUE!</v>
      </c>
      <c r="L233" s="148">
        <f>IFERROR(VLOOKUP($B233,TOLSEN!A:I,8,FALSE),0)</f>
        <v>0</v>
      </c>
      <c r="M233" s="148">
        <f>IFERROR(VLOOKUP($B233,TOLSEN!A:K,9,FALSE),0)</f>
        <v>0</v>
      </c>
      <c r="N233" s="94" t="str">
        <f>IFERROR(VLOOKUP(B233,TOLSEN!A:K,5,FALSE)," ")</f>
        <v xml:space="preserve"> </v>
      </c>
      <c r="O233" s="161" t="str">
        <f>IFERROR(VLOOKUP($B233,TOLSEN!$A:$K,10,FALSE)," ")</f>
        <v xml:space="preserve"> </v>
      </c>
      <c r="P233" s="161" t="str">
        <f>IFERROR(VLOOKUP($B233,TOLSEN!$A:$K,11,FALSE)," ")</f>
        <v xml:space="preserve"> </v>
      </c>
    </row>
    <row r="234" spans="2:16" ht="52.5" customHeight="1">
      <c r="B234" s="25"/>
      <c r="C234" s="138"/>
      <c r="D234" s="110"/>
      <c r="E234" s="110"/>
      <c r="F234" s="60" t="str">
        <f>IFERROR(VLOOKUP(B234,TOLSEN!A:D,3,FALSE),"0")</f>
        <v>0</v>
      </c>
      <c r="G234" s="61" t="str">
        <f>IFERROR(VLOOKUP(B234,TOLSEN!A:D,4,FALSE),"0")</f>
        <v>0</v>
      </c>
      <c r="H234" s="62" t="str">
        <f>IFERROR(VLOOKUP(B234,TOLSEN!A:K,6,FALSE),"0")</f>
        <v>0</v>
      </c>
      <c r="I234" s="62" t="str">
        <f>IFERROR(VLOOKUP(B234,TOLSEN!A:AC,7,FALSE),"0")</f>
        <v>0</v>
      </c>
      <c r="J234" s="63">
        <f t="shared" si="6"/>
        <v>0</v>
      </c>
      <c r="K234" s="107" t="e">
        <f t="shared" si="7"/>
        <v>#VALUE!</v>
      </c>
      <c r="L234" s="148">
        <f>IFERROR(VLOOKUP($B234,TOLSEN!A:I,8,FALSE),0)</f>
        <v>0</v>
      </c>
      <c r="M234" s="148">
        <f>IFERROR(VLOOKUP($B234,TOLSEN!A:K,9,FALSE),0)</f>
        <v>0</v>
      </c>
      <c r="N234" s="94" t="str">
        <f>IFERROR(VLOOKUP(B234,TOLSEN!A:K,5,FALSE)," ")</f>
        <v xml:space="preserve"> </v>
      </c>
      <c r="O234" s="161" t="str">
        <f>IFERROR(VLOOKUP($B234,TOLSEN!$A:$K,10,FALSE)," ")</f>
        <v xml:space="preserve"> </v>
      </c>
      <c r="P234" s="161" t="str">
        <f>IFERROR(VLOOKUP($B234,TOLSEN!$A:$K,11,FALSE)," ")</f>
        <v xml:space="preserve"> </v>
      </c>
    </row>
    <row r="235" spans="2:16" ht="52.5" customHeight="1">
      <c r="B235" s="26"/>
      <c r="C235" s="137"/>
      <c r="D235" s="110"/>
      <c r="E235" s="110"/>
      <c r="F235" s="60" t="str">
        <f>IFERROR(VLOOKUP(B235,TOLSEN!A:D,3,FALSE),"0")</f>
        <v>0</v>
      </c>
      <c r="G235" s="61" t="str">
        <f>IFERROR(VLOOKUP(B235,TOLSEN!A:D,4,FALSE),"0")</f>
        <v>0</v>
      </c>
      <c r="H235" s="62" t="str">
        <f>IFERROR(VLOOKUP(B235,TOLSEN!A:K,6,FALSE),"0")</f>
        <v>0</v>
      </c>
      <c r="I235" s="62" t="str">
        <f>IFERROR(VLOOKUP(B235,TOLSEN!A:AC,7,FALSE),"0")</f>
        <v>0</v>
      </c>
      <c r="J235" s="63">
        <f t="shared" si="6"/>
        <v>0</v>
      </c>
      <c r="K235" s="107" t="e">
        <f t="shared" si="7"/>
        <v>#VALUE!</v>
      </c>
      <c r="L235" s="148">
        <f>IFERROR(VLOOKUP($B235,TOLSEN!A:I,8,FALSE),0)</f>
        <v>0</v>
      </c>
      <c r="M235" s="148">
        <f>IFERROR(VLOOKUP($B235,TOLSEN!A:K,9,FALSE),0)</f>
        <v>0</v>
      </c>
      <c r="N235" s="94" t="str">
        <f>IFERROR(VLOOKUP(B235,TOLSEN!A:K,5,FALSE)," ")</f>
        <v xml:space="preserve"> </v>
      </c>
      <c r="O235" s="161" t="str">
        <f>IFERROR(VLOOKUP($B235,TOLSEN!$A:$K,10,FALSE)," ")</f>
        <v xml:space="preserve"> </v>
      </c>
      <c r="P235" s="161" t="str">
        <f>IFERROR(VLOOKUP($B235,TOLSEN!$A:$K,11,FALSE)," ")</f>
        <v xml:space="preserve"> </v>
      </c>
    </row>
    <row r="236" spans="2:16" ht="52.5" customHeight="1">
      <c r="B236" s="25"/>
      <c r="C236" s="138"/>
      <c r="D236" s="110"/>
      <c r="E236" s="110"/>
      <c r="F236" s="60" t="str">
        <f>IFERROR(VLOOKUP(B236,TOLSEN!A:D,3,FALSE),"0")</f>
        <v>0</v>
      </c>
      <c r="G236" s="61" t="str">
        <f>IFERROR(VLOOKUP(B236,TOLSEN!A:D,4,FALSE),"0")</f>
        <v>0</v>
      </c>
      <c r="H236" s="62" t="str">
        <f>IFERROR(VLOOKUP(B236,TOLSEN!A:K,6,FALSE),"0")</f>
        <v>0</v>
      </c>
      <c r="I236" s="62" t="str">
        <f>IFERROR(VLOOKUP(B236,TOLSEN!A:AC,7,FALSE),"0")</f>
        <v>0</v>
      </c>
      <c r="J236" s="63">
        <f t="shared" si="6"/>
        <v>0</v>
      </c>
      <c r="K236" s="107" t="e">
        <f t="shared" si="7"/>
        <v>#VALUE!</v>
      </c>
      <c r="L236" s="148">
        <f>IFERROR(VLOOKUP($B236,TOLSEN!A:I,8,FALSE),0)</f>
        <v>0</v>
      </c>
      <c r="M236" s="148">
        <f>IFERROR(VLOOKUP($B236,TOLSEN!A:K,9,FALSE),0)</f>
        <v>0</v>
      </c>
      <c r="N236" s="94" t="str">
        <f>IFERROR(VLOOKUP(B236,TOLSEN!A:K,5,FALSE)," ")</f>
        <v xml:space="preserve"> </v>
      </c>
      <c r="O236" s="161" t="str">
        <f>IFERROR(VLOOKUP($B236,TOLSEN!$A:$K,10,FALSE)," ")</f>
        <v xml:space="preserve"> </v>
      </c>
      <c r="P236" s="161" t="str">
        <f>IFERROR(VLOOKUP($B236,TOLSEN!$A:$K,11,FALSE)," ")</f>
        <v xml:space="preserve"> </v>
      </c>
    </row>
    <row r="237" spans="2:16" ht="52.5" customHeight="1">
      <c r="B237" s="25"/>
      <c r="C237" s="137"/>
      <c r="D237" s="110"/>
      <c r="E237" s="110"/>
      <c r="F237" s="60" t="str">
        <f>IFERROR(VLOOKUP(B237,TOLSEN!A:D,3,FALSE),"0")</f>
        <v>0</v>
      </c>
      <c r="G237" s="61" t="str">
        <f>IFERROR(VLOOKUP(B237,TOLSEN!A:D,4,FALSE),"0")</f>
        <v>0</v>
      </c>
      <c r="H237" s="62" t="str">
        <f>IFERROR(VLOOKUP(B237,TOLSEN!A:K,6,FALSE),"0")</f>
        <v>0</v>
      </c>
      <c r="I237" s="62" t="str">
        <f>IFERROR(VLOOKUP(B237,TOLSEN!A:AC,7,FALSE),"0")</f>
        <v>0</v>
      </c>
      <c r="J237" s="63">
        <f t="shared" si="6"/>
        <v>0</v>
      </c>
      <c r="K237" s="107" t="e">
        <f t="shared" si="7"/>
        <v>#VALUE!</v>
      </c>
      <c r="L237" s="148">
        <f>IFERROR(VLOOKUP($B237,TOLSEN!A:I,8,FALSE),0)</f>
        <v>0</v>
      </c>
      <c r="M237" s="148">
        <f>IFERROR(VLOOKUP($B237,TOLSEN!A:K,9,FALSE),0)</f>
        <v>0</v>
      </c>
      <c r="N237" s="94" t="str">
        <f>IFERROR(VLOOKUP(B237,TOLSEN!A:K,5,FALSE)," ")</f>
        <v xml:space="preserve"> </v>
      </c>
      <c r="O237" s="161" t="str">
        <f>IFERROR(VLOOKUP($B237,TOLSEN!$A:$K,10,FALSE)," ")</f>
        <v xml:space="preserve"> </v>
      </c>
      <c r="P237" s="161" t="str">
        <f>IFERROR(VLOOKUP($B237,TOLSEN!$A:$K,11,FALSE)," ")</f>
        <v xml:space="preserve"> </v>
      </c>
    </row>
    <row r="238" spans="2:16" ht="52.5" customHeight="1">
      <c r="B238" s="25"/>
      <c r="C238" s="138"/>
      <c r="D238" s="110"/>
      <c r="E238" s="110"/>
      <c r="F238" s="60" t="str">
        <f>IFERROR(VLOOKUP(B238,TOLSEN!A:D,3,FALSE),"0")</f>
        <v>0</v>
      </c>
      <c r="G238" s="61" t="str">
        <f>IFERROR(VLOOKUP(B238,TOLSEN!A:D,4,FALSE),"0")</f>
        <v>0</v>
      </c>
      <c r="H238" s="62" t="str">
        <f>IFERROR(VLOOKUP(B238,TOLSEN!A:K,6,FALSE),"0")</f>
        <v>0</v>
      </c>
      <c r="I238" s="62" t="str">
        <f>IFERROR(VLOOKUP(B238,TOLSEN!A:AC,7,FALSE),"0")</f>
        <v>0</v>
      </c>
      <c r="J238" s="63">
        <f t="shared" si="6"/>
        <v>0</v>
      </c>
      <c r="K238" s="107" t="e">
        <f t="shared" si="7"/>
        <v>#VALUE!</v>
      </c>
      <c r="L238" s="148">
        <f>IFERROR(VLOOKUP($B238,TOLSEN!A:I,8,FALSE),0)</f>
        <v>0</v>
      </c>
      <c r="M238" s="148">
        <f>IFERROR(VLOOKUP($B238,TOLSEN!A:K,9,FALSE),0)</f>
        <v>0</v>
      </c>
      <c r="N238" s="94" t="str">
        <f>IFERROR(VLOOKUP(B238,TOLSEN!A:K,5,FALSE)," ")</f>
        <v xml:space="preserve"> </v>
      </c>
      <c r="O238" s="161" t="str">
        <f>IFERROR(VLOOKUP($B238,TOLSEN!$A:$K,10,FALSE)," ")</f>
        <v xml:space="preserve"> </v>
      </c>
      <c r="P238" s="161" t="str">
        <f>IFERROR(VLOOKUP($B238,TOLSEN!$A:$K,11,FALSE)," ")</f>
        <v xml:space="preserve"> </v>
      </c>
    </row>
    <row r="239" spans="2:16" ht="52.5" customHeight="1">
      <c r="B239" s="25"/>
      <c r="C239" s="137"/>
      <c r="D239" s="110"/>
      <c r="E239" s="110"/>
      <c r="F239" s="60" t="str">
        <f>IFERROR(VLOOKUP(B239,TOLSEN!A:D,3,FALSE),"0")</f>
        <v>0</v>
      </c>
      <c r="G239" s="61" t="str">
        <f>IFERROR(VLOOKUP(B239,TOLSEN!A:D,4,FALSE),"0")</f>
        <v>0</v>
      </c>
      <c r="H239" s="62" t="str">
        <f>IFERROR(VLOOKUP(B239,TOLSEN!A:K,6,FALSE),"0")</f>
        <v>0</v>
      </c>
      <c r="I239" s="62" t="str">
        <f>IFERROR(VLOOKUP(B239,TOLSEN!A:AC,7,FALSE),"0")</f>
        <v>0</v>
      </c>
      <c r="J239" s="63">
        <f t="shared" si="6"/>
        <v>0</v>
      </c>
      <c r="K239" s="107" t="e">
        <f t="shared" si="7"/>
        <v>#VALUE!</v>
      </c>
      <c r="L239" s="148">
        <f>IFERROR(VLOOKUP($B239,TOLSEN!A:I,8,FALSE),0)</f>
        <v>0</v>
      </c>
      <c r="M239" s="148">
        <f>IFERROR(VLOOKUP($B239,TOLSEN!A:K,9,FALSE),0)</f>
        <v>0</v>
      </c>
      <c r="N239" s="94" t="str">
        <f>IFERROR(VLOOKUP(B239,TOLSEN!A:K,5,FALSE)," ")</f>
        <v xml:space="preserve"> </v>
      </c>
      <c r="O239" s="161" t="str">
        <f>IFERROR(VLOOKUP($B239,TOLSEN!$A:$K,10,FALSE)," ")</f>
        <v xml:space="preserve"> </v>
      </c>
      <c r="P239" s="161" t="str">
        <f>IFERROR(VLOOKUP($B239,TOLSEN!$A:$K,11,FALSE)," ")</f>
        <v xml:space="preserve"> </v>
      </c>
    </row>
    <row r="240" spans="2:16" ht="52.5" customHeight="1">
      <c r="B240" s="26"/>
      <c r="C240" s="138"/>
      <c r="D240" s="110"/>
      <c r="E240" s="110"/>
      <c r="F240" s="60" t="str">
        <f>IFERROR(VLOOKUP(B240,TOLSEN!A:D,3,FALSE),"0")</f>
        <v>0</v>
      </c>
      <c r="G240" s="61" t="str">
        <f>IFERROR(VLOOKUP(B240,TOLSEN!A:D,4,FALSE),"0")</f>
        <v>0</v>
      </c>
      <c r="H240" s="62" t="str">
        <f>IFERROR(VLOOKUP(B240,TOLSEN!A:K,6,FALSE),"0")</f>
        <v>0</v>
      </c>
      <c r="I240" s="62" t="str">
        <f>IFERROR(VLOOKUP(B240,TOLSEN!A:AC,7,FALSE),"0")</f>
        <v>0</v>
      </c>
      <c r="J240" s="63">
        <f t="shared" si="6"/>
        <v>0</v>
      </c>
      <c r="K240" s="107" t="e">
        <f t="shared" si="7"/>
        <v>#VALUE!</v>
      </c>
      <c r="L240" s="148">
        <f>IFERROR(VLOOKUP($B240,TOLSEN!A:I,8,FALSE),0)</f>
        <v>0</v>
      </c>
      <c r="M240" s="148">
        <f>IFERROR(VLOOKUP($B240,TOLSEN!A:K,9,FALSE),0)</f>
        <v>0</v>
      </c>
      <c r="N240" s="94" t="str">
        <f>IFERROR(VLOOKUP(B240,TOLSEN!A:K,5,FALSE)," ")</f>
        <v xml:space="preserve"> </v>
      </c>
      <c r="O240" s="161" t="str">
        <f>IFERROR(VLOOKUP($B240,TOLSEN!$A:$K,10,FALSE)," ")</f>
        <v xml:space="preserve"> </v>
      </c>
      <c r="P240" s="161" t="str">
        <f>IFERROR(VLOOKUP($B240,TOLSEN!$A:$K,11,FALSE)," ")</f>
        <v xml:space="preserve"> </v>
      </c>
    </row>
    <row r="241" spans="2:16" ht="52.5" customHeight="1">
      <c r="B241" s="26"/>
      <c r="C241" s="137"/>
      <c r="D241" s="110"/>
      <c r="E241" s="110"/>
      <c r="F241" s="60" t="str">
        <f>IFERROR(VLOOKUP(B241,TOLSEN!A:D,3,FALSE),"0")</f>
        <v>0</v>
      </c>
      <c r="G241" s="61" t="str">
        <f>IFERROR(VLOOKUP(B241,TOLSEN!A:D,4,FALSE),"0")</f>
        <v>0</v>
      </c>
      <c r="H241" s="62" t="str">
        <f>IFERROR(VLOOKUP(B241,TOLSEN!A:K,6,FALSE),"0")</f>
        <v>0</v>
      </c>
      <c r="I241" s="62" t="str">
        <f>IFERROR(VLOOKUP(B241,TOLSEN!A:AC,7,FALSE),"0")</f>
        <v>0</v>
      </c>
      <c r="J241" s="63">
        <f t="shared" si="6"/>
        <v>0</v>
      </c>
      <c r="K241" s="107" t="e">
        <f t="shared" si="7"/>
        <v>#VALUE!</v>
      </c>
      <c r="L241" s="148">
        <f>IFERROR(VLOOKUP($B241,TOLSEN!A:I,8,FALSE),0)</f>
        <v>0</v>
      </c>
      <c r="M241" s="148">
        <f>IFERROR(VLOOKUP($B241,TOLSEN!A:K,9,FALSE),0)</f>
        <v>0</v>
      </c>
      <c r="N241" s="94" t="str">
        <f>IFERROR(VLOOKUP(B241,TOLSEN!A:K,5,FALSE)," ")</f>
        <v xml:space="preserve"> </v>
      </c>
      <c r="O241" s="161" t="str">
        <f>IFERROR(VLOOKUP($B241,TOLSEN!$A:$K,10,FALSE)," ")</f>
        <v xml:space="preserve"> </v>
      </c>
      <c r="P241" s="161" t="str">
        <f>IFERROR(VLOOKUP($B241,TOLSEN!$A:$K,11,FALSE)," ")</f>
        <v xml:space="preserve"> </v>
      </c>
    </row>
    <row r="242" spans="2:16" ht="52.5" customHeight="1">
      <c r="B242" s="26"/>
      <c r="C242" s="138"/>
      <c r="D242" s="110"/>
      <c r="E242" s="110"/>
      <c r="F242" s="60" t="str">
        <f>IFERROR(VLOOKUP(B242,TOLSEN!A:D,3,FALSE),"0")</f>
        <v>0</v>
      </c>
      <c r="G242" s="61" t="str">
        <f>IFERROR(VLOOKUP(B242,TOLSEN!A:D,4,FALSE),"0")</f>
        <v>0</v>
      </c>
      <c r="H242" s="62" t="str">
        <f>IFERROR(VLOOKUP(B242,TOLSEN!A:K,6,FALSE),"0")</f>
        <v>0</v>
      </c>
      <c r="I242" s="62" t="str">
        <f>IFERROR(VLOOKUP(B242,TOLSEN!A:AC,7,FALSE),"0")</f>
        <v>0</v>
      </c>
      <c r="J242" s="63">
        <f t="shared" si="6"/>
        <v>0</v>
      </c>
      <c r="K242" s="107" t="e">
        <f t="shared" si="7"/>
        <v>#VALUE!</v>
      </c>
      <c r="L242" s="148">
        <f>IFERROR(VLOOKUP($B242,TOLSEN!A:I,8,FALSE),0)</f>
        <v>0</v>
      </c>
      <c r="M242" s="148">
        <f>IFERROR(VLOOKUP($B242,TOLSEN!A:K,9,FALSE),0)</f>
        <v>0</v>
      </c>
      <c r="N242" s="94" t="str">
        <f>IFERROR(VLOOKUP(B242,TOLSEN!A:K,5,FALSE)," ")</f>
        <v xml:space="preserve"> </v>
      </c>
      <c r="O242" s="161" t="str">
        <f>IFERROR(VLOOKUP($B242,TOLSEN!$A:$K,10,FALSE)," ")</f>
        <v xml:space="preserve"> </v>
      </c>
      <c r="P242" s="161" t="str">
        <f>IFERROR(VLOOKUP($B242,TOLSEN!$A:$K,11,FALSE)," ")</f>
        <v xml:space="preserve"> </v>
      </c>
    </row>
    <row r="243" spans="2:16" ht="52.5" customHeight="1">
      <c r="B243" s="26"/>
      <c r="C243" s="137"/>
      <c r="D243" s="110"/>
      <c r="E243" s="110"/>
      <c r="F243" s="60" t="str">
        <f>IFERROR(VLOOKUP(B243,TOLSEN!A:D,3,FALSE),"0")</f>
        <v>0</v>
      </c>
      <c r="G243" s="61" t="str">
        <f>IFERROR(VLOOKUP(B243,TOLSEN!A:D,4,FALSE),"0")</f>
        <v>0</v>
      </c>
      <c r="H243" s="62" t="str">
        <f>IFERROR(VLOOKUP(B243,TOLSEN!A:K,6,FALSE),"0")</f>
        <v>0</v>
      </c>
      <c r="I243" s="62" t="str">
        <f>IFERROR(VLOOKUP(B243,TOLSEN!A:AC,7,FALSE),"0")</f>
        <v>0</v>
      </c>
      <c r="J243" s="63">
        <f t="shared" si="6"/>
        <v>0</v>
      </c>
      <c r="K243" s="107" t="e">
        <f t="shared" si="7"/>
        <v>#VALUE!</v>
      </c>
      <c r="L243" s="148">
        <f>IFERROR(VLOOKUP($B243,TOLSEN!A:I,8,FALSE),0)</f>
        <v>0</v>
      </c>
      <c r="M243" s="148">
        <f>IFERROR(VLOOKUP($B243,TOLSEN!A:K,9,FALSE),0)</f>
        <v>0</v>
      </c>
      <c r="N243" s="94" t="str">
        <f>IFERROR(VLOOKUP(B243,TOLSEN!A:K,5,FALSE)," ")</f>
        <v xml:space="preserve"> </v>
      </c>
      <c r="O243" s="161" t="str">
        <f>IFERROR(VLOOKUP($B243,TOLSEN!$A:$K,10,FALSE)," ")</f>
        <v xml:space="preserve"> </v>
      </c>
      <c r="P243" s="161" t="str">
        <f>IFERROR(VLOOKUP($B243,TOLSEN!$A:$K,11,FALSE)," ")</f>
        <v xml:space="preserve"> </v>
      </c>
    </row>
    <row r="244" spans="2:16" ht="52.5" customHeight="1">
      <c r="B244" s="26"/>
      <c r="C244" s="138"/>
      <c r="D244" s="110"/>
      <c r="E244" s="110"/>
      <c r="F244" s="60" t="str">
        <f>IFERROR(VLOOKUP(B244,TOLSEN!A:D,3,FALSE),"0")</f>
        <v>0</v>
      </c>
      <c r="G244" s="61" t="str">
        <f>IFERROR(VLOOKUP(B244,TOLSEN!A:D,4,FALSE),"0")</f>
        <v>0</v>
      </c>
      <c r="H244" s="62" t="str">
        <f>IFERROR(VLOOKUP(B244,TOLSEN!A:K,6,FALSE),"0")</f>
        <v>0</v>
      </c>
      <c r="I244" s="62" t="str">
        <f>IFERROR(VLOOKUP(B244,TOLSEN!A:AC,7,FALSE),"0")</f>
        <v>0</v>
      </c>
      <c r="J244" s="63">
        <f t="shared" si="6"/>
        <v>0</v>
      </c>
      <c r="K244" s="107" t="e">
        <f t="shared" si="7"/>
        <v>#VALUE!</v>
      </c>
      <c r="L244" s="148">
        <f>IFERROR(VLOOKUP($B244,TOLSEN!A:I,8,FALSE),0)</f>
        <v>0</v>
      </c>
      <c r="M244" s="148">
        <f>IFERROR(VLOOKUP($B244,TOLSEN!A:K,9,FALSE),0)</f>
        <v>0</v>
      </c>
      <c r="N244" s="94" t="str">
        <f>IFERROR(VLOOKUP(B244,TOLSEN!A:K,5,FALSE)," ")</f>
        <v xml:space="preserve"> </v>
      </c>
      <c r="O244" s="161" t="str">
        <f>IFERROR(VLOOKUP($B244,TOLSEN!$A:$K,10,FALSE)," ")</f>
        <v xml:space="preserve"> </v>
      </c>
      <c r="P244" s="161" t="str">
        <f>IFERROR(VLOOKUP($B244,TOLSEN!$A:$K,11,FALSE)," ")</f>
        <v xml:space="preserve"> </v>
      </c>
    </row>
    <row r="245" spans="2:16" ht="52.5" customHeight="1">
      <c r="B245" s="26"/>
      <c r="C245" s="137"/>
      <c r="D245" s="110"/>
      <c r="E245" s="110"/>
      <c r="F245" s="60" t="str">
        <f>IFERROR(VLOOKUP(B245,TOLSEN!A:D,3,FALSE),"0")</f>
        <v>0</v>
      </c>
      <c r="G245" s="61" t="str">
        <f>IFERROR(VLOOKUP(B245,TOLSEN!A:D,4,FALSE),"0")</f>
        <v>0</v>
      </c>
      <c r="H245" s="62" t="str">
        <f>IFERROR(VLOOKUP(B245,TOLSEN!A:K,6,FALSE),"0")</f>
        <v>0</v>
      </c>
      <c r="I245" s="62" t="str">
        <f>IFERROR(VLOOKUP(B245,TOLSEN!A:AC,7,FALSE),"0")</f>
        <v>0</v>
      </c>
      <c r="J245" s="63">
        <f t="shared" si="6"/>
        <v>0</v>
      </c>
      <c r="K245" s="107" t="e">
        <f t="shared" si="7"/>
        <v>#VALUE!</v>
      </c>
      <c r="L245" s="148">
        <f>IFERROR(VLOOKUP($B245,TOLSEN!A:I,8,FALSE),0)</f>
        <v>0</v>
      </c>
      <c r="M245" s="148">
        <f>IFERROR(VLOOKUP($B245,TOLSEN!A:K,9,FALSE),0)</f>
        <v>0</v>
      </c>
      <c r="N245" s="94" t="str">
        <f>IFERROR(VLOOKUP(B245,TOLSEN!A:K,5,FALSE)," ")</f>
        <v xml:space="preserve"> </v>
      </c>
      <c r="O245" s="161" t="str">
        <f>IFERROR(VLOOKUP($B245,TOLSEN!$A:$K,10,FALSE)," ")</f>
        <v xml:space="preserve"> </v>
      </c>
      <c r="P245" s="161" t="str">
        <f>IFERROR(VLOOKUP($B245,TOLSEN!$A:$K,11,FALSE)," ")</f>
        <v xml:space="preserve"> </v>
      </c>
    </row>
    <row r="246" spans="2:16" ht="52.5" customHeight="1">
      <c r="B246" s="26"/>
      <c r="C246" s="138"/>
      <c r="D246" s="110"/>
      <c r="E246" s="110"/>
      <c r="F246" s="60" t="str">
        <f>IFERROR(VLOOKUP(B246,TOLSEN!A:D,3,FALSE),"0")</f>
        <v>0</v>
      </c>
      <c r="G246" s="61" t="str">
        <f>IFERROR(VLOOKUP(B246,TOLSEN!A:D,4,FALSE),"0")</f>
        <v>0</v>
      </c>
      <c r="H246" s="62" t="str">
        <f>IFERROR(VLOOKUP(B246,TOLSEN!A:K,6,FALSE),"0")</f>
        <v>0</v>
      </c>
      <c r="I246" s="62" t="str">
        <f>IFERROR(VLOOKUP(B246,TOLSEN!A:AC,7,FALSE),"0")</f>
        <v>0</v>
      </c>
      <c r="J246" s="63">
        <f t="shared" si="6"/>
        <v>0</v>
      </c>
      <c r="K246" s="107" t="e">
        <f t="shared" si="7"/>
        <v>#VALUE!</v>
      </c>
      <c r="L246" s="148">
        <f>IFERROR(VLOOKUP($B246,TOLSEN!A:I,8,FALSE),0)</f>
        <v>0</v>
      </c>
      <c r="M246" s="148">
        <f>IFERROR(VLOOKUP($B246,TOLSEN!A:K,9,FALSE),0)</f>
        <v>0</v>
      </c>
      <c r="N246" s="94" t="str">
        <f>IFERROR(VLOOKUP(B246,TOLSEN!A:K,5,FALSE)," ")</f>
        <v xml:space="preserve"> </v>
      </c>
      <c r="O246" s="161" t="str">
        <f>IFERROR(VLOOKUP($B246,TOLSEN!$A:$K,10,FALSE)," ")</f>
        <v xml:space="preserve"> </v>
      </c>
      <c r="P246" s="161" t="str">
        <f>IFERROR(VLOOKUP($B246,TOLSEN!$A:$K,11,FALSE)," ")</f>
        <v xml:space="preserve"> </v>
      </c>
    </row>
    <row r="247" spans="2:16" ht="52.5" customHeight="1">
      <c r="B247" s="26"/>
      <c r="C247" s="137"/>
      <c r="D247" s="110"/>
      <c r="E247" s="110"/>
      <c r="F247" s="60" t="str">
        <f>IFERROR(VLOOKUP(B247,TOLSEN!A:D,3,FALSE),"0")</f>
        <v>0</v>
      </c>
      <c r="G247" s="61" t="str">
        <f>IFERROR(VLOOKUP(B247,TOLSEN!A:D,4,FALSE),"0")</f>
        <v>0</v>
      </c>
      <c r="H247" s="62" t="str">
        <f>IFERROR(VLOOKUP(B247,TOLSEN!A:K,6,FALSE),"0")</f>
        <v>0</v>
      </c>
      <c r="I247" s="62" t="str">
        <f>IFERROR(VLOOKUP(B247,TOLSEN!A:AC,7,FALSE),"0")</f>
        <v>0</v>
      </c>
      <c r="J247" s="63">
        <f t="shared" si="6"/>
        <v>0</v>
      </c>
      <c r="K247" s="107" t="e">
        <f t="shared" si="7"/>
        <v>#VALUE!</v>
      </c>
      <c r="L247" s="148">
        <f>IFERROR(VLOOKUP($B247,TOLSEN!A:I,8,FALSE),0)</f>
        <v>0</v>
      </c>
      <c r="M247" s="148">
        <f>IFERROR(VLOOKUP($B247,TOLSEN!A:K,9,FALSE),0)</f>
        <v>0</v>
      </c>
      <c r="N247" s="94" t="str">
        <f>IFERROR(VLOOKUP(B247,TOLSEN!A:K,5,FALSE)," ")</f>
        <v xml:space="preserve"> </v>
      </c>
      <c r="O247" s="161" t="str">
        <f>IFERROR(VLOOKUP($B247,TOLSEN!$A:$K,10,FALSE)," ")</f>
        <v xml:space="preserve"> </v>
      </c>
      <c r="P247" s="161" t="str">
        <f>IFERROR(VLOOKUP($B247,TOLSEN!$A:$K,11,FALSE)," ")</f>
        <v xml:space="preserve"> </v>
      </c>
    </row>
    <row r="248" spans="2:16" ht="52.5" customHeight="1">
      <c r="B248" s="26"/>
      <c r="C248" s="138"/>
      <c r="D248" s="110"/>
      <c r="E248" s="110"/>
      <c r="F248" s="60" t="str">
        <f>IFERROR(VLOOKUP(B248,TOLSEN!A:D,3,FALSE),"0")</f>
        <v>0</v>
      </c>
      <c r="G248" s="61" t="str">
        <f>IFERROR(VLOOKUP(B248,TOLSEN!A:D,4,FALSE),"0")</f>
        <v>0</v>
      </c>
      <c r="H248" s="62" t="str">
        <f>IFERROR(VLOOKUP(B248,TOLSEN!A:K,6,FALSE),"0")</f>
        <v>0</v>
      </c>
      <c r="I248" s="62" t="str">
        <f>IFERROR(VLOOKUP(B248,TOLSEN!A:AC,7,FALSE),"0")</f>
        <v>0</v>
      </c>
      <c r="J248" s="63">
        <f t="shared" si="6"/>
        <v>0</v>
      </c>
      <c r="K248" s="107" t="e">
        <f t="shared" si="7"/>
        <v>#VALUE!</v>
      </c>
      <c r="L248" s="148">
        <f>IFERROR(VLOOKUP($B248,TOLSEN!A:I,8,FALSE),0)</f>
        <v>0</v>
      </c>
      <c r="M248" s="148">
        <f>IFERROR(VLOOKUP($B248,TOLSEN!A:K,9,FALSE),0)</f>
        <v>0</v>
      </c>
      <c r="N248" s="94" t="str">
        <f>IFERROR(VLOOKUP(B248,TOLSEN!A:K,5,FALSE)," ")</f>
        <v xml:space="preserve"> </v>
      </c>
      <c r="O248" s="161" t="str">
        <f>IFERROR(VLOOKUP($B248,TOLSEN!$A:$K,10,FALSE)," ")</f>
        <v xml:space="preserve"> </v>
      </c>
      <c r="P248" s="161" t="str">
        <f>IFERROR(VLOOKUP($B248,TOLSEN!$A:$K,11,FALSE)," ")</f>
        <v xml:space="preserve"> </v>
      </c>
    </row>
    <row r="249" spans="2:16" ht="52.5" customHeight="1">
      <c r="B249" s="26"/>
      <c r="C249" s="137"/>
      <c r="D249" s="110"/>
      <c r="E249" s="110"/>
      <c r="F249" s="60" t="str">
        <f>IFERROR(VLOOKUP(B249,TOLSEN!A:D,3,FALSE),"0")</f>
        <v>0</v>
      </c>
      <c r="G249" s="61" t="str">
        <f>IFERROR(VLOOKUP(B249,TOLSEN!A:D,4,FALSE),"0")</f>
        <v>0</v>
      </c>
      <c r="H249" s="62" t="str">
        <f>IFERROR(VLOOKUP(B249,TOLSEN!A:K,6,FALSE),"0")</f>
        <v>0</v>
      </c>
      <c r="I249" s="62" t="str">
        <f>IFERROR(VLOOKUP(B249,TOLSEN!A:AC,7,FALSE),"0")</f>
        <v>0</v>
      </c>
      <c r="J249" s="63">
        <f t="shared" si="6"/>
        <v>0</v>
      </c>
      <c r="K249" s="107" t="e">
        <f t="shared" si="7"/>
        <v>#VALUE!</v>
      </c>
      <c r="L249" s="148">
        <f>IFERROR(VLOOKUP($B249,TOLSEN!A:I,8,FALSE),0)</f>
        <v>0</v>
      </c>
      <c r="M249" s="148">
        <f>IFERROR(VLOOKUP($B249,TOLSEN!A:K,9,FALSE),0)</f>
        <v>0</v>
      </c>
      <c r="N249" s="94" t="str">
        <f>IFERROR(VLOOKUP(B249,TOLSEN!A:K,5,FALSE)," ")</f>
        <v xml:space="preserve"> </v>
      </c>
      <c r="O249" s="161" t="str">
        <f>IFERROR(VLOOKUP($B249,TOLSEN!$A:$K,10,FALSE)," ")</f>
        <v xml:space="preserve"> </v>
      </c>
      <c r="P249" s="161" t="str">
        <f>IFERROR(VLOOKUP($B249,TOLSEN!$A:$K,11,FALSE)," ")</f>
        <v xml:space="preserve"> </v>
      </c>
    </row>
    <row r="250" spans="2:16" ht="52.5" customHeight="1">
      <c r="B250" s="26"/>
      <c r="C250" s="138"/>
      <c r="D250" s="110"/>
      <c r="E250" s="110"/>
      <c r="F250" s="60" t="str">
        <f>IFERROR(VLOOKUP(B250,TOLSEN!A:D,3,FALSE),"0")</f>
        <v>0</v>
      </c>
      <c r="G250" s="61" t="str">
        <f>IFERROR(VLOOKUP(B250,TOLSEN!A:D,4,FALSE),"0")</f>
        <v>0</v>
      </c>
      <c r="H250" s="62" t="str">
        <f>IFERROR(VLOOKUP(B250,TOLSEN!A:K,6,FALSE),"0")</f>
        <v>0</v>
      </c>
      <c r="I250" s="62" t="str">
        <f>IFERROR(VLOOKUP(B250,TOLSEN!A:AC,7,FALSE),"0")</f>
        <v>0</v>
      </c>
      <c r="J250" s="63">
        <f t="shared" si="6"/>
        <v>0</v>
      </c>
      <c r="K250" s="107" t="e">
        <f t="shared" si="7"/>
        <v>#VALUE!</v>
      </c>
      <c r="L250" s="148">
        <f>IFERROR(VLOOKUP($B250,TOLSEN!A:I,8,FALSE),0)</f>
        <v>0</v>
      </c>
      <c r="M250" s="148">
        <f>IFERROR(VLOOKUP($B250,TOLSEN!A:K,9,FALSE),0)</f>
        <v>0</v>
      </c>
      <c r="N250" s="94" t="str">
        <f>IFERROR(VLOOKUP(B250,TOLSEN!A:K,5,FALSE)," ")</f>
        <v xml:space="preserve"> </v>
      </c>
      <c r="O250" s="161" t="str">
        <f>IFERROR(VLOOKUP($B250,TOLSEN!$A:$K,10,FALSE)," ")</f>
        <v xml:space="preserve"> </v>
      </c>
      <c r="P250" s="161" t="str">
        <f>IFERROR(VLOOKUP($B250,TOLSEN!$A:$K,11,FALSE)," ")</f>
        <v xml:space="preserve"> </v>
      </c>
    </row>
    <row r="251" spans="2:16" ht="52.5" customHeight="1">
      <c r="B251" s="26"/>
      <c r="C251" s="137"/>
      <c r="D251" s="110"/>
      <c r="E251" s="110"/>
      <c r="F251" s="60" t="str">
        <f>IFERROR(VLOOKUP(B251,TOLSEN!A:D,3,FALSE),"0")</f>
        <v>0</v>
      </c>
      <c r="G251" s="61" t="str">
        <f>IFERROR(VLOOKUP(B251,TOLSEN!A:D,4,FALSE),"0")</f>
        <v>0</v>
      </c>
      <c r="H251" s="62" t="str">
        <f>IFERROR(VLOOKUP(B251,TOLSEN!A:K,6,FALSE),"0")</f>
        <v>0</v>
      </c>
      <c r="I251" s="62" t="str">
        <f>IFERROR(VLOOKUP(B251,TOLSEN!A:AC,7,FALSE),"0")</f>
        <v>0</v>
      </c>
      <c r="J251" s="63">
        <f t="shared" si="6"/>
        <v>0</v>
      </c>
      <c r="K251" s="107" t="e">
        <f t="shared" si="7"/>
        <v>#VALUE!</v>
      </c>
      <c r="L251" s="148">
        <f>IFERROR(VLOOKUP($B251,TOLSEN!A:I,8,FALSE),0)</f>
        <v>0</v>
      </c>
      <c r="M251" s="148">
        <f>IFERROR(VLOOKUP($B251,TOLSEN!A:K,9,FALSE),0)</f>
        <v>0</v>
      </c>
      <c r="N251" s="94" t="str">
        <f>IFERROR(VLOOKUP(B251,TOLSEN!A:K,5,FALSE)," ")</f>
        <v xml:space="preserve"> </v>
      </c>
      <c r="O251" s="161" t="str">
        <f>IFERROR(VLOOKUP($B251,TOLSEN!$A:$K,10,FALSE)," ")</f>
        <v xml:space="preserve"> </v>
      </c>
      <c r="P251" s="161" t="str">
        <f>IFERROR(VLOOKUP($B251,TOLSEN!$A:$K,11,FALSE)," ")</f>
        <v xml:space="preserve"> </v>
      </c>
    </row>
    <row r="252" spans="2:16" ht="52.5" customHeight="1">
      <c r="B252" s="26"/>
      <c r="C252" s="138"/>
      <c r="D252" s="110"/>
      <c r="E252" s="110"/>
      <c r="F252" s="60" t="str">
        <f>IFERROR(VLOOKUP(B252,TOLSEN!A:D,3,FALSE),"0")</f>
        <v>0</v>
      </c>
      <c r="G252" s="61" t="str">
        <f>IFERROR(VLOOKUP(B252,TOLSEN!A:D,4,FALSE),"0")</f>
        <v>0</v>
      </c>
      <c r="H252" s="62" t="str">
        <f>IFERROR(VLOOKUP(B252,TOLSEN!A:K,6,FALSE),"0")</f>
        <v>0</v>
      </c>
      <c r="I252" s="62" t="str">
        <f>IFERROR(VLOOKUP(B252,TOLSEN!A:AC,7,FALSE),"0")</f>
        <v>0</v>
      </c>
      <c r="J252" s="63">
        <f t="shared" si="6"/>
        <v>0</v>
      </c>
      <c r="K252" s="107" t="e">
        <f t="shared" si="7"/>
        <v>#VALUE!</v>
      </c>
      <c r="L252" s="148">
        <f>IFERROR(VLOOKUP($B252,TOLSEN!A:I,8,FALSE),0)</f>
        <v>0</v>
      </c>
      <c r="M252" s="148">
        <f>IFERROR(VLOOKUP($B252,TOLSEN!A:K,9,FALSE),0)</f>
        <v>0</v>
      </c>
      <c r="N252" s="94" t="str">
        <f>IFERROR(VLOOKUP(B252,TOLSEN!A:K,5,FALSE)," ")</f>
        <v xml:space="preserve"> </v>
      </c>
      <c r="O252" s="161" t="str">
        <f>IFERROR(VLOOKUP($B252,TOLSEN!$A:$K,10,FALSE)," ")</f>
        <v xml:space="preserve"> </v>
      </c>
      <c r="P252" s="161" t="str">
        <f>IFERROR(VLOOKUP($B252,TOLSEN!$A:$K,11,FALSE)," ")</f>
        <v xml:space="preserve"> </v>
      </c>
    </row>
    <row r="253" spans="2:16" ht="52.5" customHeight="1">
      <c r="B253" s="26"/>
      <c r="C253" s="137"/>
      <c r="D253" s="110"/>
      <c r="E253" s="110"/>
      <c r="F253" s="60" t="str">
        <f>IFERROR(VLOOKUP(B253,TOLSEN!A:D,3,FALSE),"0")</f>
        <v>0</v>
      </c>
      <c r="G253" s="61" t="str">
        <f>IFERROR(VLOOKUP(B253,TOLSEN!A:D,4,FALSE),"0")</f>
        <v>0</v>
      </c>
      <c r="H253" s="62" t="str">
        <f>IFERROR(VLOOKUP(B253,TOLSEN!A:K,6,FALSE),"0")</f>
        <v>0</v>
      </c>
      <c r="I253" s="62" t="str">
        <f>IFERROR(VLOOKUP(B253,TOLSEN!A:AC,7,FALSE),"0")</f>
        <v>0</v>
      </c>
      <c r="J253" s="63">
        <f t="shared" si="6"/>
        <v>0</v>
      </c>
      <c r="K253" s="107" t="e">
        <f t="shared" si="7"/>
        <v>#VALUE!</v>
      </c>
      <c r="L253" s="148">
        <f>IFERROR(VLOOKUP($B253,TOLSEN!A:I,8,FALSE),0)</f>
        <v>0</v>
      </c>
      <c r="M253" s="148">
        <f>IFERROR(VLOOKUP($B253,TOLSEN!A:K,9,FALSE),0)</f>
        <v>0</v>
      </c>
      <c r="N253" s="94" t="str">
        <f>IFERROR(VLOOKUP(B253,TOLSEN!A:K,5,FALSE)," ")</f>
        <v xml:space="preserve"> </v>
      </c>
      <c r="O253" s="161" t="str">
        <f>IFERROR(VLOOKUP($B253,TOLSEN!$A:$K,10,FALSE)," ")</f>
        <v xml:space="preserve"> </v>
      </c>
      <c r="P253" s="161" t="str">
        <f>IFERROR(VLOOKUP($B253,TOLSEN!$A:$K,11,FALSE)," ")</f>
        <v xml:space="preserve"> </v>
      </c>
    </row>
    <row r="254" spans="2:16" ht="52.5" customHeight="1">
      <c r="B254" s="25"/>
      <c r="C254" s="138"/>
      <c r="D254" s="110"/>
      <c r="E254" s="110"/>
      <c r="F254" s="60" t="str">
        <f>IFERROR(VLOOKUP(B254,TOLSEN!A:D,3,FALSE),"0")</f>
        <v>0</v>
      </c>
      <c r="G254" s="61" t="str">
        <f>IFERROR(VLOOKUP(B254,TOLSEN!A:D,4,FALSE),"0")</f>
        <v>0</v>
      </c>
      <c r="H254" s="62" t="str">
        <f>IFERROR(VLOOKUP(B254,TOLSEN!A:K,6,FALSE),"0")</f>
        <v>0</v>
      </c>
      <c r="I254" s="62" t="str">
        <f>IFERROR(VLOOKUP(B254,TOLSEN!A:AC,7,FALSE),"0")</f>
        <v>0</v>
      </c>
      <c r="J254" s="63">
        <f t="shared" si="6"/>
        <v>0</v>
      </c>
      <c r="K254" s="107" t="e">
        <f t="shared" si="7"/>
        <v>#VALUE!</v>
      </c>
      <c r="L254" s="148">
        <f>IFERROR(VLOOKUP($B254,TOLSEN!A:I,8,FALSE),0)</f>
        <v>0</v>
      </c>
      <c r="M254" s="148">
        <f>IFERROR(VLOOKUP($B254,TOLSEN!A:K,9,FALSE),0)</f>
        <v>0</v>
      </c>
      <c r="N254" s="94" t="str">
        <f>IFERROR(VLOOKUP(B254,TOLSEN!A:K,5,FALSE)," ")</f>
        <v xml:space="preserve"> </v>
      </c>
      <c r="O254" s="161" t="str">
        <f>IFERROR(VLOOKUP($B254,TOLSEN!$A:$K,10,FALSE)," ")</f>
        <v xml:space="preserve"> </v>
      </c>
      <c r="P254" s="161" t="str">
        <f>IFERROR(VLOOKUP($B254,TOLSEN!$A:$K,11,FALSE)," ")</f>
        <v xml:space="preserve"> </v>
      </c>
    </row>
    <row r="255" spans="2:16" ht="52.5" customHeight="1">
      <c r="B255" s="25"/>
      <c r="C255" s="137"/>
      <c r="D255" s="110"/>
      <c r="E255" s="110"/>
      <c r="F255" s="60" t="str">
        <f>IFERROR(VLOOKUP(B255,TOLSEN!A:D,3,FALSE),"0")</f>
        <v>0</v>
      </c>
      <c r="G255" s="61" t="str">
        <f>IFERROR(VLOOKUP(B255,TOLSEN!A:D,4,FALSE),"0")</f>
        <v>0</v>
      </c>
      <c r="H255" s="62" t="str">
        <f>IFERROR(VLOOKUP(B255,TOLSEN!A:K,6,FALSE),"0")</f>
        <v>0</v>
      </c>
      <c r="I255" s="62" t="str">
        <f>IFERROR(VLOOKUP(B255,TOLSEN!A:AC,7,FALSE),"0")</f>
        <v>0</v>
      </c>
      <c r="J255" s="63">
        <f t="shared" si="6"/>
        <v>0</v>
      </c>
      <c r="K255" s="107" t="e">
        <f t="shared" si="7"/>
        <v>#VALUE!</v>
      </c>
      <c r="L255" s="148">
        <f>IFERROR(VLOOKUP($B255,TOLSEN!A:I,8,FALSE),0)</f>
        <v>0</v>
      </c>
      <c r="M255" s="148">
        <f>IFERROR(VLOOKUP($B255,TOLSEN!A:K,9,FALSE),0)</f>
        <v>0</v>
      </c>
      <c r="N255" s="94" t="str">
        <f>IFERROR(VLOOKUP(B255,TOLSEN!A:K,5,FALSE)," ")</f>
        <v xml:space="preserve"> </v>
      </c>
      <c r="O255" s="161" t="str">
        <f>IFERROR(VLOOKUP($B255,TOLSEN!$A:$K,10,FALSE)," ")</f>
        <v xml:space="preserve"> </v>
      </c>
      <c r="P255" s="161" t="str">
        <f>IFERROR(VLOOKUP($B255,TOLSEN!$A:$K,11,FALSE)," ")</f>
        <v xml:space="preserve"> </v>
      </c>
    </row>
    <row r="256" spans="2:16" ht="52.5" customHeight="1">
      <c r="B256" s="25"/>
      <c r="C256" s="138"/>
      <c r="D256" s="110"/>
      <c r="E256" s="110"/>
      <c r="F256" s="60" t="str">
        <f>IFERROR(VLOOKUP(B256,TOLSEN!A:D,3,FALSE),"0")</f>
        <v>0</v>
      </c>
      <c r="G256" s="61" t="str">
        <f>IFERROR(VLOOKUP(B256,TOLSEN!A:D,4,FALSE),"0")</f>
        <v>0</v>
      </c>
      <c r="H256" s="62" t="str">
        <f>IFERROR(VLOOKUP(B256,TOLSEN!A:K,6,FALSE),"0")</f>
        <v>0</v>
      </c>
      <c r="I256" s="62" t="str">
        <f>IFERROR(VLOOKUP(B256,TOLSEN!A:AC,7,FALSE),"0")</f>
        <v>0</v>
      </c>
      <c r="J256" s="63">
        <f t="shared" si="6"/>
        <v>0</v>
      </c>
      <c r="K256" s="107" t="e">
        <f t="shared" si="7"/>
        <v>#VALUE!</v>
      </c>
      <c r="L256" s="148">
        <f>IFERROR(VLOOKUP($B256,TOLSEN!A:I,8,FALSE),0)</f>
        <v>0</v>
      </c>
      <c r="M256" s="148">
        <f>IFERROR(VLOOKUP($B256,TOLSEN!A:K,9,FALSE),0)</f>
        <v>0</v>
      </c>
      <c r="N256" s="94" t="str">
        <f>IFERROR(VLOOKUP(B256,TOLSEN!A:K,5,FALSE)," ")</f>
        <v xml:space="preserve"> </v>
      </c>
      <c r="O256" s="161" t="str">
        <f>IFERROR(VLOOKUP($B256,TOLSEN!$A:$K,10,FALSE)," ")</f>
        <v xml:space="preserve"> </v>
      </c>
      <c r="P256" s="161" t="str">
        <f>IFERROR(VLOOKUP($B256,TOLSEN!$A:$K,11,FALSE)," ")</f>
        <v xml:space="preserve"> </v>
      </c>
    </row>
    <row r="257" spans="2:16" ht="52.5" customHeight="1">
      <c r="B257" s="25"/>
      <c r="C257" s="137"/>
      <c r="D257" s="110"/>
      <c r="E257" s="110"/>
      <c r="F257" s="60" t="str">
        <f>IFERROR(VLOOKUP(B257,TOLSEN!A:D,3,FALSE),"0")</f>
        <v>0</v>
      </c>
      <c r="G257" s="61" t="str">
        <f>IFERROR(VLOOKUP(B257,TOLSEN!A:D,4,FALSE),"0")</f>
        <v>0</v>
      </c>
      <c r="H257" s="62" t="str">
        <f>IFERROR(VLOOKUP(B257,TOLSEN!A:K,6,FALSE),"0")</f>
        <v>0</v>
      </c>
      <c r="I257" s="62" t="str">
        <f>IFERROR(VLOOKUP(B257,TOLSEN!A:AC,7,FALSE),"0")</f>
        <v>0</v>
      </c>
      <c r="J257" s="63">
        <f t="shared" si="6"/>
        <v>0</v>
      </c>
      <c r="K257" s="107" t="e">
        <f t="shared" si="7"/>
        <v>#VALUE!</v>
      </c>
      <c r="L257" s="148">
        <f>IFERROR(VLOOKUP($B257,TOLSEN!A:I,8,FALSE),0)</f>
        <v>0</v>
      </c>
      <c r="M257" s="148">
        <f>IFERROR(VLOOKUP($B257,TOLSEN!A:K,9,FALSE),0)</f>
        <v>0</v>
      </c>
      <c r="N257" s="94" t="str">
        <f>IFERROR(VLOOKUP(B257,TOLSEN!A:K,5,FALSE)," ")</f>
        <v xml:space="preserve"> </v>
      </c>
      <c r="O257" s="161" t="str">
        <f>IFERROR(VLOOKUP($B257,TOLSEN!$A:$K,10,FALSE)," ")</f>
        <v xml:space="preserve"> </v>
      </c>
      <c r="P257" s="161" t="str">
        <f>IFERROR(VLOOKUP($B257,TOLSEN!$A:$K,11,FALSE)," ")</f>
        <v xml:space="preserve"> </v>
      </c>
    </row>
    <row r="258" spans="2:16" ht="52.5" customHeight="1">
      <c r="B258" s="25"/>
      <c r="C258" s="138"/>
      <c r="D258" s="110"/>
      <c r="E258" s="110"/>
      <c r="F258" s="60" t="str">
        <f>IFERROR(VLOOKUP(B258,TOLSEN!A:D,3,FALSE),"0")</f>
        <v>0</v>
      </c>
      <c r="G258" s="61" t="str">
        <f>IFERROR(VLOOKUP(B258,TOLSEN!A:D,4,FALSE),"0")</f>
        <v>0</v>
      </c>
      <c r="H258" s="62" t="str">
        <f>IFERROR(VLOOKUP(B258,TOLSEN!A:K,6,FALSE),"0")</f>
        <v>0</v>
      </c>
      <c r="I258" s="62" t="str">
        <f>IFERROR(VLOOKUP(B258,TOLSEN!A:AC,7,FALSE),"0")</f>
        <v>0</v>
      </c>
      <c r="J258" s="63">
        <f t="shared" si="6"/>
        <v>0</v>
      </c>
      <c r="K258" s="107" t="e">
        <f t="shared" si="7"/>
        <v>#VALUE!</v>
      </c>
      <c r="L258" s="148">
        <f>IFERROR(VLOOKUP($B258,TOLSEN!A:I,8,FALSE),0)</f>
        <v>0</v>
      </c>
      <c r="M258" s="148">
        <f>IFERROR(VLOOKUP($B258,TOLSEN!A:K,9,FALSE),0)</f>
        <v>0</v>
      </c>
      <c r="N258" s="94" t="str">
        <f>IFERROR(VLOOKUP(B258,TOLSEN!A:K,5,FALSE)," ")</f>
        <v xml:space="preserve"> </v>
      </c>
      <c r="O258" s="161" t="str">
        <f>IFERROR(VLOOKUP($B258,TOLSEN!$A:$K,10,FALSE)," ")</f>
        <v xml:space="preserve"> </v>
      </c>
      <c r="P258" s="161" t="str">
        <f>IFERROR(VLOOKUP($B258,TOLSEN!$A:$K,11,FALSE)," ")</f>
        <v xml:space="preserve"> </v>
      </c>
    </row>
    <row r="259" spans="2:16" ht="52.5" customHeight="1">
      <c r="B259" s="25"/>
      <c r="C259" s="137"/>
      <c r="D259" s="110"/>
      <c r="E259" s="110"/>
      <c r="F259" s="60" t="str">
        <f>IFERROR(VLOOKUP(B259,TOLSEN!A:D,3,FALSE),"0")</f>
        <v>0</v>
      </c>
      <c r="G259" s="61" t="str">
        <f>IFERROR(VLOOKUP(B259,TOLSEN!A:D,4,FALSE),"0")</f>
        <v>0</v>
      </c>
      <c r="H259" s="62" t="str">
        <f>IFERROR(VLOOKUP(B259,TOLSEN!A:K,6,FALSE),"0")</f>
        <v>0</v>
      </c>
      <c r="I259" s="62" t="str">
        <f>IFERROR(VLOOKUP(B259,TOLSEN!A:AC,7,FALSE),"0")</f>
        <v>0</v>
      </c>
      <c r="J259" s="63">
        <f t="shared" si="6"/>
        <v>0</v>
      </c>
      <c r="K259" s="107" t="e">
        <f t="shared" si="7"/>
        <v>#VALUE!</v>
      </c>
      <c r="L259" s="148">
        <f>IFERROR(VLOOKUP($B259,TOLSEN!A:I,8,FALSE),0)</f>
        <v>0</v>
      </c>
      <c r="M259" s="148">
        <f>IFERROR(VLOOKUP($B259,TOLSEN!A:K,9,FALSE),0)</f>
        <v>0</v>
      </c>
      <c r="N259" s="94" t="str">
        <f>IFERROR(VLOOKUP(B259,TOLSEN!A:K,5,FALSE)," ")</f>
        <v xml:space="preserve"> </v>
      </c>
      <c r="O259" s="161" t="str">
        <f>IFERROR(VLOOKUP($B259,TOLSEN!$A:$K,10,FALSE)," ")</f>
        <v xml:space="preserve"> </v>
      </c>
      <c r="P259" s="161" t="str">
        <f>IFERROR(VLOOKUP($B259,TOLSEN!$A:$K,11,FALSE)," ")</f>
        <v xml:space="preserve"> </v>
      </c>
    </row>
    <row r="260" spans="2:16" ht="52.5" customHeight="1">
      <c r="B260" s="25"/>
      <c r="C260" s="138"/>
      <c r="D260" s="110"/>
      <c r="E260" s="110"/>
      <c r="F260" s="60" t="str">
        <f>IFERROR(VLOOKUP(B260,TOLSEN!A:D,3,FALSE),"0")</f>
        <v>0</v>
      </c>
      <c r="G260" s="61" t="str">
        <f>IFERROR(VLOOKUP(B260,TOLSEN!A:D,4,FALSE),"0")</f>
        <v>0</v>
      </c>
      <c r="H260" s="62" t="str">
        <f>IFERROR(VLOOKUP(B260,TOLSEN!A:K,6,FALSE),"0")</f>
        <v>0</v>
      </c>
      <c r="I260" s="62" t="str">
        <f>IFERROR(VLOOKUP(B260,TOLSEN!A:AC,7,FALSE),"0")</f>
        <v>0</v>
      </c>
      <c r="J260" s="63">
        <f t="shared" si="6"/>
        <v>0</v>
      </c>
      <c r="K260" s="107" t="e">
        <f t="shared" si="7"/>
        <v>#VALUE!</v>
      </c>
      <c r="L260" s="148">
        <f>IFERROR(VLOOKUP($B260,TOLSEN!A:I,8,FALSE),0)</f>
        <v>0</v>
      </c>
      <c r="M260" s="148">
        <f>IFERROR(VLOOKUP($B260,TOLSEN!A:K,9,FALSE),0)</f>
        <v>0</v>
      </c>
      <c r="N260" s="94" t="str">
        <f>IFERROR(VLOOKUP(B260,TOLSEN!A:K,5,FALSE)," ")</f>
        <v xml:space="preserve"> </v>
      </c>
      <c r="O260" s="161" t="str">
        <f>IFERROR(VLOOKUP($B260,TOLSEN!$A:$K,10,FALSE)," ")</f>
        <v xml:space="preserve"> </v>
      </c>
      <c r="P260" s="161" t="str">
        <f>IFERROR(VLOOKUP($B260,TOLSEN!$A:$K,11,FALSE)," ")</f>
        <v xml:space="preserve"> </v>
      </c>
    </row>
    <row r="261" spans="2:16" ht="52.5" customHeight="1">
      <c r="B261" s="25"/>
      <c r="C261" s="137"/>
      <c r="D261" s="110"/>
      <c r="E261" s="110"/>
      <c r="F261" s="60" t="str">
        <f>IFERROR(VLOOKUP(B261,TOLSEN!A:D,3,FALSE),"0")</f>
        <v>0</v>
      </c>
      <c r="G261" s="61" t="str">
        <f>IFERROR(VLOOKUP(B261,TOLSEN!A:D,4,FALSE),"0")</f>
        <v>0</v>
      </c>
      <c r="H261" s="62" t="str">
        <f>IFERROR(VLOOKUP(B261,TOLSEN!A:K,6,FALSE),"0")</f>
        <v>0</v>
      </c>
      <c r="I261" s="62" t="str">
        <f>IFERROR(VLOOKUP(B261,TOLSEN!A:AC,7,FALSE),"0")</f>
        <v>0</v>
      </c>
      <c r="J261" s="63">
        <f t="shared" si="6"/>
        <v>0</v>
      </c>
      <c r="K261" s="107" t="e">
        <f t="shared" si="7"/>
        <v>#VALUE!</v>
      </c>
      <c r="L261" s="148">
        <f>IFERROR(VLOOKUP($B261,TOLSEN!A:I,8,FALSE),0)</f>
        <v>0</v>
      </c>
      <c r="M261" s="148">
        <f>IFERROR(VLOOKUP($B261,TOLSEN!A:K,9,FALSE),0)</f>
        <v>0</v>
      </c>
      <c r="N261" s="94" t="str">
        <f>IFERROR(VLOOKUP(B261,TOLSEN!A:K,5,FALSE)," ")</f>
        <v xml:space="preserve"> </v>
      </c>
      <c r="O261" s="161" t="str">
        <f>IFERROR(VLOOKUP($B261,TOLSEN!$A:$K,10,FALSE)," ")</f>
        <v xml:space="preserve"> </v>
      </c>
      <c r="P261" s="161" t="str">
        <f>IFERROR(VLOOKUP($B261,TOLSEN!$A:$K,11,FALSE)," ")</f>
        <v xml:space="preserve"> </v>
      </c>
    </row>
    <row r="262" spans="2:16" ht="52.5" customHeight="1">
      <c r="B262" s="25"/>
      <c r="C262" s="138"/>
      <c r="D262" s="110"/>
      <c r="E262" s="110"/>
      <c r="F262" s="60" t="str">
        <f>IFERROR(VLOOKUP(B262,TOLSEN!A:D,3,FALSE),"0")</f>
        <v>0</v>
      </c>
      <c r="G262" s="61" t="str">
        <f>IFERROR(VLOOKUP(B262,TOLSEN!A:D,4,FALSE),"0")</f>
        <v>0</v>
      </c>
      <c r="H262" s="62" t="str">
        <f>IFERROR(VLOOKUP(B262,TOLSEN!A:K,6,FALSE),"0")</f>
        <v>0</v>
      </c>
      <c r="I262" s="62" t="str">
        <f>IFERROR(VLOOKUP(B262,TOLSEN!A:AC,7,FALSE),"0")</f>
        <v>0</v>
      </c>
      <c r="J262" s="63">
        <f t="shared" si="6"/>
        <v>0</v>
      </c>
      <c r="K262" s="107" t="e">
        <f t="shared" si="7"/>
        <v>#VALUE!</v>
      </c>
      <c r="L262" s="148">
        <f>IFERROR(VLOOKUP($B262,TOLSEN!A:I,8,FALSE),0)</f>
        <v>0</v>
      </c>
      <c r="M262" s="148">
        <f>IFERROR(VLOOKUP($B262,TOLSEN!A:K,9,FALSE),0)</f>
        <v>0</v>
      </c>
      <c r="N262" s="94" t="str">
        <f>IFERROR(VLOOKUP(B262,TOLSEN!A:K,5,FALSE)," ")</f>
        <v xml:space="preserve"> </v>
      </c>
      <c r="O262" s="161" t="str">
        <f>IFERROR(VLOOKUP($B262,TOLSEN!$A:$K,10,FALSE)," ")</f>
        <v xml:space="preserve"> </v>
      </c>
      <c r="P262" s="161" t="str">
        <f>IFERROR(VLOOKUP($B262,TOLSEN!$A:$K,11,FALSE)," ")</f>
        <v xml:space="preserve"> </v>
      </c>
    </row>
    <row r="263" spans="2:16" ht="52.5" customHeight="1">
      <c r="B263" s="25"/>
      <c r="C263" s="137"/>
      <c r="D263" s="110"/>
      <c r="E263" s="110"/>
      <c r="F263" s="60" t="str">
        <f>IFERROR(VLOOKUP(B263,TOLSEN!A:D,3,FALSE),"0")</f>
        <v>0</v>
      </c>
      <c r="G263" s="61" t="str">
        <f>IFERROR(VLOOKUP(B263,TOLSEN!A:D,4,FALSE),"0")</f>
        <v>0</v>
      </c>
      <c r="H263" s="62" t="str">
        <f>IFERROR(VLOOKUP(B263,TOLSEN!A:K,6,FALSE),"0")</f>
        <v>0</v>
      </c>
      <c r="I263" s="62" t="str">
        <f>IFERROR(VLOOKUP(B263,TOLSEN!A:AC,7,FALSE),"0")</f>
        <v>0</v>
      </c>
      <c r="J263" s="63">
        <f t="shared" si="6"/>
        <v>0</v>
      </c>
      <c r="K263" s="107" t="e">
        <f t="shared" si="7"/>
        <v>#VALUE!</v>
      </c>
      <c r="L263" s="148">
        <f>IFERROR(VLOOKUP($B263,TOLSEN!A:I,8,FALSE),0)</f>
        <v>0</v>
      </c>
      <c r="M263" s="148">
        <f>IFERROR(VLOOKUP($B263,TOLSEN!A:K,9,FALSE),0)</f>
        <v>0</v>
      </c>
      <c r="N263" s="94" t="str">
        <f>IFERROR(VLOOKUP(B263,TOLSEN!A:K,5,FALSE)," ")</f>
        <v xml:space="preserve"> </v>
      </c>
      <c r="O263" s="161" t="str">
        <f>IFERROR(VLOOKUP($B263,TOLSEN!$A:$K,10,FALSE)," ")</f>
        <v xml:space="preserve"> </v>
      </c>
      <c r="P263" s="161" t="str">
        <f>IFERROR(VLOOKUP($B263,TOLSEN!$A:$K,11,FALSE)," ")</f>
        <v xml:space="preserve"> </v>
      </c>
    </row>
    <row r="264" spans="2:16" ht="52.5" customHeight="1">
      <c r="B264" s="25"/>
      <c r="C264" s="138"/>
      <c r="D264" s="110"/>
      <c r="E264" s="110"/>
      <c r="F264" s="60" t="str">
        <f>IFERROR(VLOOKUP(B264,TOLSEN!A:D,3,FALSE),"0")</f>
        <v>0</v>
      </c>
      <c r="G264" s="61" t="str">
        <f>IFERROR(VLOOKUP(B264,TOLSEN!A:D,4,FALSE),"0")</f>
        <v>0</v>
      </c>
      <c r="H264" s="62" t="str">
        <f>IFERROR(VLOOKUP(B264,TOLSEN!A:K,6,FALSE),"0")</f>
        <v>0</v>
      </c>
      <c r="I264" s="62" t="str">
        <f>IFERROR(VLOOKUP(B264,TOLSEN!A:AC,7,FALSE),"0")</f>
        <v>0</v>
      </c>
      <c r="J264" s="63">
        <f t="shared" si="6"/>
        <v>0</v>
      </c>
      <c r="K264" s="107" t="e">
        <f t="shared" si="7"/>
        <v>#VALUE!</v>
      </c>
      <c r="L264" s="148">
        <f>IFERROR(VLOOKUP($B264,TOLSEN!A:I,8,FALSE),0)</f>
        <v>0</v>
      </c>
      <c r="M264" s="148">
        <f>IFERROR(VLOOKUP($B264,TOLSEN!A:K,9,FALSE),0)</f>
        <v>0</v>
      </c>
      <c r="N264" s="94" t="str">
        <f>IFERROR(VLOOKUP(B264,TOLSEN!A:K,5,FALSE)," ")</f>
        <v xml:space="preserve"> </v>
      </c>
      <c r="O264" s="161" t="str">
        <f>IFERROR(VLOOKUP($B264,TOLSEN!$A:$K,10,FALSE)," ")</f>
        <v xml:space="preserve"> </v>
      </c>
      <c r="P264" s="161" t="str">
        <f>IFERROR(VLOOKUP($B264,TOLSEN!$A:$K,11,FALSE)," ")</f>
        <v xml:space="preserve"> </v>
      </c>
    </row>
    <row r="265" spans="2:16" ht="52.5" customHeight="1">
      <c r="B265" s="25"/>
      <c r="C265" s="137"/>
      <c r="D265" s="110"/>
      <c r="E265" s="110"/>
      <c r="F265" s="60" t="str">
        <f>IFERROR(VLOOKUP(B265,TOLSEN!A:D,3,FALSE),"0")</f>
        <v>0</v>
      </c>
      <c r="G265" s="61" t="str">
        <f>IFERROR(VLOOKUP(B265,TOLSEN!A:D,4,FALSE),"0")</f>
        <v>0</v>
      </c>
      <c r="H265" s="62" t="str">
        <f>IFERROR(VLOOKUP(B265,TOLSEN!A:K,6,FALSE),"0")</f>
        <v>0</v>
      </c>
      <c r="I265" s="62" t="str">
        <f>IFERROR(VLOOKUP(B265,TOLSEN!A:AC,7,FALSE),"0")</f>
        <v>0</v>
      </c>
      <c r="J265" s="63">
        <f t="shared" si="6"/>
        <v>0</v>
      </c>
      <c r="K265" s="107" t="e">
        <f t="shared" si="7"/>
        <v>#VALUE!</v>
      </c>
      <c r="L265" s="148">
        <f>IFERROR(VLOOKUP($B265,TOLSEN!A:I,8,FALSE),0)</f>
        <v>0</v>
      </c>
      <c r="M265" s="148">
        <f>IFERROR(VLOOKUP($B265,TOLSEN!A:K,9,FALSE),0)</f>
        <v>0</v>
      </c>
      <c r="N265" s="94" t="str">
        <f>IFERROR(VLOOKUP(B265,TOLSEN!A:K,5,FALSE)," ")</f>
        <v xml:space="preserve"> </v>
      </c>
      <c r="O265" s="161" t="str">
        <f>IFERROR(VLOOKUP($B265,TOLSEN!$A:$K,10,FALSE)," ")</f>
        <v xml:space="preserve"> </v>
      </c>
      <c r="P265" s="161" t="str">
        <f>IFERROR(VLOOKUP($B265,TOLSEN!$A:$K,11,FALSE)," ")</f>
        <v xml:space="preserve"> </v>
      </c>
    </row>
    <row r="266" spans="2:16" ht="52.5" customHeight="1">
      <c r="B266" s="25"/>
      <c r="C266" s="138"/>
      <c r="D266" s="110"/>
      <c r="E266" s="110"/>
      <c r="F266" s="60" t="str">
        <f>IFERROR(VLOOKUP(B266,TOLSEN!A:D,3,FALSE),"0")</f>
        <v>0</v>
      </c>
      <c r="G266" s="61" t="str">
        <f>IFERROR(VLOOKUP(B266,TOLSEN!A:D,4,FALSE),"0")</f>
        <v>0</v>
      </c>
      <c r="H266" s="62" t="str">
        <f>IFERROR(VLOOKUP(B266,TOLSEN!A:K,6,FALSE),"0")</f>
        <v>0</v>
      </c>
      <c r="I266" s="62" t="str">
        <f>IFERROR(VLOOKUP(B266,TOLSEN!A:AC,7,FALSE),"0")</f>
        <v>0</v>
      </c>
      <c r="J266" s="63">
        <f t="shared" si="6"/>
        <v>0</v>
      </c>
      <c r="K266" s="107" t="e">
        <f t="shared" si="7"/>
        <v>#VALUE!</v>
      </c>
      <c r="L266" s="148">
        <f>IFERROR(VLOOKUP($B266,TOLSEN!A:I,8,FALSE),0)</f>
        <v>0</v>
      </c>
      <c r="M266" s="148">
        <f>IFERROR(VLOOKUP($B266,TOLSEN!A:K,9,FALSE),0)</f>
        <v>0</v>
      </c>
      <c r="N266" s="94" t="str">
        <f>IFERROR(VLOOKUP(B266,TOLSEN!A:K,5,FALSE)," ")</f>
        <v xml:space="preserve"> </v>
      </c>
      <c r="O266" s="161" t="str">
        <f>IFERROR(VLOOKUP($B266,TOLSEN!$A:$K,10,FALSE)," ")</f>
        <v xml:space="preserve"> </v>
      </c>
      <c r="P266" s="161" t="str">
        <f>IFERROR(VLOOKUP($B266,TOLSEN!$A:$K,11,FALSE)," ")</f>
        <v xml:space="preserve"> </v>
      </c>
    </row>
    <row r="267" spans="2:16" ht="52.5" customHeight="1">
      <c r="B267" s="25"/>
      <c r="C267" s="137"/>
      <c r="D267" s="110"/>
      <c r="E267" s="110"/>
      <c r="F267" s="60" t="str">
        <f>IFERROR(VLOOKUP(B267,TOLSEN!A:D,3,FALSE),"0")</f>
        <v>0</v>
      </c>
      <c r="G267" s="61" t="str">
        <f>IFERROR(VLOOKUP(B267,TOLSEN!A:D,4,FALSE),"0")</f>
        <v>0</v>
      </c>
      <c r="H267" s="62" t="str">
        <f>IFERROR(VLOOKUP(B267,TOLSEN!A:K,6,FALSE),"0")</f>
        <v>0</v>
      </c>
      <c r="I267" s="62" t="str">
        <f>IFERROR(VLOOKUP(B267,TOLSEN!A:AC,7,FALSE),"0")</f>
        <v>0</v>
      </c>
      <c r="J267" s="63">
        <f t="shared" si="6"/>
        <v>0</v>
      </c>
      <c r="K267" s="107" t="e">
        <f t="shared" si="7"/>
        <v>#VALUE!</v>
      </c>
      <c r="L267" s="148">
        <f>IFERROR(VLOOKUP($B267,TOLSEN!A:I,8,FALSE),0)</f>
        <v>0</v>
      </c>
      <c r="M267" s="148">
        <f>IFERROR(VLOOKUP($B267,TOLSEN!A:K,9,FALSE),0)</f>
        <v>0</v>
      </c>
      <c r="N267" s="94" t="str">
        <f>IFERROR(VLOOKUP(B267,TOLSEN!A:K,5,FALSE)," ")</f>
        <v xml:space="preserve"> </v>
      </c>
      <c r="O267" s="161" t="str">
        <f>IFERROR(VLOOKUP($B267,TOLSEN!$A:$K,10,FALSE)," ")</f>
        <v xml:space="preserve"> </v>
      </c>
      <c r="P267" s="161" t="str">
        <f>IFERROR(VLOOKUP($B267,TOLSEN!$A:$K,11,FALSE)," ")</f>
        <v xml:space="preserve"> </v>
      </c>
    </row>
    <row r="268" spans="2:16" ht="52.5" customHeight="1">
      <c r="B268" s="25"/>
      <c r="C268" s="138"/>
      <c r="D268" s="110"/>
      <c r="E268" s="110"/>
      <c r="F268" s="60" t="str">
        <f>IFERROR(VLOOKUP(B268,TOLSEN!A:D,3,FALSE),"0")</f>
        <v>0</v>
      </c>
      <c r="G268" s="61" t="str">
        <f>IFERROR(VLOOKUP(B268,TOLSEN!A:D,4,FALSE),"0")</f>
        <v>0</v>
      </c>
      <c r="H268" s="62" t="str">
        <f>IFERROR(VLOOKUP(B268,TOLSEN!A:K,6,FALSE),"0")</f>
        <v>0</v>
      </c>
      <c r="I268" s="62" t="str">
        <f>IFERROR(VLOOKUP(B268,TOLSEN!A:AC,7,FALSE),"0")</f>
        <v>0</v>
      </c>
      <c r="J268" s="63">
        <f t="shared" si="6"/>
        <v>0</v>
      </c>
      <c r="K268" s="107" t="e">
        <f t="shared" si="7"/>
        <v>#VALUE!</v>
      </c>
      <c r="L268" s="148">
        <f>IFERROR(VLOOKUP($B268,TOLSEN!A:I,8,FALSE),0)</f>
        <v>0</v>
      </c>
      <c r="M268" s="148">
        <f>IFERROR(VLOOKUP($B268,TOLSEN!A:K,9,FALSE),0)</f>
        <v>0</v>
      </c>
      <c r="N268" s="94" t="str">
        <f>IFERROR(VLOOKUP(B268,TOLSEN!A:K,5,FALSE)," ")</f>
        <v xml:space="preserve"> </v>
      </c>
      <c r="O268" s="161" t="str">
        <f>IFERROR(VLOOKUP($B268,TOLSEN!$A:$K,10,FALSE)," ")</f>
        <v xml:space="preserve"> </v>
      </c>
      <c r="P268" s="161" t="str">
        <f>IFERROR(VLOOKUP($B268,TOLSEN!$A:$K,11,FALSE)," ")</f>
        <v xml:space="preserve"> </v>
      </c>
    </row>
    <row r="269" spans="2:16" ht="52.5" customHeight="1">
      <c r="B269" s="25"/>
      <c r="C269" s="137"/>
      <c r="D269" s="110"/>
      <c r="E269" s="110"/>
      <c r="F269" s="60" t="str">
        <f>IFERROR(VLOOKUP(B269,TOLSEN!A:D,3,FALSE),"0")</f>
        <v>0</v>
      </c>
      <c r="G269" s="61" t="str">
        <f>IFERROR(VLOOKUP(B269,TOLSEN!A:D,4,FALSE),"0")</f>
        <v>0</v>
      </c>
      <c r="H269" s="62" t="str">
        <f>IFERROR(VLOOKUP(B269,TOLSEN!A:K,6,FALSE),"0")</f>
        <v>0</v>
      </c>
      <c r="I269" s="62" t="str">
        <f>IFERROR(VLOOKUP(B269,TOLSEN!A:AC,7,FALSE),"0")</f>
        <v>0</v>
      </c>
      <c r="J269" s="63">
        <f t="shared" si="6"/>
        <v>0</v>
      </c>
      <c r="K269" s="107" t="e">
        <f t="shared" si="7"/>
        <v>#VALUE!</v>
      </c>
      <c r="L269" s="148">
        <f>IFERROR(VLOOKUP($B269,TOLSEN!A:I,8,FALSE),0)</f>
        <v>0</v>
      </c>
      <c r="M269" s="148">
        <f>IFERROR(VLOOKUP($B269,TOLSEN!A:K,9,FALSE),0)</f>
        <v>0</v>
      </c>
      <c r="N269" s="94" t="str">
        <f>IFERROR(VLOOKUP(B269,TOLSEN!A:K,5,FALSE)," ")</f>
        <v xml:space="preserve"> </v>
      </c>
      <c r="O269" s="161" t="str">
        <f>IFERROR(VLOOKUP($B269,TOLSEN!$A:$K,10,FALSE)," ")</f>
        <v xml:space="preserve"> </v>
      </c>
      <c r="P269" s="161" t="str">
        <f>IFERROR(VLOOKUP($B269,TOLSEN!$A:$K,11,FALSE)," ")</f>
        <v xml:space="preserve"> </v>
      </c>
    </row>
    <row r="270" spans="2:16" ht="52.5" customHeight="1">
      <c r="B270" s="26"/>
      <c r="C270" s="138"/>
      <c r="D270" s="110"/>
      <c r="E270" s="110"/>
      <c r="F270" s="60" t="str">
        <f>IFERROR(VLOOKUP(B270,TOLSEN!A:D,3,FALSE),"0")</f>
        <v>0</v>
      </c>
      <c r="G270" s="61" t="str">
        <f>IFERROR(VLOOKUP(B270,TOLSEN!A:D,4,FALSE),"0")</f>
        <v>0</v>
      </c>
      <c r="H270" s="62" t="str">
        <f>IFERROR(VLOOKUP(B270,TOLSEN!A:K,6,FALSE),"0")</f>
        <v>0</v>
      </c>
      <c r="I270" s="62" t="str">
        <f>IFERROR(VLOOKUP(B270,TOLSEN!A:AC,7,FALSE),"0")</f>
        <v>0</v>
      </c>
      <c r="J270" s="63">
        <f t="shared" si="6"/>
        <v>0</v>
      </c>
      <c r="K270" s="107" t="e">
        <f t="shared" si="7"/>
        <v>#VALUE!</v>
      </c>
      <c r="L270" s="148">
        <f>IFERROR(VLOOKUP($B270,TOLSEN!A:I,8,FALSE),0)</f>
        <v>0</v>
      </c>
      <c r="M270" s="148">
        <f>IFERROR(VLOOKUP($B270,TOLSEN!A:K,9,FALSE),0)</f>
        <v>0</v>
      </c>
      <c r="N270" s="94" t="str">
        <f>IFERROR(VLOOKUP(B270,TOLSEN!A:K,5,FALSE)," ")</f>
        <v xml:space="preserve"> </v>
      </c>
      <c r="O270" s="161" t="str">
        <f>IFERROR(VLOOKUP($B270,TOLSEN!$A:$K,10,FALSE)," ")</f>
        <v xml:space="preserve"> </v>
      </c>
      <c r="P270" s="161" t="str">
        <f>IFERROR(VLOOKUP($B270,TOLSEN!$A:$K,11,FALSE)," ")</f>
        <v xml:space="preserve"> </v>
      </c>
    </row>
    <row r="271" spans="2:16" ht="52.5" customHeight="1">
      <c r="B271" s="26"/>
      <c r="C271" s="137"/>
      <c r="D271" s="110"/>
      <c r="E271" s="110"/>
      <c r="F271" s="60" t="str">
        <f>IFERROR(VLOOKUP(B271,TOLSEN!A:D,3,FALSE),"0")</f>
        <v>0</v>
      </c>
      <c r="G271" s="61" t="str">
        <f>IFERROR(VLOOKUP(B271,TOLSEN!A:D,4,FALSE),"0")</f>
        <v>0</v>
      </c>
      <c r="H271" s="62" t="str">
        <f>IFERROR(VLOOKUP(B271,TOLSEN!A:K,6,FALSE),"0")</f>
        <v>0</v>
      </c>
      <c r="I271" s="62" t="str">
        <f>IFERROR(VLOOKUP(B271,TOLSEN!A:AC,7,FALSE),"0")</f>
        <v>0</v>
      </c>
      <c r="J271" s="63">
        <f t="shared" si="6"/>
        <v>0</v>
      </c>
      <c r="K271" s="107" t="e">
        <f t="shared" si="7"/>
        <v>#VALUE!</v>
      </c>
      <c r="L271" s="148">
        <f>IFERROR(VLOOKUP($B271,TOLSEN!A:I,8,FALSE),0)</f>
        <v>0</v>
      </c>
      <c r="M271" s="148">
        <f>IFERROR(VLOOKUP($B271,TOLSEN!A:K,9,FALSE),0)</f>
        <v>0</v>
      </c>
      <c r="N271" s="94" t="str">
        <f>IFERROR(VLOOKUP(B271,TOLSEN!A:K,5,FALSE)," ")</f>
        <v xml:space="preserve"> </v>
      </c>
      <c r="O271" s="161" t="str">
        <f>IFERROR(VLOOKUP($B271,TOLSEN!$A:$K,10,FALSE)," ")</f>
        <v xml:space="preserve"> </v>
      </c>
      <c r="P271" s="161" t="str">
        <f>IFERROR(VLOOKUP($B271,TOLSEN!$A:$K,11,FALSE)," ")</f>
        <v xml:space="preserve"> </v>
      </c>
    </row>
    <row r="272" spans="2:16" ht="52.5" customHeight="1">
      <c r="B272" s="26"/>
      <c r="C272" s="138"/>
      <c r="D272" s="110"/>
      <c r="E272" s="110"/>
      <c r="F272" s="60" t="str">
        <f>IFERROR(VLOOKUP(B272,TOLSEN!A:D,3,FALSE),"0")</f>
        <v>0</v>
      </c>
      <c r="G272" s="61" t="str">
        <f>IFERROR(VLOOKUP(B272,TOLSEN!A:D,4,FALSE),"0")</f>
        <v>0</v>
      </c>
      <c r="H272" s="62" t="str">
        <f>IFERROR(VLOOKUP(B272,TOLSEN!A:K,6,FALSE),"0")</f>
        <v>0</v>
      </c>
      <c r="I272" s="62" t="str">
        <f>IFERROR(VLOOKUP(B272,TOLSEN!A:AC,7,FALSE),"0")</f>
        <v>0</v>
      </c>
      <c r="J272" s="63">
        <f t="shared" si="6"/>
        <v>0</v>
      </c>
      <c r="K272" s="107" t="e">
        <f t="shared" si="7"/>
        <v>#VALUE!</v>
      </c>
      <c r="L272" s="148">
        <f>IFERROR(VLOOKUP($B272,TOLSEN!A:I,8,FALSE),0)</f>
        <v>0</v>
      </c>
      <c r="M272" s="148">
        <f>IFERROR(VLOOKUP($B272,TOLSEN!A:K,9,FALSE),0)</f>
        <v>0</v>
      </c>
      <c r="N272" s="94" t="str">
        <f>IFERROR(VLOOKUP(B272,TOLSEN!A:K,5,FALSE)," ")</f>
        <v xml:space="preserve"> </v>
      </c>
      <c r="O272" s="161" t="str">
        <f>IFERROR(VLOOKUP($B272,TOLSEN!$A:$K,10,FALSE)," ")</f>
        <v xml:space="preserve"> </v>
      </c>
      <c r="P272" s="161" t="str">
        <f>IFERROR(VLOOKUP($B272,TOLSEN!$A:$K,11,FALSE)," ")</f>
        <v xml:space="preserve"> </v>
      </c>
    </row>
    <row r="273" spans="1:16" ht="52.5" customHeight="1">
      <c r="B273" s="26"/>
      <c r="C273" s="137"/>
      <c r="D273" s="110"/>
      <c r="E273" s="110"/>
      <c r="F273" s="60" t="str">
        <f>IFERROR(VLOOKUP(B273,TOLSEN!A:D,3,FALSE),"0")</f>
        <v>0</v>
      </c>
      <c r="G273" s="61" t="str">
        <f>IFERROR(VLOOKUP(B273,TOLSEN!A:D,4,FALSE),"0")</f>
        <v>0</v>
      </c>
      <c r="H273" s="62" t="str">
        <f>IFERROR(VLOOKUP(B273,TOLSEN!A:K,6,FALSE),"0")</f>
        <v>0</v>
      </c>
      <c r="I273" s="62" t="str">
        <f>IFERROR(VLOOKUP(B273,TOLSEN!A:AC,7,FALSE),"0")</f>
        <v>0</v>
      </c>
      <c r="J273" s="63">
        <f t="shared" si="6"/>
        <v>0</v>
      </c>
      <c r="K273" s="107" t="e">
        <f t="shared" si="7"/>
        <v>#VALUE!</v>
      </c>
      <c r="L273" s="148">
        <f>IFERROR(VLOOKUP($B273,TOLSEN!A:I,8,FALSE),0)</f>
        <v>0</v>
      </c>
      <c r="M273" s="148">
        <f>IFERROR(VLOOKUP($B273,TOLSEN!A:K,9,FALSE),0)</f>
        <v>0</v>
      </c>
      <c r="N273" s="94" t="str">
        <f>IFERROR(VLOOKUP(B273,TOLSEN!A:K,5,FALSE)," ")</f>
        <v xml:space="preserve"> </v>
      </c>
      <c r="O273" s="161" t="str">
        <f>IFERROR(VLOOKUP($B273,TOLSEN!$A:$K,10,FALSE)," ")</f>
        <v xml:space="preserve"> </v>
      </c>
      <c r="P273" s="161" t="str">
        <f>IFERROR(VLOOKUP($B273,TOLSEN!$A:$K,11,FALSE)," ")</f>
        <v xml:space="preserve"> </v>
      </c>
    </row>
    <row r="274" spans="1:16" ht="52.5" customHeight="1">
      <c r="B274" s="26"/>
      <c r="C274" s="138"/>
      <c r="D274" s="110"/>
      <c r="E274" s="110"/>
      <c r="F274" s="60" t="str">
        <f>IFERROR(VLOOKUP(B274,TOLSEN!A:D,3,FALSE),"0")</f>
        <v>0</v>
      </c>
      <c r="G274" s="61" t="str">
        <f>IFERROR(VLOOKUP(B274,TOLSEN!A:D,4,FALSE),"0")</f>
        <v>0</v>
      </c>
      <c r="H274" s="62" t="str">
        <f>IFERROR(VLOOKUP(B274,TOLSEN!A:K,6,FALSE),"0")</f>
        <v>0</v>
      </c>
      <c r="I274" s="62" t="str">
        <f>IFERROR(VLOOKUP(B274,TOLSEN!A:AC,7,FALSE),"0")</f>
        <v>0</v>
      </c>
      <c r="J274" s="63">
        <f t="shared" si="6"/>
        <v>0</v>
      </c>
      <c r="K274" s="107" t="e">
        <f t="shared" si="7"/>
        <v>#VALUE!</v>
      </c>
      <c r="L274" s="148">
        <f>IFERROR(VLOOKUP($B274,TOLSEN!A:I,8,FALSE),0)</f>
        <v>0</v>
      </c>
      <c r="M274" s="148">
        <f>IFERROR(VLOOKUP($B274,TOLSEN!A:K,9,FALSE),0)</f>
        <v>0</v>
      </c>
      <c r="N274" s="94" t="str">
        <f>IFERROR(VLOOKUP(B274,TOLSEN!A:K,5,FALSE)," ")</f>
        <v xml:space="preserve"> </v>
      </c>
      <c r="O274" s="161" t="str">
        <f>IFERROR(VLOOKUP($B274,TOLSEN!$A:$K,10,FALSE)," ")</f>
        <v xml:space="preserve"> </v>
      </c>
      <c r="P274" s="161" t="str">
        <f>IFERROR(VLOOKUP($B274,TOLSEN!$A:$K,11,FALSE)," ")</f>
        <v xml:space="preserve"> </v>
      </c>
    </row>
    <row r="275" spans="1:16" ht="52.5" customHeight="1">
      <c r="B275" s="26"/>
      <c r="C275" s="137"/>
      <c r="D275" s="110"/>
      <c r="E275" s="110"/>
      <c r="F275" s="60" t="str">
        <f>IFERROR(VLOOKUP(B275,TOLSEN!A:D,3,FALSE),"0")</f>
        <v>0</v>
      </c>
      <c r="G275" s="61" t="str">
        <f>IFERROR(VLOOKUP(B275,TOLSEN!A:D,4,FALSE),"0")</f>
        <v>0</v>
      </c>
      <c r="H275" s="62" t="str">
        <f>IFERROR(VLOOKUP(B275,TOLSEN!A:K,6,FALSE),"0")</f>
        <v>0</v>
      </c>
      <c r="I275" s="62" t="str">
        <f>IFERROR(VLOOKUP(B275,TOLSEN!A:AC,7,FALSE),"0")</f>
        <v>0</v>
      </c>
      <c r="J275" s="63">
        <f t="shared" si="6"/>
        <v>0</v>
      </c>
      <c r="K275" s="107" t="e">
        <f t="shared" si="7"/>
        <v>#VALUE!</v>
      </c>
      <c r="L275" s="148">
        <f>IFERROR(VLOOKUP($B275,TOLSEN!A:I,8,FALSE),0)</f>
        <v>0</v>
      </c>
      <c r="M275" s="148">
        <f>IFERROR(VLOOKUP($B275,TOLSEN!A:K,9,FALSE),0)</f>
        <v>0</v>
      </c>
      <c r="N275" s="94" t="str">
        <f>IFERROR(VLOOKUP(B275,TOLSEN!A:K,5,FALSE)," ")</f>
        <v xml:space="preserve"> </v>
      </c>
      <c r="O275" s="161" t="str">
        <f>IFERROR(VLOOKUP($B275,TOLSEN!$A:$K,10,FALSE)," ")</f>
        <v xml:space="preserve"> </v>
      </c>
      <c r="P275" s="161" t="str">
        <f>IFERROR(VLOOKUP($B275,TOLSEN!$A:$K,11,FALSE)," ")</f>
        <v xml:space="preserve"> </v>
      </c>
    </row>
    <row r="276" spans="1:16" ht="52.5" customHeight="1">
      <c r="B276" s="25"/>
      <c r="C276" s="138"/>
      <c r="D276" s="110"/>
      <c r="E276" s="110"/>
      <c r="F276" s="60" t="str">
        <f>IFERROR(VLOOKUP(B276,TOLSEN!A:D,3,FALSE),"0")</f>
        <v>0</v>
      </c>
      <c r="G276" s="61" t="str">
        <f>IFERROR(VLOOKUP(B276,TOLSEN!A:D,4,FALSE),"0")</f>
        <v>0</v>
      </c>
      <c r="H276" s="62" t="str">
        <f>IFERROR(VLOOKUP(B276,TOLSEN!A:K,6,FALSE),"0")</f>
        <v>0</v>
      </c>
      <c r="I276" s="62" t="str">
        <f>IFERROR(VLOOKUP(B276,TOLSEN!A:AC,7,FALSE),"0")</f>
        <v>0</v>
      </c>
      <c r="J276" s="63">
        <f t="shared" si="6"/>
        <v>0</v>
      </c>
      <c r="K276" s="107" t="e">
        <f t="shared" si="7"/>
        <v>#VALUE!</v>
      </c>
      <c r="L276" s="148">
        <f>IFERROR(VLOOKUP($B276,TOLSEN!A:I,8,FALSE),0)</f>
        <v>0</v>
      </c>
      <c r="M276" s="148">
        <f>IFERROR(VLOOKUP($B276,TOLSEN!A:K,9,FALSE),0)</f>
        <v>0</v>
      </c>
      <c r="N276" s="94" t="str">
        <f>IFERROR(VLOOKUP(B276,TOLSEN!A:K,5,FALSE)," ")</f>
        <v xml:space="preserve"> </v>
      </c>
      <c r="O276" s="161" t="str">
        <f>IFERROR(VLOOKUP($B276,TOLSEN!$A:$K,10,FALSE)," ")</f>
        <v xml:space="preserve"> </v>
      </c>
      <c r="P276" s="161" t="str">
        <f>IFERROR(VLOOKUP($B276,TOLSEN!$A:$K,11,FALSE)," ")</f>
        <v xml:space="preserve"> </v>
      </c>
    </row>
    <row r="277" spans="1:16" ht="52.5" customHeight="1">
      <c r="B277" s="25"/>
      <c r="C277" s="137"/>
      <c r="D277" s="110"/>
      <c r="E277" s="110"/>
      <c r="F277" s="60" t="str">
        <f>IFERROR(VLOOKUP(B277,TOLSEN!A:D,3,FALSE),"0")</f>
        <v>0</v>
      </c>
      <c r="G277" s="61" t="str">
        <f>IFERROR(VLOOKUP(B277,TOLSEN!A:D,4,FALSE),"0")</f>
        <v>0</v>
      </c>
      <c r="H277" s="62" t="str">
        <f>IFERROR(VLOOKUP(B277,TOLSEN!A:K,6,FALSE),"0")</f>
        <v>0</v>
      </c>
      <c r="I277" s="62" t="str">
        <f>IFERROR(VLOOKUP(B277,TOLSEN!A:AC,7,FALSE),"0")</f>
        <v>0</v>
      </c>
      <c r="J277" s="63">
        <f t="shared" si="6"/>
        <v>0</v>
      </c>
      <c r="K277" s="107" t="e">
        <f t="shared" si="7"/>
        <v>#VALUE!</v>
      </c>
      <c r="L277" s="148">
        <f>IFERROR(VLOOKUP($B277,TOLSEN!A:I,8,FALSE),0)</f>
        <v>0</v>
      </c>
      <c r="M277" s="148">
        <f>IFERROR(VLOOKUP($B277,TOLSEN!A:K,9,FALSE),0)</f>
        <v>0</v>
      </c>
      <c r="N277" s="94" t="str">
        <f>IFERROR(VLOOKUP(B277,TOLSEN!A:K,5,FALSE)," ")</f>
        <v xml:space="preserve"> </v>
      </c>
      <c r="O277" s="161" t="str">
        <f>IFERROR(VLOOKUP($B277,TOLSEN!$A:$K,10,FALSE)," ")</f>
        <v xml:space="preserve"> </v>
      </c>
      <c r="P277" s="161" t="str">
        <f>IFERROR(VLOOKUP($B277,TOLSEN!$A:$K,11,FALSE)," ")</f>
        <v xml:space="preserve"> </v>
      </c>
    </row>
    <row r="278" spans="1:16" ht="52.5" customHeight="1">
      <c r="B278" s="25"/>
      <c r="C278" s="138"/>
      <c r="D278" s="110"/>
      <c r="E278" s="110"/>
      <c r="F278" s="60" t="str">
        <f>IFERROR(VLOOKUP(B278,TOLSEN!A:D,3,FALSE),"0")</f>
        <v>0</v>
      </c>
      <c r="G278" s="61" t="str">
        <f>IFERROR(VLOOKUP(B278,TOLSEN!A:D,4,FALSE),"0")</f>
        <v>0</v>
      </c>
      <c r="H278" s="62" t="str">
        <f>IFERROR(VLOOKUP(B278,TOLSEN!A:K,6,FALSE),"0")</f>
        <v>0</v>
      </c>
      <c r="I278" s="62" t="str">
        <f>IFERROR(VLOOKUP(B278,TOLSEN!A:AC,7,FALSE),"0")</f>
        <v>0</v>
      </c>
      <c r="J278" s="63">
        <f t="shared" si="6"/>
        <v>0</v>
      </c>
      <c r="K278" s="107" t="e">
        <f t="shared" si="7"/>
        <v>#VALUE!</v>
      </c>
      <c r="L278" s="148">
        <f>IFERROR(VLOOKUP($B278,TOLSEN!A:I,8,FALSE),0)</f>
        <v>0</v>
      </c>
      <c r="M278" s="148">
        <f>IFERROR(VLOOKUP($B278,TOLSEN!A:K,9,FALSE),0)</f>
        <v>0</v>
      </c>
      <c r="N278" s="94" t="str">
        <f>IFERROR(VLOOKUP(B278,TOLSEN!A:K,5,FALSE)," ")</f>
        <v xml:space="preserve"> </v>
      </c>
      <c r="O278" s="161" t="str">
        <f>IFERROR(VLOOKUP($B278,TOLSEN!$A:$K,10,FALSE)," ")</f>
        <v xml:space="preserve"> </v>
      </c>
      <c r="P278" s="161" t="str">
        <f>IFERROR(VLOOKUP($B278,TOLSEN!$A:$K,11,FALSE)," ")</f>
        <v xml:space="preserve"> </v>
      </c>
    </row>
    <row r="279" spans="1:16" ht="52.5" customHeight="1">
      <c r="B279" s="25"/>
      <c r="C279" s="137"/>
      <c r="D279" s="110"/>
      <c r="E279" s="110"/>
      <c r="F279" s="60" t="str">
        <f>IFERROR(VLOOKUP(B279,TOLSEN!A:D,3,FALSE),"0")</f>
        <v>0</v>
      </c>
      <c r="G279" s="61" t="str">
        <f>IFERROR(VLOOKUP(B279,TOLSEN!A:D,4,FALSE),"0")</f>
        <v>0</v>
      </c>
      <c r="H279" s="62" t="str">
        <f>IFERROR(VLOOKUP(B279,TOLSEN!A:K,6,FALSE),"0")</f>
        <v>0</v>
      </c>
      <c r="I279" s="62" t="str">
        <f>IFERROR(VLOOKUP(B279,TOLSEN!A:AC,7,FALSE),"0")</f>
        <v>0</v>
      </c>
      <c r="J279" s="63">
        <f t="shared" si="6"/>
        <v>0</v>
      </c>
      <c r="K279" s="107" t="e">
        <f t="shared" si="7"/>
        <v>#VALUE!</v>
      </c>
      <c r="L279" s="148">
        <f>IFERROR(VLOOKUP($B279,TOLSEN!A:I,8,FALSE),0)</f>
        <v>0</v>
      </c>
      <c r="M279" s="148">
        <f>IFERROR(VLOOKUP($B279,TOLSEN!A:K,9,FALSE),0)</f>
        <v>0</v>
      </c>
      <c r="N279" s="94" t="str">
        <f>IFERROR(VLOOKUP(B279,TOLSEN!A:K,5,FALSE)," ")</f>
        <v xml:space="preserve"> </v>
      </c>
      <c r="O279" s="161" t="str">
        <f>IFERROR(VLOOKUP($B279,TOLSEN!$A:$K,10,FALSE)," ")</f>
        <v xml:space="preserve"> </v>
      </c>
      <c r="P279" s="161" t="str">
        <f>IFERROR(VLOOKUP($B279,TOLSEN!$A:$K,11,FALSE)," ")</f>
        <v xml:space="preserve"> </v>
      </c>
    </row>
    <row r="280" spans="1:16" ht="52.5" customHeight="1">
      <c r="B280" s="25"/>
      <c r="C280" s="138"/>
      <c r="D280" s="110"/>
      <c r="E280" s="110"/>
      <c r="F280" s="60" t="str">
        <f>IFERROR(VLOOKUP(B280,TOLSEN!A:D,3,FALSE),"0")</f>
        <v>0</v>
      </c>
      <c r="G280" s="61" t="str">
        <f>IFERROR(VLOOKUP(B280,TOLSEN!A:D,4,FALSE),"0")</f>
        <v>0</v>
      </c>
      <c r="H280" s="62" t="str">
        <f>IFERROR(VLOOKUP(B280,TOLSEN!A:K,6,FALSE),"0")</f>
        <v>0</v>
      </c>
      <c r="I280" s="62" t="str">
        <f>IFERROR(VLOOKUP(B280,TOLSEN!A:AC,7,FALSE),"0")</f>
        <v>0</v>
      </c>
      <c r="J280" s="63">
        <f t="shared" ref="J280:J343" si="8">(I280*C280)</f>
        <v>0</v>
      </c>
      <c r="K280" s="107" t="e">
        <f t="shared" ref="K280:K343" si="9">(J280*(1+N280))</f>
        <v>#VALUE!</v>
      </c>
      <c r="L280" s="148">
        <f>IFERROR(VLOOKUP($B280,TOLSEN!A:I,8,FALSE),0)</f>
        <v>0</v>
      </c>
      <c r="M280" s="148">
        <f>IFERROR(VLOOKUP($B280,TOLSEN!A:K,9,FALSE),0)</f>
        <v>0</v>
      </c>
      <c r="N280" s="94" t="str">
        <f>IFERROR(VLOOKUP(B280,TOLSEN!A:K,5,FALSE)," ")</f>
        <v xml:space="preserve"> </v>
      </c>
      <c r="O280" s="161" t="str">
        <f>IFERROR(VLOOKUP($B280,TOLSEN!$A:$K,10,FALSE)," ")</f>
        <v xml:space="preserve"> </v>
      </c>
      <c r="P280" s="161" t="str">
        <f>IFERROR(VLOOKUP($B280,TOLSEN!$A:$K,11,FALSE)," ")</f>
        <v xml:space="preserve"> </v>
      </c>
    </row>
    <row r="281" spans="1:16" ht="52.5" customHeight="1">
      <c r="B281" s="25"/>
      <c r="C281" s="137"/>
      <c r="D281" s="110"/>
      <c r="E281" s="110"/>
      <c r="F281" s="60" t="str">
        <f>IFERROR(VLOOKUP(B281,TOLSEN!A:D,3,FALSE),"0")</f>
        <v>0</v>
      </c>
      <c r="G281" s="61" t="str">
        <f>IFERROR(VLOOKUP(B281,TOLSEN!A:D,4,FALSE),"0")</f>
        <v>0</v>
      </c>
      <c r="H281" s="62" t="str">
        <f>IFERROR(VLOOKUP(B281,TOLSEN!A:K,6,FALSE),"0")</f>
        <v>0</v>
      </c>
      <c r="I281" s="62" t="str">
        <f>IFERROR(VLOOKUP(B281,TOLSEN!A:AC,7,FALSE),"0")</f>
        <v>0</v>
      </c>
      <c r="J281" s="63">
        <f t="shared" si="8"/>
        <v>0</v>
      </c>
      <c r="K281" s="107" t="e">
        <f t="shared" si="9"/>
        <v>#VALUE!</v>
      </c>
      <c r="L281" s="148">
        <f>IFERROR(VLOOKUP($B281,TOLSEN!A:I,8,FALSE),0)</f>
        <v>0</v>
      </c>
      <c r="M281" s="148">
        <f>IFERROR(VLOOKUP($B281,TOLSEN!A:K,9,FALSE),0)</f>
        <v>0</v>
      </c>
      <c r="N281" s="94" t="str">
        <f>IFERROR(VLOOKUP(B281,TOLSEN!A:K,5,FALSE)," ")</f>
        <v xml:space="preserve"> </v>
      </c>
      <c r="O281" s="161" t="str">
        <f>IFERROR(VLOOKUP($B281,TOLSEN!$A:$K,10,FALSE)," ")</f>
        <v xml:space="preserve"> </v>
      </c>
      <c r="P281" s="161" t="str">
        <f>IFERROR(VLOOKUP($B281,TOLSEN!$A:$K,11,FALSE)," ")</f>
        <v xml:space="preserve"> </v>
      </c>
    </row>
    <row r="282" spans="1:16" ht="52.5" customHeight="1">
      <c r="B282" s="25"/>
      <c r="C282" s="138"/>
      <c r="D282" s="110"/>
      <c r="E282" s="110"/>
      <c r="F282" s="60" t="str">
        <f>IFERROR(VLOOKUP(B282,TOLSEN!A:D,3,FALSE),"0")</f>
        <v>0</v>
      </c>
      <c r="G282" s="61" t="str">
        <f>IFERROR(VLOOKUP(B282,TOLSEN!A:D,4,FALSE),"0")</f>
        <v>0</v>
      </c>
      <c r="H282" s="62" t="str">
        <f>IFERROR(VLOOKUP(B282,TOLSEN!A:K,6,FALSE),"0")</f>
        <v>0</v>
      </c>
      <c r="I282" s="62" t="str">
        <f>IFERROR(VLOOKUP(B282,TOLSEN!A:AC,7,FALSE),"0")</f>
        <v>0</v>
      </c>
      <c r="J282" s="63">
        <f t="shared" si="8"/>
        <v>0</v>
      </c>
      <c r="K282" s="107" t="e">
        <f t="shared" si="9"/>
        <v>#VALUE!</v>
      </c>
      <c r="L282" s="148">
        <f>IFERROR(VLOOKUP($B282,TOLSEN!A:I,8,FALSE),0)</f>
        <v>0</v>
      </c>
      <c r="M282" s="148">
        <f>IFERROR(VLOOKUP($B282,TOLSEN!A:K,9,FALSE),0)</f>
        <v>0</v>
      </c>
      <c r="N282" s="94" t="str">
        <f>IFERROR(VLOOKUP(B282,TOLSEN!A:K,5,FALSE)," ")</f>
        <v xml:space="preserve"> </v>
      </c>
      <c r="O282" s="161" t="str">
        <f>IFERROR(VLOOKUP($B282,TOLSEN!$A:$K,10,FALSE)," ")</f>
        <v xml:space="preserve"> </v>
      </c>
      <c r="P282" s="161" t="str">
        <f>IFERROR(VLOOKUP($B282,TOLSEN!$A:$K,11,FALSE)," ")</f>
        <v xml:space="preserve"> </v>
      </c>
    </row>
    <row r="283" spans="1:16" ht="52.5" customHeight="1">
      <c r="B283" s="25"/>
      <c r="C283" s="137"/>
      <c r="D283" s="110"/>
      <c r="E283" s="110"/>
      <c r="F283" s="60" t="str">
        <f>IFERROR(VLOOKUP(B283,TOLSEN!A:D,3,FALSE),"0")</f>
        <v>0</v>
      </c>
      <c r="G283" s="61" t="str">
        <f>IFERROR(VLOOKUP(B283,TOLSEN!A:D,4,FALSE),"0")</f>
        <v>0</v>
      </c>
      <c r="H283" s="62" t="str">
        <f>IFERROR(VLOOKUP(B283,TOLSEN!A:K,6,FALSE),"0")</f>
        <v>0</v>
      </c>
      <c r="I283" s="62" t="str">
        <f>IFERROR(VLOOKUP(B283,TOLSEN!A:AC,7,FALSE),"0")</f>
        <v>0</v>
      </c>
      <c r="J283" s="63">
        <f t="shared" si="8"/>
        <v>0</v>
      </c>
      <c r="K283" s="107" t="e">
        <f t="shared" si="9"/>
        <v>#VALUE!</v>
      </c>
      <c r="L283" s="148">
        <f>IFERROR(VLOOKUP($B283,TOLSEN!A:I,8,FALSE),0)</f>
        <v>0</v>
      </c>
      <c r="M283" s="148">
        <f>IFERROR(VLOOKUP($B283,TOLSEN!A:K,9,FALSE),0)</f>
        <v>0</v>
      </c>
      <c r="N283" s="94" t="str">
        <f>IFERROR(VLOOKUP(B283,TOLSEN!A:K,5,FALSE)," ")</f>
        <v xml:space="preserve"> </v>
      </c>
      <c r="O283" s="161" t="str">
        <f>IFERROR(VLOOKUP($B283,TOLSEN!$A:$K,10,FALSE)," ")</f>
        <v xml:space="preserve"> </v>
      </c>
      <c r="P283" s="161" t="str">
        <f>IFERROR(VLOOKUP($B283,TOLSEN!$A:$K,11,FALSE)," ")</f>
        <v xml:space="preserve"> </v>
      </c>
    </row>
    <row r="284" spans="1:16" ht="52.5" customHeight="1">
      <c r="A284" s="6"/>
      <c r="B284" s="23"/>
      <c r="C284" s="138"/>
      <c r="D284" s="110"/>
      <c r="E284" s="110"/>
      <c r="F284" s="60" t="str">
        <f>IFERROR(VLOOKUP(B284,TOLSEN!A:D,3,FALSE),"0")</f>
        <v>0</v>
      </c>
      <c r="G284" s="61" t="str">
        <f>IFERROR(VLOOKUP(B284,TOLSEN!A:D,4,FALSE),"0")</f>
        <v>0</v>
      </c>
      <c r="H284" s="62" t="str">
        <f>IFERROR(VLOOKUP(B284,TOLSEN!A:K,6,FALSE),"0")</f>
        <v>0</v>
      </c>
      <c r="I284" s="62" t="str">
        <f>IFERROR(VLOOKUP(B284,TOLSEN!A:AC,7,FALSE),"0")</f>
        <v>0</v>
      </c>
      <c r="J284" s="63">
        <f t="shared" si="8"/>
        <v>0</v>
      </c>
      <c r="K284" s="107" t="e">
        <f t="shared" si="9"/>
        <v>#VALUE!</v>
      </c>
      <c r="L284" s="148">
        <f>IFERROR(VLOOKUP($B284,TOLSEN!A:I,8,FALSE),0)</f>
        <v>0</v>
      </c>
      <c r="M284" s="148">
        <f>IFERROR(VLOOKUP($B284,TOLSEN!A:K,9,FALSE),0)</f>
        <v>0</v>
      </c>
      <c r="N284" s="94" t="str">
        <f>IFERROR(VLOOKUP(B284,TOLSEN!A:K,5,FALSE)," ")</f>
        <v xml:space="preserve"> </v>
      </c>
      <c r="O284" s="161" t="str">
        <f>IFERROR(VLOOKUP($B284,TOLSEN!$A:$K,10,FALSE)," ")</f>
        <v xml:space="preserve"> </v>
      </c>
      <c r="P284" s="161" t="str">
        <f>IFERROR(VLOOKUP($B284,TOLSEN!$A:$K,11,FALSE)," ")</f>
        <v xml:space="preserve"> </v>
      </c>
    </row>
    <row r="285" spans="1:16" ht="52.5" customHeight="1">
      <c r="A285" s="6"/>
      <c r="B285" s="23"/>
      <c r="C285" s="137"/>
      <c r="D285" s="110"/>
      <c r="E285" s="110"/>
      <c r="F285" s="60" t="str">
        <f>IFERROR(VLOOKUP(B285,TOLSEN!A:D,3,FALSE),"0")</f>
        <v>0</v>
      </c>
      <c r="G285" s="61" t="str">
        <f>IFERROR(VLOOKUP(B285,TOLSEN!A:D,4,FALSE),"0")</f>
        <v>0</v>
      </c>
      <c r="H285" s="62" t="str">
        <f>IFERROR(VLOOKUP(B285,TOLSEN!A:K,6,FALSE),"0")</f>
        <v>0</v>
      </c>
      <c r="I285" s="62" t="str">
        <f>IFERROR(VLOOKUP(B285,TOLSEN!A:AC,7,FALSE),"0")</f>
        <v>0</v>
      </c>
      <c r="J285" s="63">
        <f t="shared" si="8"/>
        <v>0</v>
      </c>
      <c r="K285" s="107" t="e">
        <f t="shared" si="9"/>
        <v>#VALUE!</v>
      </c>
      <c r="L285" s="148">
        <f>IFERROR(VLOOKUP($B285,TOLSEN!A:I,8,FALSE),0)</f>
        <v>0</v>
      </c>
      <c r="M285" s="148">
        <f>IFERROR(VLOOKUP($B285,TOLSEN!A:K,9,FALSE),0)</f>
        <v>0</v>
      </c>
      <c r="N285" s="94" t="str">
        <f>IFERROR(VLOOKUP(B285,TOLSEN!A:K,5,FALSE)," ")</f>
        <v xml:space="preserve"> </v>
      </c>
      <c r="O285" s="161" t="str">
        <f>IFERROR(VLOOKUP($B285,TOLSEN!$A:$K,10,FALSE)," ")</f>
        <v xml:space="preserve"> </v>
      </c>
      <c r="P285" s="161" t="str">
        <f>IFERROR(VLOOKUP($B285,TOLSEN!$A:$K,11,FALSE)," ")</f>
        <v xml:space="preserve"> </v>
      </c>
    </row>
    <row r="286" spans="1:16" ht="52.5" customHeight="1">
      <c r="A286" s="6"/>
      <c r="B286" s="23"/>
      <c r="C286" s="138"/>
      <c r="D286" s="110"/>
      <c r="E286" s="110"/>
      <c r="F286" s="60" t="str">
        <f>IFERROR(VLOOKUP(B286,TOLSEN!A:D,3,FALSE),"0")</f>
        <v>0</v>
      </c>
      <c r="G286" s="61" t="str">
        <f>IFERROR(VLOOKUP(B286,TOLSEN!A:D,4,FALSE),"0")</f>
        <v>0</v>
      </c>
      <c r="H286" s="62" t="str">
        <f>IFERROR(VLOOKUP(B286,TOLSEN!A:K,6,FALSE),"0")</f>
        <v>0</v>
      </c>
      <c r="I286" s="62" t="str">
        <f>IFERROR(VLOOKUP(B286,TOLSEN!A:AC,7,FALSE),"0")</f>
        <v>0</v>
      </c>
      <c r="J286" s="63">
        <f t="shared" si="8"/>
        <v>0</v>
      </c>
      <c r="K286" s="107" t="e">
        <f t="shared" si="9"/>
        <v>#VALUE!</v>
      </c>
      <c r="L286" s="148">
        <f>IFERROR(VLOOKUP($B286,TOLSEN!A:I,8,FALSE),0)</f>
        <v>0</v>
      </c>
      <c r="M286" s="148">
        <f>IFERROR(VLOOKUP($B286,TOLSEN!A:K,9,FALSE),0)</f>
        <v>0</v>
      </c>
      <c r="N286" s="94" t="str">
        <f>IFERROR(VLOOKUP(B286,TOLSEN!A:K,5,FALSE)," ")</f>
        <v xml:space="preserve"> </v>
      </c>
      <c r="O286" s="161" t="str">
        <f>IFERROR(VLOOKUP($B286,TOLSEN!$A:$K,10,FALSE)," ")</f>
        <v xml:space="preserve"> </v>
      </c>
      <c r="P286" s="161" t="str">
        <f>IFERROR(VLOOKUP($B286,TOLSEN!$A:$K,11,FALSE)," ")</f>
        <v xml:space="preserve"> </v>
      </c>
    </row>
    <row r="287" spans="1:16" ht="52.5" customHeight="1">
      <c r="A287" s="6"/>
      <c r="B287" s="23"/>
      <c r="C287" s="137"/>
      <c r="D287" s="110"/>
      <c r="E287" s="110"/>
      <c r="F287" s="60" t="str">
        <f>IFERROR(VLOOKUP(B287,TOLSEN!A:D,3,FALSE),"0")</f>
        <v>0</v>
      </c>
      <c r="G287" s="61" t="str">
        <f>IFERROR(VLOOKUP(B287,TOLSEN!A:D,4,FALSE),"0")</f>
        <v>0</v>
      </c>
      <c r="H287" s="62" t="str">
        <f>IFERROR(VLOOKUP(B287,TOLSEN!A:K,6,FALSE),"0")</f>
        <v>0</v>
      </c>
      <c r="I287" s="62" t="str">
        <f>IFERROR(VLOOKUP(B287,TOLSEN!A:AC,7,FALSE),"0")</f>
        <v>0</v>
      </c>
      <c r="J287" s="63">
        <f t="shared" si="8"/>
        <v>0</v>
      </c>
      <c r="K287" s="107" t="e">
        <f t="shared" si="9"/>
        <v>#VALUE!</v>
      </c>
      <c r="L287" s="148">
        <f>IFERROR(VLOOKUP($B287,TOLSEN!A:I,8,FALSE),0)</f>
        <v>0</v>
      </c>
      <c r="M287" s="148">
        <f>IFERROR(VLOOKUP($B287,TOLSEN!A:K,9,FALSE),0)</f>
        <v>0</v>
      </c>
      <c r="N287" s="94" t="str">
        <f>IFERROR(VLOOKUP(B287,TOLSEN!A:K,5,FALSE)," ")</f>
        <v xml:space="preserve"> </v>
      </c>
      <c r="O287" s="161" t="str">
        <f>IFERROR(VLOOKUP($B287,TOLSEN!$A:$K,10,FALSE)," ")</f>
        <v xml:space="preserve"> </v>
      </c>
      <c r="P287" s="161" t="str">
        <f>IFERROR(VLOOKUP($B287,TOLSEN!$A:$K,11,FALSE)," ")</f>
        <v xml:space="preserve"> </v>
      </c>
    </row>
    <row r="288" spans="1:16" ht="52.5" customHeight="1">
      <c r="A288" s="6"/>
      <c r="B288" s="23"/>
      <c r="C288" s="138"/>
      <c r="D288" s="110"/>
      <c r="E288" s="110"/>
      <c r="F288" s="60" t="str">
        <f>IFERROR(VLOOKUP(B288,TOLSEN!A:D,3,FALSE),"0")</f>
        <v>0</v>
      </c>
      <c r="G288" s="61" t="str">
        <f>IFERROR(VLOOKUP(B288,TOLSEN!A:D,4,FALSE),"0")</f>
        <v>0</v>
      </c>
      <c r="H288" s="62" t="str">
        <f>IFERROR(VLOOKUP(B288,TOLSEN!A:K,6,FALSE),"0")</f>
        <v>0</v>
      </c>
      <c r="I288" s="62" t="str">
        <f>IFERROR(VLOOKUP(B288,TOLSEN!A:AC,7,FALSE),"0")</f>
        <v>0</v>
      </c>
      <c r="J288" s="63">
        <f t="shared" si="8"/>
        <v>0</v>
      </c>
      <c r="K288" s="107" t="e">
        <f t="shared" si="9"/>
        <v>#VALUE!</v>
      </c>
      <c r="L288" s="148">
        <f>IFERROR(VLOOKUP($B288,TOLSEN!A:I,8,FALSE),0)</f>
        <v>0</v>
      </c>
      <c r="M288" s="148">
        <f>IFERROR(VLOOKUP($B288,TOLSEN!A:K,9,FALSE),0)</f>
        <v>0</v>
      </c>
      <c r="N288" s="94" t="str">
        <f>IFERROR(VLOOKUP(B288,TOLSEN!A:K,5,FALSE)," ")</f>
        <v xml:space="preserve"> </v>
      </c>
      <c r="O288" s="161" t="str">
        <f>IFERROR(VLOOKUP($B288,TOLSEN!$A:$K,10,FALSE)," ")</f>
        <v xml:space="preserve"> </v>
      </c>
      <c r="P288" s="161" t="str">
        <f>IFERROR(VLOOKUP($B288,TOLSEN!$A:$K,11,FALSE)," ")</f>
        <v xml:space="preserve"> </v>
      </c>
    </row>
    <row r="289" spans="1:16" ht="52.5" customHeight="1">
      <c r="A289" s="6"/>
      <c r="B289" s="23"/>
      <c r="C289" s="137"/>
      <c r="D289" s="110"/>
      <c r="E289" s="110"/>
      <c r="F289" s="60" t="str">
        <f>IFERROR(VLOOKUP(B289,TOLSEN!A:D,3,FALSE),"0")</f>
        <v>0</v>
      </c>
      <c r="G289" s="61" t="str">
        <f>IFERROR(VLOOKUP(B289,TOLSEN!A:D,4,FALSE),"0")</f>
        <v>0</v>
      </c>
      <c r="H289" s="62" t="str">
        <f>IFERROR(VLOOKUP(B289,TOLSEN!A:K,6,FALSE),"0")</f>
        <v>0</v>
      </c>
      <c r="I289" s="62" t="str">
        <f>IFERROR(VLOOKUP(B289,TOLSEN!A:AC,7,FALSE),"0")</f>
        <v>0</v>
      </c>
      <c r="J289" s="63">
        <f t="shared" si="8"/>
        <v>0</v>
      </c>
      <c r="K289" s="107" t="e">
        <f t="shared" si="9"/>
        <v>#VALUE!</v>
      </c>
      <c r="L289" s="148">
        <f>IFERROR(VLOOKUP($B289,TOLSEN!A:I,8,FALSE),0)</f>
        <v>0</v>
      </c>
      <c r="M289" s="148">
        <f>IFERROR(VLOOKUP($B289,TOLSEN!A:K,9,FALSE),0)</f>
        <v>0</v>
      </c>
      <c r="N289" s="94" t="str">
        <f>IFERROR(VLOOKUP(B289,TOLSEN!A:K,5,FALSE)," ")</f>
        <v xml:space="preserve"> </v>
      </c>
      <c r="O289" s="161" t="str">
        <f>IFERROR(VLOOKUP($B289,TOLSEN!$A:$K,10,FALSE)," ")</f>
        <v xml:space="preserve"> </v>
      </c>
      <c r="P289" s="161" t="str">
        <f>IFERROR(VLOOKUP($B289,TOLSEN!$A:$K,11,FALSE)," ")</f>
        <v xml:space="preserve"> </v>
      </c>
    </row>
    <row r="290" spans="1:16" ht="52.5" customHeight="1">
      <c r="A290" s="6"/>
      <c r="B290" s="23"/>
      <c r="C290" s="138"/>
      <c r="D290" s="110"/>
      <c r="E290" s="110"/>
      <c r="F290" s="60" t="str">
        <f>IFERROR(VLOOKUP(B290,TOLSEN!A:D,3,FALSE),"0")</f>
        <v>0</v>
      </c>
      <c r="G290" s="61" t="str">
        <f>IFERROR(VLOOKUP(B290,TOLSEN!A:D,4,FALSE),"0")</f>
        <v>0</v>
      </c>
      <c r="H290" s="62" t="str">
        <f>IFERROR(VLOOKUP(B290,TOLSEN!A:K,6,FALSE),"0")</f>
        <v>0</v>
      </c>
      <c r="I290" s="62" t="str">
        <f>IFERROR(VLOOKUP(B290,TOLSEN!A:AC,7,FALSE),"0")</f>
        <v>0</v>
      </c>
      <c r="J290" s="63">
        <f t="shared" si="8"/>
        <v>0</v>
      </c>
      <c r="K290" s="107" t="e">
        <f t="shared" si="9"/>
        <v>#VALUE!</v>
      </c>
      <c r="L290" s="148">
        <f>IFERROR(VLOOKUP($B290,TOLSEN!A:I,8,FALSE),0)</f>
        <v>0</v>
      </c>
      <c r="M290" s="148">
        <f>IFERROR(VLOOKUP($B290,TOLSEN!A:K,9,FALSE),0)</f>
        <v>0</v>
      </c>
      <c r="N290" s="94" t="str">
        <f>IFERROR(VLOOKUP(B290,TOLSEN!A:K,5,FALSE)," ")</f>
        <v xml:space="preserve"> </v>
      </c>
      <c r="O290" s="161" t="str">
        <f>IFERROR(VLOOKUP($B290,TOLSEN!$A:$K,10,FALSE)," ")</f>
        <v xml:space="preserve"> </v>
      </c>
      <c r="P290" s="161" t="str">
        <f>IFERROR(VLOOKUP($B290,TOLSEN!$A:$K,11,FALSE)," ")</f>
        <v xml:space="preserve"> </v>
      </c>
    </row>
    <row r="291" spans="1:16" ht="52.5" customHeight="1">
      <c r="A291" s="6"/>
      <c r="B291" s="23"/>
      <c r="C291" s="137"/>
      <c r="D291" s="110"/>
      <c r="E291" s="110"/>
      <c r="F291" s="60" t="str">
        <f>IFERROR(VLOOKUP(B291,TOLSEN!A:D,3,FALSE),"0")</f>
        <v>0</v>
      </c>
      <c r="G291" s="61" t="str">
        <f>IFERROR(VLOOKUP(B291,TOLSEN!A:D,4,FALSE),"0")</f>
        <v>0</v>
      </c>
      <c r="H291" s="62" t="str">
        <f>IFERROR(VLOOKUP(B291,TOLSEN!A:K,6,FALSE),"0")</f>
        <v>0</v>
      </c>
      <c r="I291" s="62" t="str">
        <f>IFERROR(VLOOKUP(B291,TOLSEN!A:AC,7,FALSE),"0")</f>
        <v>0</v>
      </c>
      <c r="J291" s="63">
        <f t="shared" si="8"/>
        <v>0</v>
      </c>
      <c r="K291" s="107" t="e">
        <f t="shared" si="9"/>
        <v>#VALUE!</v>
      </c>
      <c r="L291" s="148">
        <f>IFERROR(VLOOKUP($B291,TOLSEN!A:I,8,FALSE),0)</f>
        <v>0</v>
      </c>
      <c r="M291" s="148">
        <f>IFERROR(VLOOKUP($B291,TOLSEN!A:K,9,FALSE),0)</f>
        <v>0</v>
      </c>
      <c r="N291" s="94" t="str">
        <f>IFERROR(VLOOKUP(B291,TOLSEN!A:K,5,FALSE)," ")</f>
        <v xml:space="preserve"> </v>
      </c>
      <c r="O291" s="161" t="str">
        <f>IFERROR(VLOOKUP($B291,TOLSEN!$A:$K,10,FALSE)," ")</f>
        <v xml:space="preserve"> </v>
      </c>
      <c r="P291" s="161" t="str">
        <f>IFERROR(VLOOKUP($B291,TOLSEN!$A:$K,11,FALSE)," ")</f>
        <v xml:space="preserve"> </v>
      </c>
    </row>
    <row r="292" spans="1:16" ht="52.5" customHeight="1">
      <c r="A292" s="6"/>
      <c r="B292" s="23"/>
      <c r="C292" s="138"/>
      <c r="D292" s="110"/>
      <c r="E292" s="110"/>
      <c r="F292" s="60" t="str">
        <f>IFERROR(VLOOKUP(B292,TOLSEN!A:D,3,FALSE),"0")</f>
        <v>0</v>
      </c>
      <c r="G292" s="61" t="str">
        <f>IFERROR(VLOOKUP(B292,TOLSEN!A:D,4,FALSE),"0")</f>
        <v>0</v>
      </c>
      <c r="H292" s="62" t="str">
        <f>IFERROR(VLOOKUP(B292,TOLSEN!A:K,6,FALSE),"0")</f>
        <v>0</v>
      </c>
      <c r="I292" s="62" t="str">
        <f>IFERROR(VLOOKUP(B292,TOLSEN!A:AC,7,FALSE),"0")</f>
        <v>0</v>
      </c>
      <c r="J292" s="63">
        <f t="shared" si="8"/>
        <v>0</v>
      </c>
      <c r="K292" s="107" t="e">
        <f t="shared" si="9"/>
        <v>#VALUE!</v>
      </c>
      <c r="L292" s="148">
        <f>IFERROR(VLOOKUP($B292,TOLSEN!A:I,8,FALSE),0)</f>
        <v>0</v>
      </c>
      <c r="M292" s="148">
        <f>IFERROR(VLOOKUP($B292,TOLSEN!A:K,9,FALSE),0)</f>
        <v>0</v>
      </c>
      <c r="N292" s="94" t="str">
        <f>IFERROR(VLOOKUP(B292,TOLSEN!A:K,5,FALSE)," ")</f>
        <v xml:space="preserve"> </v>
      </c>
      <c r="O292" s="161" t="str">
        <f>IFERROR(VLOOKUP($B292,TOLSEN!$A:$K,10,FALSE)," ")</f>
        <v xml:space="preserve"> </v>
      </c>
      <c r="P292" s="161" t="str">
        <f>IFERROR(VLOOKUP($B292,TOLSEN!$A:$K,11,FALSE)," ")</f>
        <v xml:space="preserve"> </v>
      </c>
    </row>
    <row r="293" spans="1:16" ht="52.5" customHeight="1">
      <c r="A293" s="6"/>
      <c r="B293" s="23"/>
      <c r="C293" s="137"/>
      <c r="D293" s="110"/>
      <c r="E293" s="110"/>
      <c r="F293" s="60" t="str">
        <f>IFERROR(VLOOKUP(B293,TOLSEN!A:D,3,FALSE),"0")</f>
        <v>0</v>
      </c>
      <c r="G293" s="61" t="str">
        <f>IFERROR(VLOOKUP(B293,TOLSEN!A:D,4,FALSE),"0")</f>
        <v>0</v>
      </c>
      <c r="H293" s="62" t="str">
        <f>IFERROR(VLOOKUP(B293,TOLSEN!A:K,6,FALSE),"0")</f>
        <v>0</v>
      </c>
      <c r="I293" s="62" t="str">
        <f>IFERROR(VLOOKUP(B293,TOLSEN!A:AC,7,FALSE),"0")</f>
        <v>0</v>
      </c>
      <c r="J293" s="63">
        <f t="shared" si="8"/>
        <v>0</v>
      </c>
      <c r="K293" s="107" t="e">
        <f t="shared" si="9"/>
        <v>#VALUE!</v>
      </c>
      <c r="L293" s="148">
        <f>IFERROR(VLOOKUP($B293,TOLSEN!A:I,8,FALSE),0)</f>
        <v>0</v>
      </c>
      <c r="M293" s="148">
        <f>IFERROR(VLOOKUP($B293,TOLSEN!A:K,9,FALSE),0)</f>
        <v>0</v>
      </c>
      <c r="N293" s="94" t="str">
        <f>IFERROR(VLOOKUP(B293,TOLSEN!A:K,5,FALSE)," ")</f>
        <v xml:space="preserve"> </v>
      </c>
      <c r="O293" s="161" t="str">
        <f>IFERROR(VLOOKUP($B293,TOLSEN!$A:$K,10,FALSE)," ")</f>
        <v xml:space="preserve"> </v>
      </c>
      <c r="P293" s="161" t="str">
        <f>IFERROR(VLOOKUP($B293,TOLSEN!$A:$K,11,FALSE)," ")</f>
        <v xml:space="preserve"> </v>
      </c>
    </row>
    <row r="294" spans="1:16" ht="52.5" customHeight="1">
      <c r="A294" s="6"/>
      <c r="B294" s="23"/>
      <c r="C294" s="138"/>
      <c r="D294" s="110"/>
      <c r="E294" s="110"/>
      <c r="F294" s="60" t="str">
        <f>IFERROR(VLOOKUP(B294,TOLSEN!A:D,3,FALSE),"0")</f>
        <v>0</v>
      </c>
      <c r="G294" s="61" t="str">
        <f>IFERROR(VLOOKUP(B294,TOLSEN!A:D,4,FALSE),"0")</f>
        <v>0</v>
      </c>
      <c r="H294" s="62" t="str">
        <f>IFERROR(VLOOKUP(B294,TOLSEN!A:K,6,FALSE),"0")</f>
        <v>0</v>
      </c>
      <c r="I294" s="62" t="str">
        <f>IFERROR(VLOOKUP(B294,TOLSEN!A:AC,7,FALSE),"0")</f>
        <v>0</v>
      </c>
      <c r="J294" s="63">
        <f t="shared" si="8"/>
        <v>0</v>
      </c>
      <c r="K294" s="107" t="e">
        <f t="shared" si="9"/>
        <v>#VALUE!</v>
      </c>
      <c r="L294" s="148">
        <f>IFERROR(VLOOKUP($B294,TOLSEN!A:I,8,FALSE),0)</f>
        <v>0</v>
      </c>
      <c r="M294" s="148">
        <f>IFERROR(VLOOKUP($B294,TOLSEN!A:K,9,FALSE),0)</f>
        <v>0</v>
      </c>
      <c r="N294" s="94" t="str">
        <f>IFERROR(VLOOKUP(B294,TOLSEN!A:K,5,FALSE)," ")</f>
        <v xml:space="preserve"> </v>
      </c>
      <c r="O294" s="161" t="str">
        <f>IFERROR(VLOOKUP($B294,TOLSEN!$A:$K,10,FALSE)," ")</f>
        <v xml:space="preserve"> </v>
      </c>
      <c r="P294" s="161" t="str">
        <f>IFERROR(VLOOKUP($B294,TOLSEN!$A:$K,11,FALSE)," ")</f>
        <v xml:space="preserve"> </v>
      </c>
    </row>
    <row r="295" spans="1:16" ht="52.5" customHeight="1">
      <c r="A295" s="6"/>
      <c r="B295" s="23"/>
      <c r="C295" s="137"/>
      <c r="D295" s="110"/>
      <c r="E295" s="110"/>
      <c r="F295" s="60" t="str">
        <f>IFERROR(VLOOKUP(B295,TOLSEN!A:D,3,FALSE),"0")</f>
        <v>0</v>
      </c>
      <c r="G295" s="61" t="str">
        <f>IFERROR(VLOOKUP(B295,TOLSEN!A:D,4,FALSE),"0")</f>
        <v>0</v>
      </c>
      <c r="H295" s="62" t="str">
        <f>IFERROR(VLOOKUP(B295,TOLSEN!A:K,6,FALSE),"0")</f>
        <v>0</v>
      </c>
      <c r="I295" s="62" t="str">
        <f>IFERROR(VLOOKUP(B295,TOLSEN!A:AC,7,FALSE),"0")</f>
        <v>0</v>
      </c>
      <c r="J295" s="63">
        <f t="shared" si="8"/>
        <v>0</v>
      </c>
      <c r="K295" s="107" t="e">
        <f t="shared" si="9"/>
        <v>#VALUE!</v>
      </c>
      <c r="L295" s="148">
        <f>IFERROR(VLOOKUP($B295,TOLSEN!A:I,8,FALSE),0)</f>
        <v>0</v>
      </c>
      <c r="M295" s="148">
        <f>IFERROR(VLOOKUP($B295,TOLSEN!A:K,9,FALSE),0)</f>
        <v>0</v>
      </c>
      <c r="N295" s="94" t="str">
        <f>IFERROR(VLOOKUP(B295,TOLSEN!A:K,5,FALSE)," ")</f>
        <v xml:space="preserve"> </v>
      </c>
      <c r="O295" s="161" t="str">
        <f>IFERROR(VLOOKUP($B295,TOLSEN!$A:$K,10,FALSE)," ")</f>
        <v xml:space="preserve"> </v>
      </c>
      <c r="P295" s="161" t="str">
        <f>IFERROR(VLOOKUP($B295,TOLSEN!$A:$K,11,FALSE)," ")</f>
        <v xml:space="preserve"> </v>
      </c>
    </row>
    <row r="296" spans="1:16" ht="52.5" customHeight="1">
      <c r="A296" s="6"/>
      <c r="B296" s="23"/>
      <c r="C296" s="138"/>
      <c r="D296" s="110"/>
      <c r="E296" s="110"/>
      <c r="F296" s="60" t="str">
        <f>IFERROR(VLOOKUP(B296,TOLSEN!A:D,3,FALSE),"0")</f>
        <v>0</v>
      </c>
      <c r="G296" s="61" t="str">
        <f>IFERROR(VLOOKUP(B296,TOLSEN!A:D,4,FALSE),"0")</f>
        <v>0</v>
      </c>
      <c r="H296" s="62" t="str">
        <f>IFERROR(VLOOKUP(B296,TOLSEN!A:K,6,FALSE),"0")</f>
        <v>0</v>
      </c>
      <c r="I296" s="62" t="str">
        <f>IFERROR(VLOOKUP(B296,TOLSEN!A:AC,7,FALSE),"0")</f>
        <v>0</v>
      </c>
      <c r="J296" s="63">
        <f t="shared" si="8"/>
        <v>0</v>
      </c>
      <c r="K296" s="107" t="e">
        <f t="shared" si="9"/>
        <v>#VALUE!</v>
      </c>
      <c r="L296" s="148">
        <f>IFERROR(VLOOKUP($B296,TOLSEN!A:I,8,FALSE),0)</f>
        <v>0</v>
      </c>
      <c r="M296" s="148">
        <f>IFERROR(VLOOKUP($B296,TOLSEN!A:K,9,FALSE),0)</f>
        <v>0</v>
      </c>
      <c r="N296" s="94" t="str">
        <f>IFERROR(VLOOKUP(B296,TOLSEN!A:K,5,FALSE)," ")</f>
        <v xml:space="preserve"> </v>
      </c>
      <c r="O296" s="161" t="str">
        <f>IFERROR(VLOOKUP($B296,TOLSEN!$A:$K,10,FALSE)," ")</f>
        <v xml:space="preserve"> </v>
      </c>
      <c r="P296" s="161" t="str">
        <f>IFERROR(VLOOKUP($B296,TOLSEN!$A:$K,11,FALSE)," ")</f>
        <v xml:space="preserve"> </v>
      </c>
    </row>
    <row r="297" spans="1:16" ht="52.5" customHeight="1">
      <c r="A297" s="6"/>
      <c r="B297" s="23"/>
      <c r="C297" s="137"/>
      <c r="D297" s="110"/>
      <c r="E297" s="110"/>
      <c r="F297" s="60" t="str">
        <f>IFERROR(VLOOKUP(B297,TOLSEN!A:D,3,FALSE),"0")</f>
        <v>0</v>
      </c>
      <c r="G297" s="61" t="str">
        <f>IFERROR(VLOOKUP(B297,TOLSEN!A:D,4,FALSE),"0")</f>
        <v>0</v>
      </c>
      <c r="H297" s="62" t="str">
        <f>IFERROR(VLOOKUP(B297,TOLSEN!A:K,6,FALSE),"0")</f>
        <v>0</v>
      </c>
      <c r="I297" s="62" t="str">
        <f>IFERROR(VLOOKUP(B297,TOLSEN!A:AC,7,FALSE),"0")</f>
        <v>0</v>
      </c>
      <c r="J297" s="63">
        <f t="shared" si="8"/>
        <v>0</v>
      </c>
      <c r="K297" s="107" t="e">
        <f t="shared" si="9"/>
        <v>#VALUE!</v>
      </c>
      <c r="L297" s="148">
        <f>IFERROR(VLOOKUP($B297,TOLSEN!A:I,8,FALSE),0)</f>
        <v>0</v>
      </c>
      <c r="M297" s="148">
        <f>IFERROR(VLOOKUP($B297,TOLSEN!A:K,9,FALSE),0)</f>
        <v>0</v>
      </c>
      <c r="N297" s="94" t="str">
        <f>IFERROR(VLOOKUP(B297,TOLSEN!A:K,5,FALSE)," ")</f>
        <v xml:space="preserve"> </v>
      </c>
      <c r="O297" s="161" t="str">
        <f>IFERROR(VLOOKUP($B297,TOLSEN!$A:$K,10,FALSE)," ")</f>
        <v xml:space="preserve"> </v>
      </c>
      <c r="P297" s="161" t="str">
        <f>IFERROR(VLOOKUP($B297,TOLSEN!$A:$K,11,FALSE)," ")</f>
        <v xml:space="preserve"> </v>
      </c>
    </row>
    <row r="298" spans="1:16" ht="52.5" customHeight="1">
      <c r="A298" s="6"/>
      <c r="B298" s="23"/>
      <c r="C298" s="137"/>
      <c r="D298" s="110"/>
      <c r="E298" s="110"/>
      <c r="F298" s="60" t="str">
        <f>IFERROR(VLOOKUP(B298,TOLSEN!A:D,3,FALSE),"0")</f>
        <v>0</v>
      </c>
      <c r="G298" s="61" t="str">
        <f>IFERROR(VLOOKUP(B298,TOLSEN!A:D,4,FALSE),"0")</f>
        <v>0</v>
      </c>
      <c r="H298" s="62" t="str">
        <f>IFERROR(VLOOKUP(B298,TOLSEN!A:K,6,FALSE),"0")</f>
        <v>0</v>
      </c>
      <c r="I298" s="62" t="str">
        <f>IFERROR(VLOOKUP(B298,TOLSEN!A:AC,7,FALSE),"0")</f>
        <v>0</v>
      </c>
      <c r="J298" s="63">
        <f t="shared" si="8"/>
        <v>0</v>
      </c>
      <c r="K298" s="107" t="e">
        <f t="shared" si="9"/>
        <v>#VALUE!</v>
      </c>
      <c r="L298" s="148">
        <f>IFERROR(VLOOKUP($B298,TOLSEN!A:I,8,FALSE),0)</f>
        <v>0</v>
      </c>
      <c r="M298" s="148">
        <f>IFERROR(VLOOKUP($B298,TOLSEN!A:K,9,FALSE),0)</f>
        <v>0</v>
      </c>
      <c r="N298" s="94" t="str">
        <f>IFERROR(VLOOKUP(B298,TOLSEN!A:K,5,FALSE)," ")</f>
        <v xml:space="preserve"> </v>
      </c>
      <c r="O298" s="161" t="str">
        <f>IFERROR(VLOOKUP($B298,TOLSEN!$A:$K,10,FALSE)," ")</f>
        <v xml:space="preserve"> </v>
      </c>
      <c r="P298" s="161" t="str">
        <f>IFERROR(VLOOKUP($B298,TOLSEN!$A:$K,11,FALSE)," ")</f>
        <v xml:space="preserve"> </v>
      </c>
    </row>
    <row r="299" spans="1:16" ht="52.5" customHeight="1">
      <c r="A299" s="6"/>
      <c r="B299" s="23"/>
      <c r="C299" s="137"/>
      <c r="D299" s="110"/>
      <c r="E299" s="110"/>
      <c r="F299" s="60" t="str">
        <f>IFERROR(VLOOKUP(B299,TOLSEN!A:D,3,FALSE),"0")</f>
        <v>0</v>
      </c>
      <c r="G299" s="61" t="str">
        <f>IFERROR(VLOOKUP(B299,TOLSEN!A:D,4,FALSE),"0")</f>
        <v>0</v>
      </c>
      <c r="H299" s="62" t="str">
        <f>IFERROR(VLOOKUP(B299,TOLSEN!A:K,6,FALSE),"0")</f>
        <v>0</v>
      </c>
      <c r="I299" s="62" t="str">
        <f>IFERROR(VLOOKUP(B299,TOLSEN!A:AC,7,FALSE),"0")</f>
        <v>0</v>
      </c>
      <c r="J299" s="63">
        <f t="shared" si="8"/>
        <v>0</v>
      </c>
      <c r="K299" s="107" t="e">
        <f t="shared" si="9"/>
        <v>#VALUE!</v>
      </c>
      <c r="L299" s="148">
        <f>IFERROR(VLOOKUP($B299,TOLSEN!A:I,8,FALSE),0)</f>
        <v>0</v>
      </c>
      <c r="M299" s="148">
        <f>IFERROR(VLOOKUP($B299,TOLSEN!A:K,9,FALSE),0)</f>
        <v>0</v>
      </c>
      <c r="N299" s="94" t="str">
        <f>IFERROR(VLOOKUP(B299,TOLSEN!A:K,5,FALSE)," ")</f>
        <v xml:space="preserve"> </v>
      </c>
      <c r="O299" s="161" t="str">
        <f>IFERROR(VLOOKUP($B299,TOLSEN!$A:$K,10,FALSE)," ")</f>
        <v xml:space="preserve"> </v>
      </c>
      <c r="P299" s="161" t="str">
        <f>IFERROR(VLOOKUP($B299,TOLSEN!$A:$K,11,FALSE)," ")</f>
        <v xml:space="preserve"> </v>
      </c>
    </row>
    <row r="300" spans="1:16" ht="52.5" customHeight="1">
      <c r="A300" s="6"/>
      <c r="B300" s="23"/>
      <c r="C300" s="138"/>
      <c r="D300" s="110"/>
      <c r="E300" s="110"/>
      <c r="F300" s="60" t="str">
        <f>IFERROR(VLOOKUP(B300,TOLSEN!A:D,3,FALSE),"0")</f>
        <v>0</v>
      </c>
      <c r="G300" s="61" t="str">
        <f>IFERROR(VLOOKUP(B300,TOLSEN!A:D,4,FALSE),"0")</f>
        <v>0</v>
      </c>
      <c r="H300" s="62" t="str">
        <f>IFERROR(VLOOKUP(B300,TOLSEN!A:K,6,FALSE),"0")</f>
        <v>0</v>
      </c>
      <c r="I300" s="62" t="str">
        <f>IFERROR(VLOOKUP(B300,TOLSEN!A:AC,7,FALSE),"0")</f>
        <v>0</v>
      </c>
      <c r="J300" s="63">
        <f t="shared" si="8"/>
        <v>0</v>
      </c>
      <c r="K300" s="107" t="e">
        <f t="shared" si="9"/>
        <v>#VALUE!</v>
      </c>
      <c r="L300" s="148">
        <f>IFERROR(VLOOKUP($B300,TOLSEN!A:I,8,FALSE),0)</f>
        <v>0</v>
      </c>
      <c r="M300" s="148">
        <f>IFERROR(VLOOKUP($B300,TOLSEN!A:K,9,FALSE),0)</f>
        <v>0</v>
      </c>
      <c r="N300" s="94" t="str">
        <f>IFERROR(VLOOKUP(B300,TOLSEN!A:K,5,FALSE)," ")</f>
        <v xml:space="preserve"> </v>
      </c>
      <c r="O300" s="161" t="str">
        <f>IFERROR(VLOOKUP($B300,TOLSEN!$A:$K,10,FALSE)," ")</f>
        <v xml:space="preserve"> </v>
      </c>
      <c r="P300" s="161" t="str">
        <f>IFERROR(VLOOKUP($B300,TOLSEN!$A:$K,11,FALSE)," ")</f>
        <v xml:space="preserve"> </v>
      </c>
    </row>
    <row r="301" spans="1:16" ht="52.5" customHeight="1">
      <c r="A301" s="6"/>
      <c r="B301" s="23"/>
      <c r="C301" s="137"/>
      <c r="D301" s="110"/>
      <c r="E301" s="110"/>
      <c r="F301" s="60" t="str">
        <f>IFERROR(VLOOKUP(B301,TOLSEN!A:D,3,FALSE),"0")</f>
        <v>0</v>
      </c>
      <c r="G301" s="61" t="str">
        <f>IFERROR(VLOOKUP(B301,TOLSEN!A:D,4,FALSE),"0")</f>
        <v>0</v>
      </c>
      <c r="H301" s="62" t="str">
        <f>IFERROR(VLOOKUP(B301,TOLSEN!A:K,6,FALSE),"0")</f>
        <v>0</v>
      </c>
      <c r="I301" s="62" t="str">
        <f>IFERROR(VLOOKUP(B301,TOLSEN!A:AC,7,FALSE),"0")</f>
        <v>0</v>
      </c>
      <c r="J301" s="63">
        <f t="shared" si="8"/>
        <v>0</v>
      </c>
      <c r="K301" s="107" t="e">
        <f t="shared" si="9"/>
        <v>#VALUE!</v>
      </c>
      <c r="L301" s="148">
        <f>IFERROR(VLOOKUP($B301,TOLSEN!A:I,8,FALSE),0)</f>
        <v>0</v>
      </c>
      <c r="M301" s="148">
        <f>IFERROR(VLOOKUP($B301,TOLSEN!A:K,9,FALSE),0)</f>
        <v>0</v>
      </c>
      <c r="N301" s="94" t="str">
        <f>IFERROR(VLOOKUP(B301,TOLSEN!A:K,5,FALSE)," ")</f>
        <v xml:space="preserve"> </v>
      </c>
      <c r="O301" s="161" t="str">
        <f>IFERROR(VLOOKUP($B301,TOLSEN!$A:$K,10,FALSE)," ")</f>
        <v xml:space="preserve"> </v>
      </c>
      <c r="P301" s="161" t="str">
        <f>IFERROR(VLOOKUP($B301,TOLSEN!$A:$K,11,FALSE)," ")</f>
        <v xml:space="preserve"> </v>
      </c>
    </row>
    <row r="302" spans="1:16" ht="52.5" customHeight="1">
      <c r="A302" s="6"/>
      <c r="B302" s="23"/>
      <c r="C302" s="138"/>
      <c r="D302" s="110"/>
      <c r="E302" s="110"/>
      <c r="F302" s="60" t="str">
        <f>IFERROR(VLOOKUP(B302,TOLSEN!A:D,3,FALSE),"0")</f>
        <v>0</v>
      </c>
      <c r="G302" s="61" t="str">
        <f>IFERROR(VLOOKUP(B302,TOLSEN!A:D,4,FALSE),"0")</f>
        <v>0</v>
      </c>
      <c r="H302" s="62" t="str">
        <f>IFERROR(VLOOKUP(B302,TOLSEN!A:K,6,FALSE),"0")</f>
        <v>0</v>
      </c>
      <c r="I302" s="62" t="str">
        <f>IFERROR(VLOOKUP(B302,TOLSEN!A:AC,7,FALSE),"0")</f>
        <v>0</v>
      </c>
      <c r="J302" s="63">
        <f t="shared" si="8"/>
        <v>0</v>
      </c>
      <c r="K302" s="107" t="e">
        <f t="shared" si="9"/>
        <v>#VALUE!</v>
      </c>
      <c r="L302" s="148">
        <f>IFERROR(VLOOKUP($B302,TOLSEN!A:I,8,FALSE),0)</f>
        <v>0</v>
      </c>
      <c r="M302" s="148">
        <f>IFERROR(VLOOKUP($B302,TOLSEN!A:K,9,FALSE),0)</f>
        <v>0</v>
      </c>
      <c r="N302" s="94" t="str">
        <f>IFERROR(VLOOKUP(B302,TOLSEN!A:K,5,FALSE)," ")</f>
        <v xml:space="preserve"> </v>
      </c>
      <c r="O302" s="161" t="str">
        <f>IFERROR(VLOOKUP($B302,TOLSEN!$A:$K,10,FALSE)," ")</f>
        <v xml:space="preserve"> </v>
      </c>
      <c r="P302" s="161" t="str">
        <f>IFERROR(VLOOKUP($B302,TOLSEN!$A:$K,11,FALSE)," ")</f>
        <v xml:space="preserve"> </v>
      </c>
    </row>
    <row r="303" spans="1:16" ht="52.5" customHeight="1">
      <c r="A303" s="6"/>
      <c r="B303" s="23"/>
      <c r="C303" s="137"/>
      <c r="D303" s="110"/>
      <c r="E303" s="110"/>
      <c r="F303" s="60" t="str">
        <f>IFERROR(VLOOKUP(B303,TOLSEN!A:D,3,FALSE),"0")</f>
        <v>0</v>
      </c>
      <c r="G303" s="61" t="str">
        <f>IFERROR(VLOOKUP(B303,TOLSEN!A:D,4,FALSE),"0")</f>
        <v>0</v>
      </c>
      <c r="H303" s="62" t="str">
        <f>IFERROR(VLOOKUP(B303,TOLSEN!A:K,6,FALSE),"0")</f>
        <v>0</v>
      </c>
      <c r="I303" s="62" t="str">
        <f>IFERROR(VLOOKUP(B303,TOLSEN!A:AC,7,FALSE),"0")</f>
        <v>0</v>
      </c>
      <c r="J303" s="63">
        <f t="shared" si="8"/>
        <v>0</v>
      </c>
      <c r="K303" s="107" t="e">
        <f t="shared" si="9"/>
        <v>#VALUE!</v>
      </c>
      <c r="L303" s="148">
        <f>IFERROR(VLOOKUP($B303,TOLSEN!A:I,8,FALSE),0)</f>
        <v>0</v>
      </c>
      <c r="M303" s="148">
        <f>IFERROR(VLOOKUP($B303,TOLSEN!A:K,9,FALSE),0)</f>
        <v>0</v>
      </c>
      <c r="N303" s="94" t="str">
        <f>IFERROR(VLOOKUP(B303,TOLSEN!A:K,5,FALSE)," ")</f>
        <v xml:space="preserve"> </v>
      </c>
      <c r="O303" s="161" t="str">
        <f>IFERROR(VLOOKUP($B303,TOLSEN!$A:$K,10,FALSE)," ")</f>
        <v xml:space="preserve"> </v>
      </c>
      <c r="P303" s="161" t="str">
        <f>IFERROR(VLOOKUP($B303,TOLSEN!$A:$K,11,FALSE)," ")</f>
        <v xml:space="preserve"> </v>
      </c>
    </row>
    <row r="304" spans="1:16" ht="52.5" customHeight="1">
      <c r="A304" s="6"/>
      <c r="B304" s="23"/>
      <c r="C304" s="138"/>
      <c r="D304" s="110"/>
      <c r="E304" s="110"/>
      <c r="F304" s="60" t="str">
        <f>IFERROR(VLOOKUP(B304,TOLSEN!A:D,3,FALSE),"0")</f>
        <v>0</v>
      </c>
      <c r="G304" s="61" t="str">
        <f>IFERROR(VLOOKUP(B304,TOLSEN!A:D,4,FALSE),"0")</f>
        <v>0</v>
      </c>
      <c r="H304" s="62" t="str">
        <f>IFERROR(VLOOKUP(B304,TOLSEN!A:K,6,FALSE),"0")</f>
        <v>0</v>
      </c>
      <c r="I304" s="62" t="str">
        <f>IFERROR(VLOOKUP(B304,TOLSEN!A:AC,7,FALSE),"0")</f>
        <v>0</v>
      </c>
      <c r="J304" s="63">
        <f t="shared" si="8"/>
        <v>0</v>
      </c>
      <c r="K304" s="107" t="e">
        <f t="shared" si="9"/>
        <v>#VALUE!</v>
      </c>
      <c r="L304" s="148">
        <f>IFERROR(VLOOKUP($B304,TOLSEN!A:I,8,FALSE),0)</f>
        <v>0</v>
      </c>
      <c r="M304" s="148">
        <f>IFERROR(VLOOKUP($B304,TOLSEN!A:K,9,FALSE),0)</f>
        <v>0</v>
      </c>
      <c r="N304" s="94" t="str">
        <f>IFERROR(VLOOKUP(B304,TOLSEN!A:K,5,FALSE)," ")</f>
        <v xml:space="preserve"> </v>
      </c>
      <c r="O304" s="161" t="str">
        <f>IFERROR(VLOOKUP($B304,TOLSEN!$A:$K,10,FALSE)," ")</f>
        <v xml:space="preserve"> </v>
      </c>
      <c r="P304" s="161" t="str">
        <f>IFERROR(VLOOKUP($B304,TOLSEN!$A:$K,11,FALSE)," ")</f>
        <v xml:space="preserve"> </v>
      </c>
    </row>
    <row r="305" spans="1:16" ht="52.5" customHeight="1">
      <c r="A305" s="6"/>
      <c r="B305" s="23"/>
      <c r="C305" s="137"/>
      <c r="D305" s="110"/>
      <c r="E305" s="110"/>
      <c r="F305" s="60" t="str">
        <f>IFERROR(VLOOKUP(B305,TOLSEN!A:D,3,FALSE),"0")</f>
        <v>0</v>
      </c>
      <c r="G305" s="61" t="str">
        <f>IFERROR(VLOOKUP(B305,TOLSEN!A:D,4,FALSE),"0")</f>
        <v>0</v>
      </c>
      <c r="H305" s="62" t="str">
        <f>IFERROR(VLOOKUP(B305,TOLSEN!A:K,6,FALSE),"0")</f>
        <v>0</v>
      </c>
      <c r="I305" s="62" t="str">
        <f>IFERROR(VLOOKUP(B305,TOLSEN!A:AC,7,FALSE),"0")</f>
        <v>0</v>
      </c>
      <c r="J305" s="63">
        <f t="shared" si="8"/>
        <v>0</v>
      </c>
      <c r="K305" s="107" t="e">
        <f t="shared" si="9"/>
        <v>#VALUE!</v>
      </c>
      <c r="L305" s="148">
        <f>IFERROR(VLOOKUP($B305,TOLSEN!A:I,8,FALSE),0)</f>
        <v>0</v>
      </c>
      <c r="M305" s="148">
        <f>IFERROR(VLOOKUP($B305,TOLSEN!A:K,9,FALSE),0)</f>
        <v>0</v>
      </c>
      <c r="N305" s="94" t="str">
        <f>IFERROR(VLOOKUP(B305,TOLSEN!A:K,5,FALSE)," ")</f>
        <v xml:space="preserve"> </v>
      </c>
      <c r="O305" s="161" t="str">
        <f>IFERROR(VLOOKUP($B305,TOLSEN!$A:$K,10,FALSE)," ")</f>
        <v xml:space="preserve"> </v>
      </c>
      <c r="P305" s="161" t="str">
        <f>IFERROR(VLOOKUP($B305,TOLSEN!$A:$K,11,FALSE)," ")</f>
        <v xml:space="preserve"> </v>
      </c>
    </row>
    <row r="306" spans="1:16" ht="52.5" customHeight="1">
      <c r="A306" s="6"/>
      <c r="B306" s="23"/>
      <c r="C306" s="138"/>
      <c r="D306" s="110"/>
      <c r="E306" s="110"/>
      <c r="F306" s="60" t="str">
        <f>IFERROR(VLOOKUP(B306,TOLSEN!A:D,3,FALSE),"0")</f>
        <v>0</v>
      </c>
      <c r="G306" s="61" t="str">
        <f>IFERROR(VLOOKUP(B306,TOLSEN!A:D,4,FALSE),"0")</f>
        <v>0</v>
      </c>
      <c r="H306" s="62" t="str">
        <f>IFERROR(VLOOKUP(B306,TOLSEN!A:K,6,FALSE),"0")</f>
        <v>0</v>
      </c>
      <c r="I306" s="62" t="str">
        <f>IFERROR(VLOOKUP(B306,TOLSEN!A:AC,7,FALSE),"0")</f>
        <v>0</v>
      </c>
      <c r="J306" s="63">
        <f t="shared" si="8"/>
        <v>0</v>
      </c>
      <c r="K306" s="107" t="e">
        <f t="shared" si="9"/>
        <v>#VALUE!</v>
      </c>
      <c r="L306" s="148">
        <f>IFERROR(VLOOKUP($B306,TOLSEN!A:I,8,FALSE),0)</f>
        <v>0</v>
      </c>
      <c r="M306" s="148">
        <f>IFERROR(VLOOKUP($B306,TOLSEN!A:K,9,FALSE),0)</f>
        <v>0</v>
      </c>
      <c r="N306" s="94" t="str">
        <f>IFERROR(VLOOKUP(B306,TOLSEN!A:K,5,FALSE)," ")</f>
        <v xml:space="preserve"> </v>
      </c>
      <c r="O306" s="161" t="str">
        <f>IFERROR(VLOOKUP($B306,TOLSEN!$A:$K,10,FALSE)," ")</f>
        <v xml:space="preserve"> </v>
      </c>
      <c r="P306" s="161" t="str">
        <f>IFERROR(VLOOKUP($B306,TOLSEN!$A:$K,11,FALSE)," ")</f>
        <v xml:space="preserve"> </v>
      </c>
    </row>
    <row r="307" spans="1:16" ht="52.5" customHeight="1">
      <c r="A307" s="6"/>
      <c r="B307" s="23"/>
      <c r="C307" s="137"/>
      <c r="D307" s="110"/>
      <c r="E307" s="110"/>
      <c r="F307" s="60" t="str">
        <f>IFERROR(VLOOKUP(B307,TOLSEN!A:D,3,FALSE),"0")</f>
        <v>0</v>
      </c>
      <c r="G307" s="61" t="str">
        <f>IFERROR(VLOOKUP(B307,TOLSEN!A:D,4,FALSE),"0")</f>
        <v>0</v>
      </c>
      <c r="H307" s="62" t="str">
        <f>IFERROR(VLOOKUP(B307,TOLSEN!A:K,6,FALSE),"0")</f>
        <v>0</v>
      </c>
      <c r="I307" s="62" t="str">
        <f>IFERROR(VLOOKUP(B307,TOLSEN!A:AC,7,FALSE),"0")</f>
        <v>0</v>
      </c>
      <c r="J307" s="63">
        <f t="shared" si="8"/>
        <v>0</v>
      </c>
      <c r="K307" s="107" t="e">
        <f t="shared" si="9"/>
        <v>#VALUE!</v>
      </c>
      <c r="L307" s="148">
        <f>IFERROR(VLOOKUP($B307,TOLSEN!A:I,8,FALSE),0)</f>
        <v>0</v>
      </c>
      <c r="M307" s="148">
        <f>IFERROR(VLOOKUP($B307,TOLSEN!A:K,9,FALSE),0)</f>
        <v>0</v>
      </c>
      <c r="N307" s="94" t="str">
        <f>IFERROR(VLOOKUP(B307,TOLSEN!A:K,5,FALSE)," ")</f>
        <v xml:space="preserve"> </v>
      </c>
      <c r="O307" s="161" t="str">
        <f>IFERROR(VLOOKUP($B307,TOLSEN!$A:$K,10,FALSE)," ")</f>
        <v xml:space="preserve"> </v>
      </c>
      <c r="P307" s="161" t="str">
        <f>IFERROR(VLOOKUP($B307,TOLSEN!$A:$K,11,FALSE)," ")</f>
        <v xml:space="preserve"> </v>
      </c>
    </row>
    <row r="308" spans="1:16" ht="52.5" customHeight="1">
      <c r="A308" s="6"/>
      <c r="B308" s="23"/>
      <c r="C308" s="138"/>
      <c r="D308" s="110"/>
      <c r="E308" s="110"/>
      <c r="F308" s="60" t="str">
        <f>IFERROR(VLOOKUP(B308,TOLSEN!A:D,3,FALSE),"0")</f>
        <v>0</v>
      </c>
      <c r="G308" s="61" t="str">
        <f>IFERROR(VLOOKUP(B308,TOLSEN!A:D,4,FALSE),"0")</f>
        <v>0</v>
      </c>
      <c r="H308" s="62" t="str">
        <f>IFERROR(VLOOKUP(B308,TOLSEN!A:K,6,FALSE),"0")</f>
        <v>0</v>
      </c>
      <c r="I308" s="62" t="str">
        <f>IFERROR(VLOOKUP(B308,TOLSEN!A:AC,7,FALSE),"0")</f>
        <v>0</v>
      </c>
      <c r="J308" s="63">
        <f t="shared" si="8"/>
        <v>0</v>
      </c>
      <c r="K308" s="107" t="e">
        <f t="shared" si="9"/>
        <v>#VALUE!</v>
      </c>
      <c r="L308" s="148">
        <f>IFERROR(VLOOKUP($B308,TOLSEN!A:I,8,FALSE),0)</f>
        <v>0</v>
      </c>
      <c r="M308" s="148">
        <f>IFERROR(VLOOKUP($B308,TOLSEN!A:K,9,FALSE),0)</f>
        <v>0</v>
      </c>
      <c r="N308" s="94" t="str">
        <f>IFERROR(VLOOKUP(B308,TOLSEN!A:K,5,FALSE)," ")</f>
        <v xml:space="preserve"> </v>
      </c>
      <c r="O308" s="161" t="str">
        <f>IFERROR(VLOOKUP($B308,TOLSEN!$A:$K,10,FALSE)," ")</f>
        <v xml:space="preserve"> </v>
      </c>
      <c r="P308" s="161" t="str">
        <f>IFERROR(VLOOKUP($B308,TOLSEN!$A:$K,11,FALSE)," ")</f>
        <v xml:space="preserve"> </v>
      </c>
    </row>
    <row r="309" spans="1:16" ht="52.5" customHeight="1">
      <c r="A309" s="6"/>
      <c r="B309" s="23"/>
      <c r="C309" s="137"/>
      <c r="D309" s="110"/>
      <c r="E309" s="110"/>
      <c r="F309" s="60" t="str">
        <f>IFERROR(VLOOKUP(B309,TOLSEN!A:D,3,FALSE),"0")</f>
        <v>0</v>
      </c>
      <c r="G309" s="61" t="str">
        <f>IFERROR(VLOOKUP(B309,TOLSEN!A:D,4,FALSE),"0")</f>
        <v>0</v>
      </c>
      <c r="H309" s="62" t="str">
        <f>IFERROR(VLOOKUP(B309,TOLSEN!A:K,6,FALSE),"0")</f>
        <v>0</v>
      </c>
      <c r="I309" s="62" t="str">
        <f>IFERROR(VLOOKUP(B309,TOLSEN!A:AC,7,FALSE),"0")</f>
        <v>0</v>
      </c>
      <c r="J309" s="63">
        <f t="shared" si="8"/>
        <v>0</v>
      </c>
      <c r="K309" s="107" t="e">
        <f t="shared" si="9"/>
        <v>#VALUE!</v>
      </c>
      <c r="L309" s="148">
        <f>IFERROR(VLOOKUP($B309,TOLSEN!A:I,8,FALSE),0)</f>
        <v>0</v>
      </c>
      <c r="M309" s="148">
        <f>IFERROR(VLOOKUP($B309,TOLSEN!A:K,9,FALSE),0)</f>
        <v>0</v>
      </c>
      <c r="N309" s="94" t="str">
        <f>IFERROR(VLOOKUP(B309,TOLSEN!A:K,5,FALSE)," ")</f>
        <v xml:space="preserve"> </v>
      </c>
      <c r="O309" s="161" t="str">
        <f>IFERROR(VLOOKUP($B309,TOLSEN!$A:$K,10,FALSE)," ")</f>
        <v xml:space="preserve"> </v>
      </c>
      <c r="P309" s="161" t="str">
        <f>IFERROR(VLOOKUP($B309,TOLSEN!$A:$K,11,FALSE)," ")</f>
        <v xml:space="preserve"> </v>
      </c>
    </row>
    <row r="310" spans="1:16" ht="52.5" customHeight="1">
      <c r="A310" s="6"/>
      <c r="B310" s="23"/>
      <c r="C310" s="138"/>
      <c r="D310" s="110"/>
      <c r="E310" s="110"/>
      <c r="F310" s="60" t="str">
        <f>IFERROR(VLOOKUP(B310,TOLSEN!A:D,3,FALSE),"0")</f>
        <v>0</v>
      </c>
      <c r="G310" s="61" t="str">
        <f>IFERROR(VLOOKUP(B310,TOLSEN!A:D,4,FALSE),"0")</f>
        <v>0</v>
      </c>
      <c r="H310" s="62" t="str">
        <f>IFERROR(VLOOKUP(B310,TOLSEN!A:K,6,FALSE),"0")</f>
        <v>0</v>
      </c>
      <c r="I310" s="62" t="str">
        <f>IFERROR(VLOOKUP(B310,TOLSEN!A:AC,7,FALSE),"0")</f>
        <v>0</v>
      </c>
      <c r="J310" s="63">
        <f t="shared" si="8"/>
        <v>0</v>
      </c>
      <c r="K310" s="107" t="e">
        <f t="shared" si="9"/>
        <v>#VALUE!</v>
      </c>
      <c r="L310" s="148">
        <f>IFERROR(VLOOKUP($B310,TOLSEN!A:I,8,FALSE),0)</f>
        <v>0</v>
      </c>
      <c r="M310" s="148">
        <f>IFERROR(VLOOKUP($B310,TOLSEN!A:K,9,FALSE),0)</f>
        <v>0</v>
      </c>
      <c r="N310" s="94" t="str">
        <f>IFERROR(VLOOKUP(B310,TOLSEN!A:K,5,FALSE)," ")</f>
        <v xml:space="preserve"> </v>
      </c>
      <c r="O310" s="161" t="str">
        <f>IFERROR(VLOOKUP($B310,TOLSEN!$A:$K,10,FALSE)," ")</f>
        <v xml:space="preserve"> </v>
      </c>
      <c r="P310" s="161" t="str">
        <f>IFERROR(VLOOKUP($B310,TOLSEN!$A:$K,11,FALSE)," ")</f>
        <v xml:space="preserve"> </v>
      </c>
    </row>
    <row r="311" spans="1:16" ht="52.5" customHeight="1">
      <c r="A311" s="6"/>
      <c r="B311" s="23"/>
      <c r="C311" s="137"/>
      <c r="D311" s="110"/>
      <c r="E311" s="110"/>
      <c r="F311" s="60" t="str">
        <f>IFERROR(VLOOKUP(B311,TOLSEN!A:D,3,FALSE),"0")</f>
        <v>0</v>
      </c>
      <c r="G311" s="61" t="str">
        <f>IFERROR(VLOOKUP(B311,TOLSEN!A:D,4,FALSE),"0")</f>
        <v>0</v>
      </c>
      <c r="H311" s="62" t="str">
        <f>IFERROR(VLOOKUP(B311,TOLSEN!A:K,6,FALSE),"0")</f>
        <v>0</v>
      </c>
      <c r="I311" s="62" t="str">
        <f>IFERROR(VLOOKUP(B311,TOLSEN!A:AC,7,FALSE),"0")</f>
        <v>0</v>
      </c>
      <c r="J311" s="63">
        <f t="shared" si="8"/>
        <v>0</v>
      </c>
      <c r="K311" s="107" t="e">
        <f t="shared" si="9"/>
        <v>#VALUE!</v>
      </c>
      <c r="L311" s="148">
        <f>IFERROR(VLOOKUP($B311,TOLSEN!A:I,8,FALSE),0)</f>
        <v>0</v>
      </c>
      <c r="M311" s="148">
        <f>IFERROR(VLOOKUP($B311,TOLSEN!A:K,9,FALSE),0)</f>
        <v>0</v>
      </c>
      <c r="N311" s="94" t="str">
        <f>IFERROR(VLOOKUP(B311,TOLSEN!A:K,5,FALSE)," ")</f>
        <v xml:space="preserve"> </v>
      </c>
      <c r="O311" s="161" t="str">
        <f>IFERROR(VLOOKUP($B311,TOLSEN!$A:$K,10,FALSE)," ")</f>
        <v xml:space="preserve"> </v>
      </c>
      <c r="P311" s="161" t="str">
        <f>IFERROR(VLOOKUP($B311,TOLSEN!$A:$K,11,FALSE)," ")</f>
        <v xml:space="preserve"> </v>
      </c>
    </row>
    <row r="312" spans="1:16" ht="52.5" customHeight="1">
      <c r="A312" s="6"/>
      <c r="B312" s="23"/>
      <c r="C312" s="138"/>
      <c r="D312" s="110"/>
      <c r="E312" s="110"/>
      <c r="F312" s="60" t="str">
        <f>IFERROR(VLOOKUP(B312,TOLSEN!A:D,3,FALSE),"0")</f>
        <v>0</v>
      </c>
      <c r="G312" s="61" t="str">
        <f>IFERROR(VLOOKUP(B312,TOLSEN!A:D,4,FALSE),"0")</f>
        <v>0</v>
      </c>
      <c r="H312" s="62" t="str">
        <f>IFERROR(VLOOKUP(B312,TOLSEN!A:K,6,FALSE),"0")</f>
        <v>0</v>
      </c>
      <c r="I312" s="62" t="str">
        <f>IFERROR(VLOOKUP(B312,TOLSEN!A:AC,7,FALSE),"0")</f>
        <v>0</v>
      </c>
      <c r="J312" s="63">
        <f t="shared" si="8"/>
        <v>0</v>
      </c>
      <c r="K312" s="107" t="e">
        <f t="shared" si="9"/>
        <v>#VALUE!</v>
      </c>
      <c r="L312" s="148">
        <f>IFERROR(VLOOKUP($B312,TOLSEN!A:I,8,FALSE),0)</f>
        <v>0</v>
      </c>
      <c r="M312" s="148">
        <f>IFERROR(VLOOKUP($B312,TOLSEN!A:K,9,FALSE),0)</f>
        <v>0</v>
      </c>
      <c r="N312" s="94" t="str">
        <f>IFERROR(VLOOKUP(B312,TOLSEN!A:K,5,FALSE)," ")</f>
        <v xml:space="preserve"> </v>
      </c>
      <c r="O312" s="161" t="str">
        <f>IFERROR(VLOOKUP($B312,TOLSEN!$A:$K,10,FALSE)," ")</f>
        <v xml:space="preserve"> </v>
      </c>
      <c r="P312" s="161" t="str">
        <f>IFERROR(VLOOKUP($B312,TOLSEN!$A:$K,11,FALSE)," ")</f>
        <v xml:space="preserve"> </v>
      </c>
    </row>
    <row r="313" spans="1:16" ht="52.5" customHeight="1">
      <c r="A313" s="6"/>
      <c r="B313" s="23"/>
      <c r="C313" s="137"/>
      <c r="D313" s="110"/>
      <c r="E313" s="110"/>
      <c r="F313" s="60" t="str">
        <f>IFERROR(VLOOKUP(B313,TOLSEN!A:D,3,FALSE),"0")</f>
        <v>0</v>
      </c>
      <c r="G313" s="61" t="str">
        <f>IFERROR(VLOOKUP(B313,TOLSEN!A:D,4,FALSE),"0")</f>
        <v>0</v>
      </c>
      <c r="H313" s="62" t="str">
        <f>IFERROR(VLOOKUP(B313,TOLSEN!A:K,6,FALSE),"0")</f>
        <v>0</v>
      </c>
      <c r="I313" s="62" t="str">
        <f>IFERROR(VLOOKUP(B313,TOLSEN!A:AC,7,FALSE),"0")</f>
        <v>0</v>
      </c>
      <c r="J313" s="63">
        <f t="shared" si="8"/>
        <v>0</v>
      </c>
      <c r="K313" s="107" t="e">
        <f t="shared" si="9"/>
        <v>#VALUE!</v>
      </c>
      <c r="L313" s="148">
        <f>IFERROR(VLOOKUP($B313,TOLSEN!A:I,8,FALSE),0)</f>
        <v>0</v>
      </c>
      <c r="M313" s="148">
        <f>IFERROR(VLOOKUP($B313,TOLSEN!A:K,9,FALSE),0)</f>
        <v>0</v>
      </c>
      <c r="N313" s="94" t="str">
        <f>IFERROR(VLOOKUP(B313,TOLSEN!A:K,5,FALSE)," ")</f>
        <v xml:space="preserve"> </v>
      </c>
      <c r="O313" s="161" t="str">
        <f>IFERROR(VLOOKUP($B313,TOLSEN!$A:$K,10,FALSE)," ")</f>
        <v xml:space="preserve"> </v>
      </c>
      <c r="P313" s="161" t="str">
        <f>IFERROR(VLOOKUP($B313,TOLSEN!$A:$K,11,FALSE)," ")</f>
        <v xml:space="preserve"> </v>
      </c>
    </row>
    <row r="314" spans="1:16" ht="52.5" customHeight="1">
      <c r="A314" s="6"/>
      <c r="B314" s="23"/>
      <c r="C314" s="138"/>
      <c r="D314" s="110"/>
      <c r="E314" s="110"/>
      <c r="F314" s="60" t="str">
        <f>IFERROR(VLOOKUP(B314,TOLSEN!A:D,3,FALSE),"0")</f>
        <v>0</v>
      </c>
      <c r="G314" s="61" t="str">
        <f>IFERROR(VLOOKUP(B314,TOLSEN!A:D,4,FALSE),"0")</f>
        <v>0</v>
      </c>
      <c r="H314" s="62" t="str">
        <f>IFERROR(VLOOKUP(B314,TOLSEN!A:K,6,FALSE),"0")</f>
        <v>0</v>
      </c>
      <c r="I314" s="62" t="str">
        <f>IFERROR(VLOOKUP(B314,TOLSEN!A:AC,7,FALSE),"0")</f>
        <v>0</v>
      </c>
      <c r="J314" s="63">
        <f t="shared" si="8"/>
        <v>0</v>
      </c>
      <c r="K314" s="107" t="e">
        <f t="shared" si="9"/>
        <v>#VALUE!</v>
      </c>
      <c r="L314" s="148">
        <f>IFERROR(VLOOKUP($B314,TOLSEN!A:I,8,FALSE),0)</f>
        <v>0</v>
      </c>
      <c r="M314" s="148">
        <f>IFERROR(VLOOKUP($B314,TOLSEN!A:K,9,FALSE),0)</f>
        <v>0</v>
      </c>
      <c r="N314" s="94" t="str">
        <f>IFERROR(VLOOKUP(B314,TOLSEN!A:K,5,FALSE)," ")</f>
        <v xml:space="preserve"> </v>
      </c>
      <c r="O314" s="161" t="str">
        <f>IFERROR(VLOOKUP($B314,TOLSEN!$A:$K,10,FALSE)," ")</f>
        <v xml:space="preserve"> </v>
      </c>
      <c r="P314" s="161" t="str">
        <f>IFERROR(VLOOKUP($B314,TOLSEN!$A:$K,11,FALSE)," ")</f>
        <v xml:space="preserve"> </v>
      </c>
    </row>
    <row r="315" spans="1:16" ht="52.5" customHeight="1">
      <c r="B315" s="25"/>
      <c r="C315" s="137"/>
      <c r="D315" s="110"/>
      <c r="E315" s="110"/>
      <c r="F315" s="60" t="str">
        <f>IFERROR(VLOOKUP(B315,TOLSEN!A:D,3,FALSE),"0")</f>
        <v>0</v>
      </c>
      <c r="G315" s="61" t="str">
        <f>IFERROR(VLOOKUP(B315,TOLSEN!A:D,4,FALSE),"0")</f>
        <v>0</v>
      </c>
      <c r="H315" s="62" t="str">
        <f>IFERROR(VLOOKUP(B315,TOLSEN!A:K,6,FALSE),"0")</f>
        <v>0</v>
      </c>
      <c r="I315" s="62" t="str">
        <f>IFERROR(VLOOKUP(B315,TOLSEN!A:AC,7,FALSE),"0")</f>
        <v>0</v>
      </c>
      <c r="J315" s="63">
        <f t="shared" si="8"/>
        <v>0</v>
      </c>
      <c r="K315" s="107" t="e">
        <f t="shared" si="9"/>
        <v>#VALUE!</v>
      </c>
      <c r="L315" s="148">
        <f>IFERROR(VLOOKUP($B315,TOLSEN!A:I,8,FALSE),0)</f>
        <v>0</v>
      </c>
      <c r="M315" s="148">
        <f>IFERROR(VLOOKUP($B315,TOLSEN!A:K,9,FALSE),0)</f>
        <v>0</v>
      </c>
      <c r="N315" s="94" t="str">
        <f>IFERROR(VLOOKUP(B315,TOLSEN!A:K,5,FALSE)," ")</f>
        <v xml:space="preserve"> </v>
      </c>
      <c r="O315" s="161" t="str">
        <f>IFERROR(VLOOKUP($B315,TOLSEN!$A:$K,10,FALSE)," ")</f>
        <v xml:space="preserve"> </v>
      </c>
      <c r="P315" s="161" t="str">
        <f>IFERROR(VLOOKUP($B315,TOLSEN!$A:$K,11,FALSE)," ")</f>
        <v xml:space="preserve"> </v>
      </c>
    </row>
    <row r="316" spans="1:16" ht="52.5" customHeight="1">
      <c r="B316" s="25"/>
      <c r="C316" s="138"/>
      <c r="D316" s="110"/>
      <c r="E316" s="110"/>
      <c r="F316" s="60" t="str">
        <f>IFERROR(VLOOKUP(B316,TOLSEN!A:D,3,FALSE),"0")</f>
        <v>0</v>
      </c>
      <c r="G316" s="61" t="str">
        <f>IFERROR(VLOOKUP(B316,TOLSEN!A:D,4,FALSE),"0")</f>
        <v>0</v>
      </c>
      <c r="H316" s="62" t="str">
        <f>IFERROR(VLOOKUP(B316,TOLSEN!A:K,6,FALSE),"0")</f>
        <v>0</v>
      </c>
      <c r="I316" s="62" t="str">
        <f>IFERROR(VLOOKUP(B316,TOLSEN!A:AC,7,FALSE),"0")</f>
        <v>0</v>
      </c>
      <c r="J316" s="63">
        <f t="shared" si="8"/>
        <v>0</v>
      </c>
      <c r="K316" s="107" t="e">
        <f t="shared" si="9"/>
        <v>#VALUE!</v>
      </c>
      <c r="L316" s="148">
        <f>IFERROR(VLOOKUP($B316,TOLSEN!A:I,8,FALSE),0)</f>
        <v>0</v>
      </c>
      <c r="M316" s="148">
        <f>IFERROR(VLOOKUP($B316,TOLSEN!A:K,9,FALSE),0)</f>
        <v>0</v>
      </c>
      <c r="N316" s="94" t="str">
        <f>IFERROR(VLOOKUP(B316,TOLSEN!A:K,5,FALSE)," ")</f>
        <v xml:space="preserve"> </v>
      </c>
      <c r="O316" s="161" t="str">
        <f>IFERROR(VLOOKUP($B316,TOLSEN!$A:$K,10,FALSE)," ")</f>
        <v xml:space="preserve"> </v>
      </c>
      <c r="P316" s="161" t="str">
        <f>IFERROR(VLOOKUP($B316,TOLSEN!$A:$K,11,FALSE)," ")</f>
        <v xml:space="preserve"> </v>
      </c>
    </row>
    <row r="317" spans="1:16" ht="52.5" customHeight="1">
      <c r="B317" s="25"/>
      <c r="C317" s="137"/>
      <c r="D317" s="110"/>
      <c r="E317" s="110"/>
      <c r="F317" s="60" t="str">
        <f>IFERROR(VLOOKUP(B317,TOLSEN!A:D,3,FALSE),"0")</f>
        <v>0</v>
      </c>
      <c r="G317" s="61" t="str">
        <f>IFERROR(VLOOKUP(B317,TOLSEN!A:D,4,FALSE),"0")</f>
        <v>0</v>
      </c>
      <c r="H317" s="62" t="str">
        <f>IFERROR(VLOOKUP(B317,TOLSEN!A:K,6,FALSE),"0")</f>
        <v>0</v>
      </c>
      <c r="I317" s="62" t="str">
        <f>IFERROR(VLOOKUP(B317,TOLSEN!A:AC,7,FALSE),"0")</f>
        <v>0</v>
      </c>
      <c r="J317" s="63">
        <f t="shared" si="8"/>
        <v>0</v>
      </c>
      <c r="K317" s="107" t="e">
        <f t="shared" si="9"/>
        <v>#VALUE!</v>
      </c>
      <c r="L317" s="148">
        <f>IFERROR(VLOOKUP($B317,TOLSEN!A:I,8,FALSE),0)</f>
        <v>0</v>
      </c>
      <c r="M317" s="148">
        <f>IFERROR(VLOOKUP($B317,TOLSEN!A:K,9,FALSE),0)</f>
        <v>0</v>
      </c>
      <c r="N317" s="94" t="str">
        <f>IFERROR(VLOOKUP(B317,TOLSEN!A:K,5,FALSE)," ")</f>
        <v xml:space="preserve"> </v>
      </c>
      <c r="O317" s="161" t="str">
        <f>IFERROR(VLOOKUP($B317,TOLSEN!$A:$K,10,FALSE)," ")</f>
        <v xml:space="preserve"> </v>
      </c>
      <c r="P317" s="161" t="str">
        <f>IFERROR(VLOOKUP($B317,TOLSEN!$A:$K,11,FALSE)," ")</f>
        <v xml:space="preserve"> </v>
      </c>
    </row>
    <row r="318" spans="1:16" ht="52.5" customHeight="1">
      <c r="B318" s="25"/>
      <c r="C318" s="138"/>
      <c r="D318" s="110"/>
      <c r="E318" s="110"/>
      <c r="F318" s="60" t="str">
        <f>IFERROR(VLOOKUP(B318,TOLSEN!A:D,3,FALSE),"0")</f>
        <v>0</v>
      </c>
      <c r="G318" s="61" t="str">
        <f>IFERROR(VLOOKUP(B318,TOLSEN!A:D,4,FALSE),"0")</f>
        <v>0</v>
      </c>
      <c r="H318" s="62" t="str">
        <f>IFERROR(VLOOKUP(B318,TOLSEN!A:K,6,FALSE),"0")</f>
        <v>0</v>
      </c>
      <c r="I318" s="62" t="str">
        <f>IFERROR(VLOOKUP(B318,TOLSEN!A:AC,7,FALSE),"0")</f>
        <v>0</v>
      </c>
      <c r="J318" s="63">
        <f t="shared" si="8"/>
        <v>0</v>
      </c>
      <c r="K318" s="107" t="e">
        <f t="shared" si="9"/>
        <v>#VALUE!</v>
      </c>
      <c r="L318" s="148">
        <f>IFERROR(VLOOKUP($B318,TOLSEN!A:I,8,FALSE),0)</f>
        <v>0</v>
      </c>
      <c r="M318" s="148">
        <f>IFERROR(VLOOKUP($B318,TOLSEN!A:K,9,FALSE),0)</f>
        <v>0</v>
      </c>
      <c r="N318" s="94" t="str">
        <f>IFERROR(VLOOKUP(B318,TOLSEN!A:K,5,FALSE)," ")</f>
        <v xml:space="preserve"> </v>
      </c>
      <c r="O318" s="161" t="str">
        <f>IFERROR(VLOOKUP($B318,TOLSEN!$A:$K,10,FALSE)," ")</f>
        <v xml:space="preserve"> </v>
      </c>
      <c r="P318" s="161" t="str">
        <f>IFERROR(VLOOKUP($B318,TOLSEN!$A:$K,11,FALSE)," ")</f>
        <v xml:space="preserve"> </v>
      </c>
    </row>
    <row r="319" spans="1:16" ht="52.5" customHeight="1">
      <c r="A319" s="6"/>
      <c r="B319" s="23"/>
      <c r="C319" s="137"/>
      <c r="D319" s="110"/>
      <c r="E319" s="110"/>
      <c r="F319" s="60" t="str">
        <f>IFERROR(VLOOKUP(B319,TOLSEN!A:D,3,FALSE),"0")</f>
        <v>0</v>
      </c>
      <c r="G319" s="61" t="str">
        <f>IFERROR(VLOOKUP(B319,TOLSEN!A:D,4,FALSE),"0")</f>
        <v>0</v>
      </c>
      <c r="H319" s="62" t="str">
        <f>IFERROR(VLOOKUP(B319,TOLSEN!A:K,6,FALSE),"0")</f>
        <v>0</v>
      </c>
      <c r="I319" s="62" t="str">
        <f>IFERROR(VLOOKUP(B319,TOLSEN!A:AC,7,FALSE),"0")</f>
        <v>0</v>
      </c>
      <c r="J319" s="63">
        <f t="shared" si="8"/>
        <v>0</v>
      </c>
      <c r="K319" s="107" t="e">
        <f t="shared" si="9"/>
        <v>#VALUE!</v>
      </c>
      <c r="L319" s="148">
        <f>IFERROR(VLOOKUP($B319,TOLSEN!A:I,8,FALSE),0)</f>
        <v>0</v>
      </c>
      <c r="M319" s="148">
        <f>IFERROR(VLOOKUP($B319,TOLSEN!A:K,9,FALSE),0)</f>
        <v>0</v>
      </c>
      <c r="N319" s="94" t="str">
        <f>IFERROR(VLOOKUP(B319,TOLSEN!A:K,5,FALSE)," ")</f>
        <v xml:space="preserve"> </v>
      </c>
      <c r="O319" s="161" t="str">
        <f>IFERROR(VLOOKUP($B319,TOLSEN!$A:$K,10,FALSE)," ")</f>
        <v xml:space="preserve"> </v>
      </c>
      <c r="P319" s="161" t="str">
        <f>IFERROR(VLOOKUP($B319,TOLSEN!$A:$K,11,FALSE)," ")</f>
        <v xml:space="preserve"> </v>
      </c>
    </row>
    <row r="320" spans="1:16" ht="52.5" customHeight="1">
      <c r="A320" s="6"/>
      <c r="B320" s="23"/>
      <c r="C320" s="137"/>
      <c r="D320" s="110"/>
      <c r="E320" s="110"/>
      <c r="F320" s="60" t="str">
        <f>IFERROR(VLOOKUP(B320,TOLSEN!A:D,3,FALSE),"0")</f>
        <v>0</v>
      </c>
      <c r="G320" s="61" t="str">
        <f>IFERROR(VLOOKUP(B320,TOLSEN!A:D,4,FALSE),"0")</f>
        <v>0</v>
      </c>
      <c r="H320" s="62" t="str">
        <f>IFERROR(VLOOKUP(B320,TOLSEN!A:K,6,FALSE),"0")</f>
        <v>0</v>
      </c>
      <c r="I320" s="62" t="str">
        <f>IFERROR(VLOOKUP(B320,TOLSEN!A:AC,7,FALSE),"0")</f>
        <v>0</v>
      </c>
      <c r="J320" s="63">
        <f t="shared" si="8"/>
        <v>0</v>
      </c>
      <c r="K320" s="107" t="e">
        <f t="shared" si="9"/>
        <v>#VALUE!</v>
      </c>
      <c r="L320" s="148">
        <f>IFERROR(VLOOKUP($B320,TOLSEN!A:I,8,FALSE),0)</f>
        <v>0</v>
      </c>
      <c r="M320" s="148">
        <f>IFERROR(VLOOKUP($B320,TOLSEN!A:K,9,FALSE),0)</f>
        <v>0</v>
      </c>
      <c r="N320" s="94" t="str">
        <f>IFERROR(VLOOKUP(B320,TOLSEN!A:K,5,FALSE)," ")</f>
        <v xml:space="preserve"> </v>
      </c>
      <c r="O320" s="161" t="str">
        <f>IFERROR(VLOOKUP($B320,TOLSEN!$A:$K,10,FALSE)," ")</f>
        <v xml:space="preserve"> </v>
      </c>
      <c r="P320" s="161" t="str">
        <f>IFERROR(VLOOKUP($B320,TOLSEN!$A:$K,11,FALSE)," ")</f>
        <v xml:space="preserve"> </v>
      </c>
    </row>
    <row r="321" spans="1:16" ht="52.5" customHeight="1">
      <c r="A321" s="6"/>
      <c r="B321" s="23"/>
      <c r="C321" s="137"/>
      <c r="D321" s="110"/>
      <c r="E321" s="110"/>
      <c r="F321" s="60" t="str">
        <f>IFERROR(VLOOKUP(B321,TOLSEN!A:D,3,FALSE),"0")</f>
        <v>0</v>
      </c>
      <c r="G321" s="61" t="str">
        <f>IFERROR(VLOOKUP(B321,TOLSEN!A:D,4,FALSE),"0")</f>
        <v>0</v>
      </c>
      <c r="H321" s="62" t="str">
        <f>IFERROR(VLOOKUP(B321,TOLSEN!A:K,6,FALSE),"0")</f>
        <v>0</v>
      </c>
      <c r="I321" s="62" t="str">
        <f>IFERROR(VLOOKUP(B321,TOLSEN!A:AC,7,FALSE),"0")</f>
        <v>0</v>
      </c>
      <c r="J321" s="63">
        <f t="shared" si="8"/>
        <v>0</v>
      </c>
      <c r="K321" s="107" t="e">
        <f t="shared" si="9"/>
        <v>#VALUE!</v>
      </c>
      <c r="L321" s="148">
        <f>IFERROR(VLOOKUP($B321,TOLSEN!A:I,8,FALSE),0)</f>
        <v>0</v>
      </c>
      <c r="M321" s="148">
        <f>IFERROR(VLOOKUP($B321,TOLSEN!A:K,9,FALSE),0)</f>
        <v>0</v>
      </c>
      <c r="N321" s="94" t="str">
        <f>IFERROR(VLOOKUP(B321,TOLSEN!A:K,5,FALSE)," ")</f>
        <v xml:space="preserve"> </v>
      </c>
      <c r="O321" s="161" t="str">
        <f>IFERROR(VLOOKUP($B321,TOLSEN!$A:$K,10,FALSE)," ")</f>
        <v xml:space="preserve"> </v>
      </c>
      <c r="P321" s="161" t="str">
        <f>IFERROR(VLOOKUP($B321,TOLSEN!$A:$K,11,FALSE)," ")</f>
        <v xml:space="preserve"> </v>
      </c>
    </row>
    <row r="322" spans="1:16" ht="52.5" customHeight="1">
      <c r="B322" s="25"/>
      <c r="C322" s="138"/>
      <c r="D322" s="110"/>
      <c r="E322" s="110"/>
      <c r="F322" s="60" t="str">
        <f>IFERROR(VLOOKUP(B322,TOLSEN!A:D,3,FALSE),"0")</f>
        <v>0</v>
      </c>
      <c r="G322" s="61" t="str">
        <f>IFERROR(VLOOKUP(B322,TOLSEN!A:D,4,FALSE),"0")</f>
        <v>0</v>
      </c>
      <c r="H322" s="62" t="str">
        <f>IFERROR(VLOOKUP(B322,TOLSEN!A:K,6,FALSE),"0")</f>
        <v>0</v>
      </c>
      <c r="I322" s="62" t="str">
        <f>IFERROR(VLOOKUP(B322,TOLSEN!A:AC,7,FALSE),"0")</f>
        <v>0</v>
      </c>
      <c r="J322" s="63">
        <f t="shared" si="8"/>
        <v>0</v>
      </c>
      <c r="K322" s="107" t="e">
        <f t="shared" si="9"/>
        <v>#VALUE!</v>
      </c>
      <c r="L322" s="148">
        <f>IFERROR(VLOOKUP($B322,TOLSEN!A:I,8,FALSE),0)</f>
        <v>0</v>
      </c>
      <c r="M322" s="148">
        <f>IFERROR(VLOOKUP($B322,TOLSEN!A:K,9,FALSE),0)</f>
        <v>0</v>
      </c>
      <c r="N322" s="94" t="str">
        <f>IFERROR(VLOOKUP(B322,TOLSEN!A:K,5,FALSE)," ")</f>
        <v xml:space="preserve"> </v>
      </c>
      <c r="O322" s="161" t="str">
        <f>IFERROR(VLOOKUP($B322,TOLSEN!$A:$K,10,FALSE)," ")</f>
        <v xml:space="preserve"> </v>
      </c>
      <c r="P322" s="161" t="str">
        <f>IFERROR(VLOOKUP($B322,TOLSEN!$A:$K,11,FALSE)," ")</f>
        <v xml:space="preserve"> </v>
      </c>
    </row>
    <row r="323" spans="1:16" ht="52.5" customHeight="1">
      <c r="B323" s="25"/>
      <c r="C323" s="137"/>
      <c r="D323" s="110"/>
      <c r="E323" s="110"/>
      <c r="F323" s="60" t="str">
        <f>IFERROR(VLOOKUP(B323,TOLSEN!A:D,3,FALSE),"0")</f>
        <v>0</v>
      </c>
      <c r="G323" s="61" t="str">
        <f>IFERROR(VLOOKUP(B323,TOLSEN!A:D,4,FALSE),"0")</f>
        <v>0</v>
      </c>
      <c r="H323" s="62" t="str">
        <f>IFERROR(VLOOKUP(B323,TOLSEN!A:K,6,FALSE),"0")</f>
        <v>0</v>
      </c>
      <c r="I323" s="62" t="str">
        <f>IFERROR(VLOOKUP(B323,TOLSEN!A:AC,7,FALSE),"0")</f>
        <v>0</v>
      </c>
      <c r="J323" s="63">
        <f t="shared" si="8"/>
        <v>0</v>
      </c>
      <c r="K323" s="107" t="e">
        <f t="shared" si="9"/>
        <v>#VALUE!</v>
      </c>
      <c r="L323" s="148">
        <f>IFERROR(VLOOKUP($B323,TOLSEN!A:I,8,FALSE),0)</f>
        <v>0</v>
      </c>
      <c r="M323" s="148">
        <f>IFERROR(VLOOKUP($B323,TOLSEN!A:K,9,FALSE),0)</f>
        <v>0</v>
      </c>
      <c r="N323" s="94" t="str">
        <f>IFERROR(VLOOKUP(B323,TOLSEN!A:K,5,FALSE)," ")</f>
        <v xml:space="preserve"> </v>
      </c>
      <c r="O323" s="161" t="str">
        <f>IFERROR(VLOOKUP($B323,TOLSEN!$A:$K,10,FALSE)," ")</f>
        <v xml:space="preserve"> </v>
      </c>
      <c r="P323" s="161" t="str">
        <f>IFERROR(VLOOKUP($B323,TOLSEN!$A:$K,11,FALSE)," ")</f>
        <v xml:space="preserve"> </v>
      </c>
    </row>
    <row r="324" spans="1:16" ht="52.5" customHeight="1">
      <c r="B324" s="25"/>
      <c r="C324" s="138"/>
      <c r="D324" s="110"/>
      <c r="E324" s="110"/>
      <c r="F324" s="60" t="str">
        <f>IFERROR(VLOOKUP(B324,TOLSEN!A:D,3,FALSE),"0")</f>
        <v>0</v>
      </c>
      <c r="G324" s="61" t="str">
        <f>IFERROR(VLOOKUP(B324,TOLSEN!A:D,4,FALSE),"0")</f>
        <v>0</v>
      </c>
      <c r="H324" s="62" t="str">
        <f>IFERROR(VLOOKUP(B324,TOLSEN!A:K,6,FALSE),"0")</f>
        <v>0</v>
      </c>
      <c r="I324" s="62" t="str">
        <f>IFERROR(VLOOKUP(B324,TOLSEN!A:AC,7,FALSE),"0")</f>
        <v>0</v>
      </c>
      <c r="J324" s="63">
        <f t="shared" si="8"/>
        <v>0</v>
      </c>
      <c r="K324" s="107" t="e">
        <f t="shared" si="9"/>
        <v>#VALUE!</v>
      </c>
      <c r="L324" s="148">
        <f>IFERROR(VLOOKUP($B324,TOLSEN!A:I,8,FALSE),0)</f>
        <v>0</v>
      </c>
      <c r="M324" s="148">
        <f>IFERROR(VLOOKUP($B324,TOLSEN!A:K,9,FALSE),0)</f>
        <v>0</v>
      </c>
      <c r="N324" s="94" t="str">
        <f>IFERROR(VLOOKUP(B324,TOLSEN!A:K,5,FALSE)," ")</f>
        <v xml:space="preserve"> </v>
      </c>
      <c r="O324" s="161" t="str">
        <f>IFERROR(VLOOKUP($B324,TOLSEN!$A:$K,10,FALSE)," ")</f>
        <v xml:space="preserve"> </v>
      </c>
      <c r="P324" s="161" t="str">
        <f>IFERROR(VLOOKUP($B324,TOLSEN!$A:$K,11,FALSE)," ")</f>
        <v xml:space="preserve"> </v>
      </c>
    </row>
    <row r="325" spans="1:16" ht="52.5" customHeight="1">
      <c r="B325" s="25"/>
      <c r="C325" s="137"/>
      <c r="D325" s="110"/>
      <c r="E325" s="110"/>
      <c r="F325" s="60" t="str">
        <f>IFERROR(VLOOKUP(B325,TOLSEN!A:D,3,FALSE),"0")</f>
        <v>0</v>
      </c>
      <c r="G325" s="61" t="str">
        <f>IFERROR(VLOOKUP(B325,TOLSEN!A:D,4,FALSE),"0")</f>
        <v>0</v>
      </c>
      <c r="H325" s="62" t="str">
        <f>IFERROR(VLOOKUP(B325,TOLSEN!A:K,6,FALSE),"0")</f>
        <v>0</v>
      </c>
      <c r="I325" s="62" t="str">
        <f>IFERROR(VLOOKUP(B325,TOLSEN!A:AC,7,FALSE),"0")</f>
        <v>0</v>
      </c>
      <c r="J325" s="63">
        <f t="shared" si="8"/>
        <v>0</v>
      </c>
      <c r="K325" s="107" t="e">
        <f t="shared" si="9"/>
        <v>#VALUE!</v>
      </c>
      <c r="L325" s="148">
        <f>IFERROR(VLOOKUP($B325,TOLSEN!A:I,8,FALSE),0)</f>
        <v>0</v>
      </c>
      <c r="M325" s="148">
        <f>IFERROR(VLOOKUP($B325,TOLSEN!A:K,9,FALSE),0)</f>
        <v>0</v>
      </c>
      <c r="N325" s="94" t="str">
        <f>IFERROR(VLOOKUP(B325,TOLSEN!A:K,5,FALSE)," ")</f>
        <v xml:space="preserve"> </v>
      </c>
      <c r="O325" s="161" t="str">
        <f>IFERROR(VLOOKUP($B325,TOLSEN!$A:$K,10,FALSE)," ")</f>
        <v xml:space="preserve"> </v>
      </c>
      <c r="P325" s="161" t="str">
        <f>IFERROR(VLOOKUP($B325,TOLSEN!$A:$K,11,FALSE)," ")</f>
        <v xml:space="preserve"> </v>
      </c>
    </row>
    <row r="326" spans="1:16" ht="52.5" customHeight="1">
      <c r="B326" s="25"/>
      <c r="C326" s="138"/>
      <c r="D326" s="110"/>
      <c r="E326" s="110"/>
      <c r="F326" s="60" t="str">
        <f>IFERROR(VLOOKUP(B326,TOLSEN!A:D,3,FALSE),"0")</f>
        <v>0</v>
      </c>
      <c r="G326" s="61" t="str">
        <f>IFERROR(VLOOKUP(B326,TOLSEN!A:D,4,FALSE),"0")</f>
        <v>0</v>
      </c>
      <c r="H326" s="62" t="str">
        <f>IFERROR(VLOOKUP(B326,TOLSEN!A:K,6,FALSE),"0")</f>
        <v>0</v>
      </c>
      <c r="I326" s="62" t="str">
        <f>IFERROR(VLOOKUP(B326,TOLSEN!A:AC,7,FALSE),"0")</f>
        <v>0</v>
      </c>
      <c r="J326" s="63">
        <f t="shared" si="8"/>
        <v>0</v>
      </c>
      <c r="K326" s="107" t="e">
        <f t="shared" si="9"/>
        <v>#VALUE!</v>
      </c>
      <c r="L326" s="148">
        <f>IFERROR(VLOOKUP($B326,TOLSEN!A:I,8,FALSE),0)</f>
        <v>0</v>
      </c>
      <c r="M326" s="148">
        <f>IFERROR(VLOOKUP($B326,TOLSEN!A:K,9,FALSE),0)</f>
        <v>0</v>
      </c>
      <c r="N326" s="94" t="str">
        <f>IFERROR(VLOOKUP(B326,TOLSEN!A:K,5,FALSE)," ")</f>
        <v xml:space="preserve"> </v>
      </c>
      <c r="O326" s="161" t="str">
        <f>IFERROR(VLOOKUP($B326,TOLSEN!$A:$K,10,FALSE)," ")</f>
        <v xml:space="preserve"> </v>
      </c>
      <c r="P326" s="161" t="str">
        <f>IFERROR(VLOOKUP($B326,TOLSEN!$A:$K,11,FALSE)," ")</f>
        <v xml:space="preserve"> </v>
      </c>
    </row>
    <row r="327" spans="1:16" ht="52.5" customHeight="1">
      <c r="B327" s="25"/>
      <c r="C327" s="137"/>
      <c r="D327" s="110"/>
      <c r="E327" s="110"/>
      <c r="F327" s="60" t="str">
        <f>IFERROR(VLOOKUP(B327,TOLSEN!A:D,3,FALSE),"0")</f>
        <v>0</v>
      </c>
      <c r="G327" s="61" t="str">
        <f>IFERROR(VLOOKUP(B327,TOLSEN!A:D,4,FALSE),"0")</f>
        <v>0</v>
      </c>
      <c r="H327" s="62" t="str">
        <f>IFERROR(VLOOKUP(B327,TOLSEN!A:K,6,FALSE),"0")</f>
        <v>0</v>
      </c>
      <c r="I327" s="62" t="str">
        <f>IFERROR(VLOOKUP(B327,TOLSEN!A:AC,7,FALSE),"0")</f>
        <v>0</v>
      </c>
      <c r="J327" s="63">
        <f t="shared" si="8"/>
        <v>0</v>
      </c>
      <c r="K327" s="107" t="e">
        <f t="shared" si="9"/>
        <v>#VALUE!</v>
      </c>
      <c r="L327" s="148">
        <f>IFERROR(VLOOKUP($B327,TOLSEN!A:I,8,FALSE),0)</f>
        <v>0</v>
      </c>
      <c r="M327" s="148">
        <f>IFERROR(VLOOKUP($B327,TOLSEN!A:K,9,FALSE),0)</f>
        <v>0</v>
      </c>
      <c r="N327" s="94" t="str">
        <f>IFERROR(VLOOKUP(B327,TOLSEN!A:K,5,FALSE)," ")</f>
        <v xml:space="preserve"> </v>
      </c>
      <c r="O327" s="161" t="str">
        <f>IFERROR(VLOOKUP($B327,TOLSEN!$A:$K,10,FALSE)," ")</f>
        <v xml:space="preserve"> </v>
      </c>
      <c r="P327" s="161" t="str">
        <f>IFERROR(VLOOKUP($B327,TOLSEN!$A:$K,11,FALSE)," ")</f>
        <v xml:space="preserve"> </v>
      </c>
    </row>
    <row r="328" spans="1:16" ht="52.5" customHeight="1">
      <c r="B328" s="25"/>
      <c r="C328" s="138"/>
      <c r="D328" s="110"/>
      <c r="E328" s="110"/>
      <c r="F328" s="60" t="str">
        <f>IFERROR(VLOOKUP(B328,TOLSEN!A:D,3,FALSE),"0")</f>
        <v>0</v>
      </c>
      <c r="G328" s="61" t="str">
        <f>IFERROR(VLOOKUP(B328,TOLSEN!A:D,4,FALSE),"0")</f>
        <v>0</v>
      </c>
      <c r="H328" s="62" t="str">
        <f>IFERROR(VLOOKUP(B328,TOLSEN!A:K,6,FALSE),"0")</f>
        <v>0</v>
      </c>
      <c r="I328" s="62" t="str">
        <f>IFERROR(VLOOKUP(B328,TOLSEN!A:AC,7,FALSE),"0")</f>
        <v>0</v>
      </c>
      <c r="J328" s="63">
        <f t="shared" si="8"/>
        <v>0</v>
      </c>
      <c r="K328" s="107" t="e">
        <f t="shared" si="9"/>
        <v>#VALUE!</v>
      </c>
      <c r="L328" s="148">
        <f>IFERROR(VLOOKUP($B328,TOLSEN!A:I,8,FALSE),0)</f>
        <v>0</v>
      </c>
      <c r="M328" s="148">
        <f>IFERROR(VLOOKUP($B328,TOLSEN!A:K,9,FALSE),0)</f>
        <v>0</v>
      </c>
      <c r="N328" s="94" t="str">
        <f>IFERROR(VLOOKUP(B328,TOLSEN!A:K,5,FALSE)," ")</f>
        <v xml:space="preserve"> </v>
      </c>
      <c r="O328" s="161" t="str">
        <f>IFERROR(VLOOKUP($B328,TOLSEN!$A:$K,10,FALSE)," ")</f>
        <v xml:space="preserve"> </v>
      </c>
      <c r="P328" s="161" t="str">
        <f>IFERROR(VLOOKUP($B328,TOLSEN!$A:$K,11,FALSE)," ")</f>
        <v xml:space="preserve"> </v>
      </c>
    </row>
    <row r="329" spans="1:16" ht="52.5" customHeight="1">
      <c r="B329" s="25"/>
      <c r="C329" s="137"/>
      <c r="D329" s="110"/>
      <c r="E329" s="110"/>
      <c r="F329" s="60" t="str">
        <f>IFERROR(VLOOKUP(B329,TOLSEN!A:D,3,FALSE),"0")</f>
        <v>0</v>
      </c>
      <c r="G329" s="61" t="str">
        <f>IFERROR(VLOOKUP(B329,TOLSEN!A:D,4,FALSE),"0")</f>
        <v>0</v>
      </c>
      <c r="H329" s="62" t="str">
        <f>IFERROR(VLOOKUP(B329,TOLSEN!A:K,6,FALSE),"0")</f>
        <v>0</v>
      </c>
      <c r="I329" s="62" t="str">
        <f>IFERROR(VLOOKUP(B329,TOLSEN!A:AC,7,FALSE),"0")</f>
        <v>0</v>
      </c>
      <c r="J329" s="63">
        <f t="shared" si="8"/>
        <v>0</v>
      </c>
      <c r="K329" s="107" t="e">
        <f t="shared" si="9"/>
        <v>#VALUE!</v>
      </c>
      <c r="L329" s="148">
        <f>IFERROR(VLOOKUP($B329,TOLSEN!A:I,8,FALSE),0)</f>
        <v>0</v>
      </c>
      <c r="M329" s="148">
        <f>IFERROR(VLOOKUP($B329,TOLSEN!A:K,9,FALSE),0)</f>
        <v>0</v>
      </c>
      <c r="N329" s="94" t="str">
        <f>IFERROR(VLOOKUP(B329,TOLSEN!A:K,5,FALSE)," ")</f>
        <v xml:space="preserve"> </v>
      </c>
      <c r="O329" s="161" t="str">
        <f>IFERROR(VLOOKUP($B329,TOLSEN!$A:$K,10,FALSE)," ")</f>
        <v xml:space="preserve"> </v>
      </c>
      <c r="P329" s="161" t="str">
        <f>IFERROR(VLOOKUP($B329,TOLSEN!$A:$K,11,FALSE)," ")</f>
        <v xml:space="preserve"> </v>
      </c>
    </row>
    <row r="330" spans="1:16" ht="52.5" customHeight="1">
      <c r="A330" s="6"/>
      <c r="B330" s="23"/>
      <c r="C330" s="138"/>
      <c r="D330" s="110"/>
      <c r="E330" s="110"/>
      <c r="F330" s="60" t="str">
        <f>IFERROR(VLOOKUP(B330,TOLSEN!A:D,3,FALSE),"0")</f>
        <v>0</v>
      </c>
      <c r="G330" s="61" t="str">
        <f>IFERROR(VLOOKUP(B330,TOLSEN!A:D,4,FALSE),"0")</f>
        <v>0</v>
      </c>
      <c r="H330" s="62" t="str">
        <f>IFERROR(VLOOKUP(B330,TOLSEN!A:K,6,FALSE),"0")</f>
        <v>0</v>
      </c>
      <c r="I330" s="62" t="str">
        <f>IFERROR(VLOOKUP(B330,TOLSEN!A:AC,7,FALSE),"0")</f>
        <v>0</v>
      </c>
      <c r="J330" s="63">
        <f t="shared" si="8"/>
        <v>0</v>
      </c>
      <c r="K330" s="107" t="e">
        <f t="shared" si="9"/>
        <v>#VALUE!</v>
      </c>
      <c r="L330" s="148">
        <f>IFERROR(VLOOKUP($B330,TOLSEN!A:I,8,FALSE),0)</f>
        <v>0</v>
      </c>
      <c r="M330" s="148">
        <f>IFERROR(VLOOKUP($B330,TOLSEN!A:K,9,FALSE),0)</f>
        <v>0</v>
      </c>
      <c r="N330" s="94" t="str">
        <f>IFERROR(VLOOKUP(B330,TOLSEN!A:K,5,FALSE)," ")</f>
        <v xml:space="preserve"> </v>
      </c>
      <c r="O330" s="161" t="str">
        <f>IFERROR(VLOOKUP($B330,TOLSEN!$A:$K,10,FALSE)," ")</f>
        <v xml:space="preserve"> </v>
      </c>
      <c r="P330" s="161" t="str">
        <f>IFERROR(VLOOKUP($B330,TOLSEN!$A:$K,11,FALSE)," ")</f>
        <v xml:space="preserve"> </v>
      </c>
    </row>
    <row r="331" spans="1:16" ht="52.5" customHeight="1">
      <c r="A331" s="6"/>
      <c r="B331" s="23"/>
      <c r="C331" s="137"/>
      <c r="D331" s="110"/>
      <c r="E331" s="110"/>
      <c r="F331" s="60" t="str">
        <f>IFERROR(VLOOKUP(B331,TOLSEN!A:D,3,FALSE),"0")</f>
        <v>0</v>
      </c>
      <c r="G331" s="61" t="str">
        <f>IFERROR(VLOOKUP(B331,TOLSEN!A:D,4,FALSE),"0")</f>
        <v>0</v>
      </c>
      <c r="H331" s="62" t="str">
        <f>IFERROR(VLOOKUP(B331,TOLSEN!A:K,6,FALSE),"0")</f>
        <v>0</v>
      </c>
      <c r="I331" s="62" t="str">
        <f>IFERROR(VLOOKUP(B331,TOLSEN!A:AC,7,FALSE),"0")</f>
        <v>0</v>
      </c>
      <c r="J331" s="63">
        <f t="shared" si="8"/>
        <v>0</v>
      </c>
      <c r="K331" s="107" t="e">
        <f t="shared" si="9"/>
        <v>#VALUE!</v>
      </c>
      <c r="L331" s="148">
        <f>IFERROR(VLOOKUP($B331,TOLSEN!A:I,8,FALSE),0)</f>
        <v>0</v>
      </c>
      <c r="M331" s="148">
        <f>IFERROR(VLOOKUP($B331,TOLSEN!A:K,9,FALSE),0)</f>
        <v>0</v>
      </c>
      <c r="N331" s="94" t="str">
        <f>IFERROR(VLOOKUP(B331,TOLSEN!A:K,5,FALSE)," ")</f>
        <v xml:space="preserve"> </v>
      </c>
      <c r="O331" s="161" t="str">
        <f>IFERROR(VLOOKUP($B331,TOLSEN!$A:$K,10,FALSE)," ")</f>
        <v xml:space="preserve"> </v>
      </c>
      <c r="P331" s="161" t="str">
        <f>IFERROR(VLOOKUP($B331,TOLSEN!$A:$K,11,FALSE)," ")</f>
        <v xml:space="preserve"> </v>
      </c>
    </row>
    <row r="332" spans="1:16" ht="52.5" customHeight="1">
      <c r="A332" s="6"/>
      <c r="B332" s="23"/>
      <c r="C332" s="138"/>
      <c r="D332" s="110"/>
      <c r="E332" s="110"/>
      <c r="F332" s="60" t="str">
        <f>IFERROR(VLOOKUP(B332,TOLSEN!A:D,3,FALSE),"0")</f>
        <v>0</v>
      </c>
      <c r="G332" s="61" t="str">
        <f>IFERROR(VLOOKUP(B332,TOLSEN!A:D,4,FALSE),"0")</f>
        <v>0</v>
      </c>
      <c r="H332" s="62" t="str">
        <f>IFERROR(VLOOKUP(B332,TOLSEN!A:K,6,FALSE),"0")</f>
        <v>0</v>
      </c>
      <c r="I332" s="62" t="str">
        <f>IFERROR(VLOOKUP(B332,TOLSEN!A:AC,7,FALSE),"0")</f>
        <v>0</v>
      </c>
      <c r="J332" s="63">
        <f t="shared" si="8"/>
        <v>0</v>
      </c>
      <c r="K332" s="107" t="e">
        <f t="shared" si="9"/>
        <v>#VALUE!</v>
      </c>
      <c r="L332" s="148">
        <f>IFERROR(VLOOKUP($B332,TOLSEN!A:I,8,FALSE),0)</f>
        <v>0</v>
      </c>
      <c r="M332" s="148">
        <f>IFERROR(VLOOKUP($B332,TOLSEN!A:K,9,FALSE),0)</f>
        <v>0</v>
      </c>
      <c r="N332" s="94" t="str">
        <f>IFERROR(VLOOKUP(B332,TOLSEN!A:K,5,FALSE)," ")</f>
        <v xml:space="preserve"> </v>
      </c>
      <c r="O332" s="161" t="str">
        <f>IFERROR(VLOOKUP($B332,TOLSEN!$A:$K,10,FALSE)," ")</f>
        <v xml:space="preserve"> </v>
      </c>
      <c r="P332" s="161" t="str">
        <f>IFERROR(VLOOKUP($B332,TOLSEN!$A:$K,11,FALSE)," ")</f>
        <v xml:space="preserve"> </v>
      </c>
    </row>
    <row r="333" spans="1:16" ht="52.5" customHeight="1">
      <c r="A333" s="6"/>
      <c r="B333" s="23"/>
      <c r="C333" s="137"/>
      <c r="D333" s="110"/>
      <c r="E333" s="110"/>
      <c r="F333" s="60" t="str">
        <f>IFERROR(VLOOKUP(B333,TOLSEN!A:D,3,FALSE),"0")</f>
        <v>0</v>
      </c>
      <c r="G333" s="61" t="str">
        <f>IFERROR(VLOOKUP(B333,TOLSEN!A:D,4,FALSE),"0")</f>
        <v>0</v>
      </c>
      <c r="H333" s="62" t="str">
        <f>IFERROR(VLOOKUP(B333,TOLSEN!A:K,6,FALSE),"0")</f>
        <v>0</v>
      </c>
      <c r="I333" s="62" t="str">
        <f>IFERROR(VLOOKUP(B333,TOLSEN!A:AC,7,FALSE),"0")</f>
        <v>0</v>
      </c>
      <c r="J333" s="63">
        <f t="shared" si="8"/>
        <v>0</v>
      </c>
      <c r="K333" s="107" t="e">
        <f t="shared" si="9"/>
        <v>#VALUE!</v>
      </c>
      <c r="L333" s="148">
        <f>IFERROR(VLOOKUP($B333,TOLSEN!A:I,8,FALSE),0)</f>
        <v>0</v>
      </c>
      <c r="M333" s="148">
        <f>IFERROR(VLOOKUP($B333,TOLSEN!A:K,9,FALSE),0)</f>
        <v>0</v>
      </c>
      <c r="N333" s="94" t="str">
        <f>IFERROR(VLOOKUP(B333,TOLSEN!A:K,5,FALSE)," ")</f>
        <v xml:space="preserve"> </v>
      </c>
      <c r="O333" s="161" t="str">
        <f>IFERROR(VLOOKUP($B333,TOLSEN!$A:$K,10,FALSE)," ")</f>
        <v xml:space="preserve"> </v>
      </c>
      <c r="P333" s="161" t="str">
        <f>IFERROR(VLOOKUP($B333,TOLSEN!$A:$K,11,FALSE)," ")</f>
        <v xml:space="preserve"> </v>
      </c>
    </row>
    <row r="334" spans="1:16" ht="52.5" customHeight="1">
      <c r="A334" s="6"/>
      <c r="B334" s="23"/>
      <c r="C334" s="138"/>
      <c r="D334" s="110"/>
      <c r="E334" s="110"/>
      <c r="F334" s="60" t="str">
        <f>IFERROR(VLOOKUP(B334,TOLSEN!A:D,3,FALSE),"0")</f>
        <v>0</v>
      </c>
      <c r="G334" s="61" t="str">
        <f>IFERROR(VLOOKUP(B334,TOLSEN!A:D,4,FALSE),"0")</f>
        <v>0</v>
      </c>
      <c r="H334" s="62" t="str">
        <f>IFERROR(VLOOKUP(B334,TOLSEN!A:K,6,FALSE),"0")</f>
        <v>0</v>
      </c>
      <c r="I334" s="62" t="str">
        <f>IFERROR(VLOOKUP(B334,TOLSEN!A:AC,7,FALSE),"0")</f>
        <v>0</v>
      </c>
      <c r="J334" s="63">
        <f t="shared" si="8"/>
        <v>0</v>
      </c>
      <c r="K334" s="107" t="e">
        <f t="shared" si="9"/>
        <v>#VALUE!</v>
      </c>
      <c r="L334" s="148">
        <f>IFERROR(VLOOKUP($B334,TOLSEN!A:I,8,FALSE),0)</f>
        <v>0</v>
      </c>
      <c r="M334" s="148">
        <f>IFERROR(VLOOKUP($B334,TOLSEN!A:K,9,FALSE),0)</f>
        <v>0</v>
      </c>
      <c r="N334" s="94" t="str">
        <f>IFERROR(VLOOKUP(B334,TOLSEN!A:K,5,FALSE)," ")</f>
        <v xml:space="preserve"> </v>
      </c>
      <c r="O334" s="161" t="str">
        <f>IFERROR(VLOOKUP($B334,TOLSEN!$A:$K,10,FALSE)," ")</f>
        <v xml:space="preserve"> </v>
      </c>
      <c r="P334" s="161" t="str">
        <f>IFERROR(VLOOKUP($B334,TOLSEN!$A:$K,11,FALSE)," ")</f>
        <v xml:space="preserve"> </v>
      </c>
    </row>
    <row r="335" spans="1:16" ht="52.5" customHeight="1">
      <c r="A335" s="6"/>
      <c r="B335" s="23"/>
      <c r="C335" s="137"/>
      <c r="D335" s="110"/>
      <c r="E335" s="110"/>
      <c r="F335" s="60" t="str">
        <f>IFERROR(VLOOKUP(B335,TOLSEN!A:D,3,FALSE),"0")</f>
        <v>0</v>
      </c>
      <c r="G335" s="61" t="str">
        <f>IFERROR(VLOOKUP(B335,TOLSEN!A:D,4,FALSE),"0")</f>
        <v>0</v>
      </c>
      <c r="H335" s="62" t="str">
        <f>IFERROR(VLOOKUP(B335,TOLSEN!A:K,6,FALSE),"0")</f>
        <v>0</v>
      </c>
      <c r="I335" s="62" t="str">
        <f>IFERROR(VLOOKUP(B335,TOLSEN!A:AC,7,FALSE),"0")</f>
        <v>0</v>
      </c>
      <c r="J335" s="63">
        <f t="shared" si="8"/>
        <v>0</v>
      </c>
      <c r="K335" s="107" t="e">
        <f t="shared" si="9"/>
        <v>#VALUE!</v>
      </c>
      <c r="L335" s="148">
        <f>IFERROR(VLOOKUP($B335,TOLSEN!A:I,8,FALSE),0)</f>
        <v>0</v>
      </c>
      <c r="M335" s="148">
        <f>IFERROR(VLOOKUP($B335,TOLSEN!A:K,9,FALSE),0)</f>
        <v>0</v>
      </c>
      <c r="N335" s="94" t="str">
        <f>IFERROR(VLOOKUP(B335,TOLSEN!A:K,5,FALSE)," ")</f>
        <v xml:space="preserve"> </v>
      </c>
      <c r="O335" s="161" t="str">
        <f>IFERROR(VLOOKUP($B335,TOLSEN!$A:$K,10,FALSE)," ")</f>
        <v xml:space="preserve"> </v>
      </c>
      <c r="P335" s="161" t="str">
        <f>IFERROR(VLOOKUP($B335,TOLSEN!$A:$K,11,FALSE)," ")</f>
        <v xml:space="preserve"> </v>
      </c>
    </row>
    <row r="336" spans="1:16" ht="52.5" customHeight="1">
      <c r="A336" s="6"/>
      <c r="B336" s="23"/>
      <c r="C336" s="138"/>
      <c r="D336" s="110"/>
      <c r="E336" s="110"/>
      <c r="F336" s="60" t="str">
        <f>IFERROR(VLOOKUP(B336,TOLSEN!A:D,3,FALSE),"0")</f>
        <v>0</v>
      </c>
      <c r="G336" s="61" t="str">
        <f>IFERROR(VLOOKUP(B336,TOLSEN!A:D,4,FALSE),"0")</f>
        <v>0</v>
      </c>
      <c r="H336" s="62" t="str">
        <f>IFERROR(VLOOKUP(B336,TOLSEN!A:K,6,FALSE),"0")</f>
        <v>0</v>
      </c>
      <c r="I336" s="62" t="str">
        <f>IFERROR(VLOOKUP(B336,TOLSEN!A:AC,7,FALSE),"0")</f>
        <v>0</v>
      </c>
      <c r="J336" s="63">
        <f t="shared" si="8"/>
        <v>0</v>
      </c>
      <c r="K336" s="107" t="e">
        <f t="shared" si="9"/>
        <v>#VALUE!</v>
      </c>
      <c r="L336" s="148">
        <f>IFERROR(VLOOKUP($B336,TOLSEN!A:I,8,FALSE),0)</f>
        <v>0</v>
      </c>
      <c r="M336" s="148">
        <f>IFERROR(VLOOKUP($B336,TOLSEN!A:K,9,FALSE),0)</f>
        <v>0</v>
      </c>
      <c r="N336" s="94" t="str">
        <f>IFERROR(VLOOKUP(B336,TOLSEN!A:K,5,FALSE)," ")</f>
        <v xml:space="preserve"> </v>
      </c>
      <c r="O336" s="161" t="str">
        <f>IFERROR(VLOOKUP($B336,TOLSEN!$A:$K,10,FALSE)," ")</f>
        <v xml:space="preserve"> </v>
      </c>
      <c r="P336" s="161" t="str">
        <f>IFERROR(VLOOKUP($B336,TOLSEN!$A:$K,11,FALSE)," ")</f>
        <v xml:space="preserve"> </v>
      </c>
    </row>
    <row r="337" spans="1:16" ht="52.5" customHeight="1">
      <c r="A337" s="6"/>
      <c r="B337" s="23"/>
      <c r="C337" s="137"/>
      <c r="D337" s="110"/>
      <c r="E337" s="110"/>
      <c r="F337" s="60" t="str">
        <f>IFERROR(VLOOKUP(B337,TOLSEN!A:D,3,FALSE),"0")</f>
        <v>0</v>
      </c>
      <c r="G337" s="61" t="str">
        <f>IFERROR(VLOOKUP(B337,TOLSEN!A:D,4,FALSE),"0")</f>
        <v>0</v>
      </c>
      <c r="H337" s="62" t="str">
        <f>IFERROR(VLOOKUP(B337,TOLSEN!A:K,6,FALSE),"0")</f>
        <v>0</v>
      </c>
      <c r="I337" s="62" t="str">
        <f>IFERROR(VLOOKUP(B337,TOLSEN!A:AC,7,FALSE),"0")</f>
        <v>0</v>
      </c>
      <c r="J337" s="63">
        <f t="shared" si="8"/>
        <v>0</v>
      </c>
      <c r="K337" s="107" t="e">
        <f t="shared" si="9"/>
        <v>#VALUE!</v>
      </c>
      <c r="L337" s="148">
        <f>IFERROR(VLOOKUP($B337,TOLSEN!A:I,8,FALSE),0)</f>
        <v>0</v>
      </c>
      <c r="M337" s="148">
        <f>IFERROR(VLOOKUP($B337,TOLSEN!A:K,9,FALSE),0)</f>
        <v>0</v>
      </c>
      <c r="N337" s="94" t="str">
        <f>IFERROR(VLOOKUP(B337,TOLSEN!A:K,5,FALSE)," ")</f>
        <v xml:space="preserve"> </v>
      </c>
      <c r="O337" s="161" t="str">
        <f>IFERROR(VLOOKUP($B337,TOLSEN!$A:$K,10,FALSE)," ")</f>
        <v xml:space="preserve"> </v>
      </c>
      <c r="P337" s="161" t="str">
        <f>IFERROR(VLOOKUP($B337,TOLSEN!$A:$K,11,FALSE)," ")</f>
        <v xml:space="preserve"> </v>
      </c>
    </row>
    <row r="338" spans="1:16" ht="52.5" customHeight="1">
      <c r="B338" s="25"/>
      <c r="C338" s="138"/>
      <c r="D338" s="110"/>
      <c r="E338" s="110"/>
      <c r="F338" s="60" t="str">
        <f>IFERROR(VLOOKUP(B338,TOLSEN!A:D,3,FALSE),"0")</f>
        <v>0</v>
      </c>
      <c r="G338" s="61" t="str">
        <f>IFERROR(VLOOKUP(B338,TOLSEN!A:D,4,FALSE),"0")</f>
        <v>0</v>
      </c>
      <c r="H338" s="62" t="str">
        <f>IFERROR(VLOOKUP(B338,TOLSEN!A:K,6,FALSE),"0")</f>
        <v>0</v>
      </c>
      <c r="I338" s="62" t="str">
        <f>IFERROR(VLOOKUP(B338,TOLSEN!A:AC,7,FALSE),"0")</f>
        <v>0</v>
      </c>
      <c r="J338" s="63">
        <f t="shared" si="8"/>
        <v>0</v>
      </c>
      <c r="K338" s="107" t="e">
        <f t="shared" si="9"/>
        <v>#VALUE!</v>
      </c>
      <c r="L338" s="148">
        <f>IFERROR(VLOOKUP($B338,TOLSEN!A:I,8,FALSE),0)</f>
        <v>0</v>
      </c>
      <c r="M338" s="148">
        <f>IFERROR(VLOOKUP($B338,TOLSEN!A:K,9,FALSE),0)</f>
        <v>0</v>
      </c>
      <c r="N338" s="94" t="str">
        <f>IFERROR(VLOOKUP(B338,TOLSEN!A:K,5,FALSE)," ")</f>
        <v xml:space="preserve"> </v>
      </c>
      <c r="O338" s="161" t="str">
        <f>IFERROR(VLOOKUP($B338,TOLSEN!$A:$K,10,FALSE)," ")</f>
        <v xml:space="preserve"> </v>
      </c>
      <c r="P338" s="161" t="str">
        <f>IFERROR(VLOOKUP($B338,TOLSEN!$A:$K,11,FALSE)," ")</f>
        <v xml:space="preserve"> </v>
      </c>
    </row>
    <row r="339" spans="1:16" ht="52.5" customHeight="1">
      <c r="B339" s="26"/>
      <c r="C339" s="137"/>
      <c r="D339" s="94"/>
      <c r="E339" s="94"/>
      <c r="F339" s="60" t="str">
        <f>IFERROR(VLOOKUP(B339,TOLSEN!A:D,3,FALSE),"0")</f>
        <v>0</v>
      </c>
      <c r="G339" s="61" t="str">
        <f>IFERROR(VLOOKUP(B339,TOLSEN!A:D,4,FALSE),"0")</f>
        <v>0</v>
      </c>
      <c r="H339" s="62" t="str">
        <f>IFERROR(VLOOKUP(B339,TOLSEN!A:K,6,FALSE),"0")</f>
        <v>0</v>
      </c>
      <c r="I339" s="62" t="str">
        <f>IFERROR(VLOOKUP(B339,TOLSEN!A:AC,7,FALSE),"0")</f>
        <v>0</v>
      </c>
      <c r="J339" s="63">
        <f t="shared" si="8"/>
        <v>0</v>
      </c>
      <c r="K339" s="107" t="e">
        <f t="shared" si="9"/>
        <v>#VALUE!</v>
      </c>
      <c r="L339" s="148">
        <f>IFERROR(VLOOKUP($B339,TOLSEN!A:I,8,FALSE),0)</f>
        <v>0</v>
      </c>
      <c r="M339" s="148">
        <f>IFERROR(VLOOKUP($B339,TOLSEN!A:K,9,FALSE),0)</f>
        <v>0</v>
      </c>
      <c r="N339" s="94" t="str">
        <f>IFERROR(VLOOKUP(B339,TOLSEN!A:K,5,FALSE)," ")</f>
        <v xml:space="preserve"> </v>
      </c>
      <c r="O339" s="161" t="str">
        <f>IFERROR(VLOOKUP($B339,TOLSEN!$A:$K,10,FALSE)," ")</f>
        <v xml:space="preserve"> </v>
      </c>
      <c r="P339" s="161" t="str">
        <f>IFERROR(VLOOKUP($B339,TOLSEN!$A:$K,11,FALSE)," ")</f>
        <v xml:space="preserve"> </v>
      </c>
    </row>
    <row r="340" spans="1:16" ht="52.5" customHeight="1">
      <c r="B340" s="26"/>
      <c r="C340" s="138"/>
      <c r="D340" s="94"/>
      <c r="E340" s="94"/>
      <c r="F340" s="60" t="str">
        <f>IFERROR(VLOOKUP(B340,TOLSEN!A:D,3,FALSE),"0")</f>
        <v>0</v>
      </c>
      <c r="G340" s="61" t="str">
        <f>IFERROR(VLOOKUP(B340,TOLSEN!A:D,4,FALSE),"0")</f>
        <v>0</v>
      </c>
      <c r="H340" s="62" t="str">
        <f>IFERROR(VLOOKUP(B340,TOLSEN!A:K,6,FALSE),"0")</f>
        <v>0</v>
      </c>
      <c r="I340" s="62" t="str">
        <f>IFERROR(VLOOKUP(B340,TOLSEN!A:AC,7,FALSE),"0")</f>
        <v>0</v>
      </c>
      <c r="J340" s="63">
        <f t="shared" si="8"/>
        <v>0</v>
      </c>
      <c r="K340" s="107" t="e">
        <f t="shared" si="9"/>
        <v>#VALUE!</v>
      </c>
      <c r="L340" s="148">
        <f>IFERROR(VLOOKUP($B340,TOLSEN!A:I,8,FALSE),0)</f>
        <v>0</v>
      </c>
      <c r="M340" s="148">
        <f>IFERROR(VLOOKUP($B340,TOLSEN!A:K,9,FALSE),0)</f>
        <v>0</v>
      </c>
      <c r="N340" s="94" t="str">
        <f>IFERROR(VLOOKUP(B340,TOLSEN!A:K,5,FALSE)," ")</f>
        <v xml:space="preserve"> </v>
      </c>
      <c r="O340" s="161" t="str">
        <f>IFERROR(VLOOKUP($B340,TOLSEN!$A:$K,10,FALSE)," ")</f>
        <v xml:space="preserve"> </v>
      </c>
      <c r="P340" s="161" t="str">
        <f>IFERROR(VLOOKUP($B340,TOLSEN!$A:$K,11,FALSE)," ")</f>
        <v xml:space="preserve"> </v>
      </c>
    </row>
    <row r="341" spans="1:16" ht="52.5" customHeight="1">
      <c r="B341" s="26"/>
      <c r="C341" s="137"/>
      <c r="D341" s="94"/>
      <c r="E341" s="94"/>
      <c r="F341" s="60" t="str">
        <f>IFERROR(VLOOKUP(B341,TOLSEN!A:D,3,FALSE),"0")</f>
        <v>0</v>
      </c>
      <c r="G341" s="61" t="str">
        <f>IFERROR(VLOOKUP(B341,TOLSEN!A:D,4,FALSE),"0")</f>
        <v>0</v>
      </c>
      <c r="H341" s="62" t="str">
        <f>IFERROR(VLOOKUP(B341,TOLSEN!A:K,6,FALSE),"0")</f>
        <v>0</v>
      </c>
      <c r="I341" s="62" t="str">
        <f>IFERROR(VLOOKUP(B341,TOLSEN!A:AC,7,FALSE),"0")</f>
        <v>0</v>
      </c>
      <c r="J341" s="63">
        <f t="shared" si="8"/>
        <v>0</v>
      </c>
      <c r="K341" s="107" t="e">
        <f t="shared" si="9"/>
        <v>#VALUE!</v>
      </c>
      <c r="L341" s="148">
        <f>IFERROR(VLOOKUP($B341,TOLSEN!A:I,8,FALSE),0)</f>
        <v>0</v>
      </c>
      <c r="M341" s="148">
        <f>IFERROR(VLOOKUP($B341,TOLSEN!A:K,9,FALSE),0)</f>
        <v>0</v>
      </c>
      <c r="N341" s="94" t="str">
        <f>IFERROR(VLOOKUP(B341,TOLSEN!A:K,5,FALSE)," ")</f>
        <v xml:space="preserve"> </v>
      </c>
      <c r="O341" s="161" t="str">
        <f>IFERROR(VLOOKUP($B341,TOLSEN!$A:$K,10,FALSE)," ")</f>
        <v xml:space="preserve"> </v>
      </c>
      <c r="P341" s="161" t="str">
        <f>IFERROR(VLOOKUP($B341,TOLSEN!$A:$K,11,FALSE)," ")</f>
        <v xml:space="preserve"> </v>
      </c>
    </row>
    <row r="342" spans="1:16" ht="52.5" customHeight="1">
      <c r="B342" s="26"/>
      <c r="C342" s="139"/>
      <c r="D342" s="94"/>
      <c r="E342" s="94"/>
      <c r="F342" s="60" t="str">
        <f>IFERROR(VLOOKUP(B342,TOLSEN!A:D,3,FALSE),"0")</f>
        <v>0</v>
      </c>
      <c r="G342" s="61" t="str">
        <f>IFERROR(VLOOKUP(B342,TOLSEN!A:D,4,FALSE),"0")</f>
        <v>0</v>
      </c>
      <c r="H342" s="62" t="str">
        <f>IFERROR(VLOOKUP(B342,TOLSEN!A:K,6,FALSE),"0")</f>
        <v>0</v>
      </c>
      <c r="I342" s="62" t="str">
        <f>IFERROR(VLOOKUP(B342,TOLSEN!A:AC,7,FALSE),"0")</f>
        <v>0</v>
      </c>
      <c r="J342" s="63">
        <f t="shared" si="8"/>
        <v>0</v>
      </c>
      <c r="K342" s="107" t="e">
        <f t="shared" si="9"/>
        <v>#VALUE!</v>
      </c>
      <c r="L342" s="148">
        <f>IFERROR(VLOOKUP($B342,TOLSEN!A:I,8,FALSE),0)</f>
        <v>0</v>
      </c>
      <c r="M342" s="148">
        <f>IFERROR(VLOOKUP($B342,TOLSEN!A:K,9,FALSE),0)</f>
        <v>0</v>
      </c>
      <c r="N342" s="94" t="str">
        <f>IFERROR(VLOOKUP(B342,TOLSEN!A:K,5,FALSE)," ")</f>
        <v xml:space="preserve"> </v>
      </c>
      <c r="O342" s="161" t="str">
        <f>IFERROR(VLOOKUP($B342,TOLSEN!$A:$K,10,FALSE)," ")</f>
        <v xml:space="preserve"> </v>
      </c>
      <c r="P342" s="161" t="str">
        <f>IFERROR(VLOOKUP($B342,TOLSEN!$A:$K,11,FALSE)," ")</f>
        <v xml:space="preserve"> </v>
      </c>
    </row>
    <row r="343" spans="1:16" ht="52.5" customHeight="1">
      <c r="B343" s="26"/>
      <c r="C343" s="137"/>
      <c r="D343" s="94"/>
      <c r="E343" s="94"/>
      <c r="F343" s="60" t="str">
        <f>IFERROR(VLOOKUP(B343,TOLSEN!A:D,3,FALSE),"0")</f>
        <v>0</v>
      </c>
      <c r="G343" s="61" t="str">
        <f>IFERROR(VLOOKUP(B343,TOLSEN!A:D,4,FALSE),"0")</f>
        <v>0</v>
      </c>
      <c r="H343" s="62" t="str">
        <f>IFERROR(VLOOKUP(B343,TOLSEN!A:K,6,FALSE),"0")</f>
        <v>0</v>
      </c>
      <c r="I343" s="62" t="str">
        <f>IFERROR(VLOOKUP(B343,TOLSEN!A:AC,7,FALSE),"0")</f>
        <v>0</v>
      </c>
      <c r="J343" s="63">
        <f t="shared" si="8"/>
        <v>0</v>
      </c>
      <c r="K343" s="107" t="e">
        <f t="shared" si="9"/>
        <v>#VALUE!</v>
      </c>
      <c r="L343" s="148">
        <f>IFERROR(VLOOKUP($B343,TOLSEN!A:I,8,FALSE),0)</f>
        <v>0</v>
      </c>
      <c r="M343" s="148">
        <f>IFERROR(VLOOKUP($B343,TOLSEN!A:K,9,FALSE),0)</f>
        <v>0</v>
      </c>
      <c r="N343" s="94" t="str">
        <f>IFERROR(VLOOKUP(B343,TOLSEN!A:K,5,FALSE)," ")</f>
        <v xml:space="preserve"> </v>
      </c>
      <c r="O343" s="161" t="str">
        <f>IFERROR(VLOOKUP($B343,TOLSEN!$A:$K,10,FALSE)," ")</f>
        <v xml:space="preserve"> </v>
      </c>
      <c r="P343" s="161" t="str">
        <f>IFERROR(VLOOKUP($B343,TOLSEN!$A:$K,11,FALSE)," ")</f>
        <v xml:space="preserve"> </v>
      </c>
    </row>
    <row r="344" spans="1:16" ht="52.5" customHeight="1">
      <c r="B344" s="26"/>
      <c r="C344" s="138"/>
      <c r="D344" s="94"/>
      <c r="E344" s="94"/>
      <c r="F344" s="60" t="str">
        <f>IFERROR(VLOOKUP(B344,TOLSEN!A:D,3,FALSE),"0")</f>
        <v>0</v>
      </c>
      <c r="G344" s="61" t="str">
        <f>IFERROR(VLOOKUP(B344,TOLSEN!A:D,4,FALSE),"0")</f>
        <v>0</v>
      </c>
      <c r="H344" s="62" t="str">
        <f>IFERROR(VLOOKUP(B344,TOLSEN!A:K,6,FALSE),"0")</f>
        <v>0</v>
      </c>
      <c r="I344" s="62" t="str">
        <f>IFERROR(VLOOKUP(B344,TOLSEN!A:AC,7,FALSE),"0")</f>
        <v>0</v>
      </c>
      <c r="J344" s="63">
        <f t="shared" ref="J344:J407" si="10">(I344*C344)</f>
        <v>0</v>
      </c>
      <c r="K344" s="107" t="e">
        <f t="shared" ref="K344:K407" si="11">(J344*(1+N344))</f>
        <v>#VALUE!</v>
      </c>
      <c r="L344" s="148">
        <f>IFERROR(VLOOKUP($B344,TOLSEN!A:I,8,FALSE),0)</f>
        <v>0</v>
      </c>
      <c r="M344" s="148">
        <f>IFERROR(VLOOKUP($B344,TOLSEN!A:K,9,FALSE),0)</f>
        <v>0</v>
      </c>
      <c r="N344" s="94" t="str">
        <f>IFERROR(VLOOKUP(B344,TOLSEN!A:K,5,FALSE)," ")</f>
        <v xml:space="preserve"> </v>
      </c>
      <c r="O344" s="161" t="str">
        <f>IFERROR(VLOOKUP($B344,TOLSEN!$A:$K,10,FALSE)," ")</f>
        <v xml:space="preserve"> </v>
      </c>
      <c r="P344" s="161" t="str">
        <f>IFERROR(VLOOKUP($B344,TOLSEN!$A:$K,11,FALSE)," ")</f>
        <v xml:space="preserve"> </v>
      </c>
    </row>
    <row r="345" spans="1:16" ht="52.5" customHeight="1">
      <c r="B345" s="26"/>
      <c r="C345" s="137"/>
      <c r="D345" s="94"/>
      <c r="E345" s="94"/>
      <c r="F345" s="60" t="str">
        <f>IFERROR(VLOOKUP(B345,TOLSEN!A:D,3,FALSE),"0")</f>
        <v>0</v>
      </c>
      <c r="G345" s="61" t="str">
        <f>IFERROR(VLOOKUP(B345,TOLSEN!A:D,4,FALSE),"0")</f>
        <v>0</v>
      </c>
      <c r="H345" s="62" t="str">
        <f>IFERROR(VLOOKUP(B345,TOLSEN!A:K,6,FALSE),"0")</f>
        <v>0</v>
      </c>
      <c r="I345" s="62" t="str">
        <f>IFERROR(VLOOKUP(B345,TOLSEN!A:AC,7,FALSE),"0")</f>
        <v>0</v>
      </c>
      <c r="J345" s="63">
        <f t="shared" si="10"/>
        <v>0</v>
      </c>
      <c r="K345" s="107" t="e">
        <f t="shared" si="11"/>
        <v>#VALUE!</v>
      </c>
      <c r="L345" s="148">
        <f>IFERROR(VLOOKUP($B345,TOLSEN!A:I,8,FALSE),0)</f>
        <v>0</v>
      </c>
      <c r="M345" s="148">
        <f>IFERROR(VLOOKUP($B345,TOLSEN!A:K,9,FALSE),0)</f>
        <v>0</v>
      </c>
      <c r="N345" s="94" t="str">
        <f>IFERROR(VLOOKUP(B345,TOLSEN!A:K,5,FALSE)," ")</f>
        <v xml:space="preserve"> </v>
      </c>
      <c r="O345" s="161" t="str">
        <f>IFERROR(VLOOKUP($B345,TOLSEN!$A:$K,10,FALSE)," ")</f>
        <v xml:space="preserve"> </v>
      </c>
      <c r="P345" s="161" t="str">
        <f>IFERROR(VLOOKUP($B345,TOLSEN!$A:$K,11,FALSE)," ")</f>
        <v xml:space="preserve"> </v>
      </c>
    </row>
    <row r="346" spans="1:16" ht="52.5" customHeight="1">
      <c r="B346" s="26"/>
      <c r="C346" s="138"/>
      <c r="D346" s="94"/>
      <c r="E346" s="94"/>
      <c r="F346" s="60" t="str">
        <f>IFERROR(VLOOKUP(B346,TOLSEN!A:D,3,FALSE),"0")</f>
        <v>0</v>
      </c>
      <c r="G346" s="61" t="str">
        <f>IFERROR(VLOOKUP(B346,TOLSEN!A:D,4,FALSE),"0")</f>
        <v>0</v>
      </c>
      <c r="H346" s="62" t="str">
        <f>IFERROR(VLOOKUP(B346,TOLSEN!A:K,6,FALSE),"0")</f>
        <v>0</v>
      </c>
      <c r="I346" s="62" t="str">
        <f>IFERROR(VLOOKUP(B346,TOLSEN!A:AC,7,FALSE),"0")</f>
        <v>0</v>
      </c>
      <c r="J346" s="63">
        <f t="shared" si="10"/>
        <v>0</v>
      </c>
      <c r="K346" s="107" t="e">
        <f t="shared" si="11"/>
        <v>#VALUE!</v>
      </c>
      <c r="L346" s="148">
        <f>IFERROR(VLOOKUP($B346,TOLSEN!A:I,8,FALSE),0)</f>
        <v>0</v>
      </c>
      <c r="M346" s="148">
        <f>IFERROR(VLOOKUP($B346,TOLSEN!A:K,9,FALSE),0)</f>
        <v>0</v>
      </c>
      <c r="N346" s="94" t="str">
        <f>IFERROR(VLOOKUP(B346,TOLSEN!A:K,5,FALSE)," ")</f>
        <v xml:space="preserve"> </v>
      </c>
      <c r="O346" s="161" t="str">
        <f>IFERROR(VLOOKUP($B346,TOLSEN!$A:$K,10,FALSE)," ")</f>
        <v xml:space="preserve"> </v>
      </c>
      <c r="P346" s="161" t="str">
        <f>IFERROR(VLOOKUP($B346,TOLSEN!$A:$K,11,FALSE)," ")</f>
        <v xml:space="preserve"> </v>
      </c>
    </row>
    <row r="347" spans="1:16" ht="52.5" customHeight="1">
      <c r="B347" s="26"/>
      <c r="C347" s="137"/>
      <c r="D347" s="94"/>
      <c r="E347" s="94"/>
      <c r="F347" s="60" t="str">
        <f>IFERROR(VLOOKUP(B347,TOLSEN!A:D,3,FALSE),"0")</f>
        <v>0</v>
      </c>
      <c r="G347" s="61" t="str">
        <f>IFERROR(VLOOKUP(B347,TOLSEN!A:D,4,FALSE),"0")</f>
        <v>0</v>
      </c>
      <c r="H347" s="62" t="str">
        <f>IFERROR(VLOOKUP(B347,TOLSEN!A:K,6,FALSE),"0")</f>
        <v>0</v>
      </c>
      <c r="I347" s="62" t="str">
        <f>IFERROR(VLOOKUP(B347,TOLSEN!A:AC,7,FALSE),"0")</f>
        <v>0</v>
      </c>
      <c r="J347" s="63">
        <f t="shared" si="10"/>
        <v>0</v>
      </c>
      <c r="K347" s="107" t="e">
        <f t="shared" si="11"/>
        <v>#VALUE!</v>
      </c>
      <c r="L347" s="148">
        <f>IFERROR(VLOOKUP($B347,TOLSEN!A:I,8,FALSE),0)</f>
        <v>0</v>
      </c>
      <c r="M347" s="148">
        <f>IFERROR(VLOOKUP($B347,TOLSEN!A:K,9,FALSE),0)</f>
        <v>0</v>
      </c>
      <c r="N347" s="94" t="str">
        <f>IFERROR(VLOOKUP(B347,TOLSEN!A:K,5,FALSE)," ")</f>
        <v xml:space="preserve"> </v>
      </c>
      <c r="O347" s="161" t="str">
        <f>IFERROR(VLOOKUP($B347,TOLSEN!$A:$K,10,FALSE)," ")</f>
        <v xml:space="preserve"> </v>
      </c>
      <c r="P347" s="161" t="str">
        <f>IFERROR(VLOOKUP($B347,TOLSEN!$A:$K,11,FALSE)," ")</f>
        <v xml:space="preserve"> </v>
      </c>
    </row>
    <row r="348" spans="1:16" ht="52.5" customHeight="1">
      <c r="B348" s="26"/>
      <c r="C348" s="138"/>
      <c r="D348" s="94"/>
      <c r="E348" s="94"/>
      <c r="F348" s="60" t="str">
        <f>IFERROR(VLOOKUP(B348,TOLSEN!A:D,3,FALSE),"0")</f>
        <v>0</v>
      </c>
      <c r="G348" s="61" t="str">
        <f>IFERROR(VLOOKUP(B348,TOLSEN!A:D,4,FALSE),"0")</f>
        <v>0</v>
      </c>
      <c r="H348" s="62" t="str">
        <f>IFERROR(VLOOKUP(B348,TOLSEN!A:K,6,FALSE),"0")</f>
        <v>0</v>
      </c>
      <c r="I348" s="62" t="str">
        <f>IFERROR(VLOOKUP(B348,TOLSEN!A:AC,7,FALSE),"0")</f>
        <v>0</v>
      </c>
      <c r="J348" s="63">
        <f t="shared" si="10"/>
        <v>0</v>
      </c>
      <c r="K348" s="107" t="e">
        <f t="shared" si="11"/>
        <v>#VALUE!</v>
      </c>
      <c r="L348" s="148">
        <f>IFERROR(VLOOKUP($B348,TOLSEN!A:I,8,FALSE),0)</f>
        <v>0</v>
      </c>
      <c r="M348" s="148">
        <f>IFERROR(VLOOKUP($B348,TOLSEN!A:K,9,FALSE),0)</f>
        <v>0</v>
      </c>
      <c r="N348" s="94" t="str">
        <f>IFERROR(VLOOKUP(B348,TOLSEN!A:K,5,FALSE)," ")</f>
        <v xml:space="preserve"> </v>
      </c>
      <c r="O348" s="161" t="str">
        <f>IFERROR(VLOOKUP($B348,TOLSEN!$A:$K,10,FALSE)," ")</f>
        <v xml:space="preserve"> </v>
      </c>
      <c r="P348" s="161" t="str">
        <f>IFERROR(VLOOKUP($B348,TOLSEN!$A:$K,11,FALSE)," ")</f>
        <v xml:space="preserve"> </v>
      </c>
    </row>
    <row r="349" spans="1:16" ht="52.5" customHeight="1">
      <c r="B349" s="26"/>
      <c r="C349" s="137"/>
      <c r="D349" s="94"/>
      <c r="E349" s="94"/>
      <c r="F349" s="60" t="str">
        <f>IFERROR(VLOOKUP(B349,TOLSEN!A:D,3,FALSE),"0")</f>
        <v>0</v>
      </c>
      <c r="G349" s="61" t="str">
        <f>IFERROR(VLOOKUP(B349,TOLSEN!A:D,4,FALSE),"0")</f>
        <v>0</v>
      </c>
      <c r="H349" s="62" t="str">
        <f>IFERROR(VLOOKUP(B349,TOLSEN!A:K,6,FALSE),"0")</f>
        <v>0</v>
      </c>
      <c r="I349" s="62" t="str">
        <f>IFERROR(VLOOKUP(B349,TOLSEN!A:AC,7,FALSE),"0")</f>
        <v>0</v>
      </c>
      <c r="J349" s="63">
        <f t="shared" si="10"/>
        <v>0</v>
      </c>
      <c r="K349" s="107" t="e">
        <f t="shared" si="11"/>
        <v>#VALUE!</v>
      </c>
      <c r="L349" s="148">
        <f>IFERROR(VLOOKUP($B349,TOLSEN!A:I,8,FALSE),0)</f>
        <v>0</v>
      </c>
      <c r="M349" s="148">
        <f>IFERROR(VLOOKUP($B349,TOLSEN!A:K,9,FALSE),0)</f>
        <v>0</v>
      </c>
      <c r="N349" s="94" t="str">
        <f>IFERROR(VLOOKUP(B349,TOLSEN!A:K,5,FALSE)," ")</f>
        <v xml:space="preserve"> </v>
      </c>
      <c r="O349" s="161" t="str">
        <f>IFERROR(VLOOKUP($B349,TOLSEN!$A:$K,10,FALSE)," ")</f>
        <v xml:space="preserve"> </v>
      </c>
      <c r="P349" s="161" t="str">
        <f>IFERROR(VLOOKUP($B349,TOLSEN!$A:$K,11,FALSE)," ")</f>
        <v xml:space="preserve"> </v>
      </c>
    </row>
    <row r="350" spans="1:16" ht="52.5" customHeight="1">
      <c r="B350" s="26"/>
      <c r="C350" s="138"/>
      <c r="D350" s="94"/>
      <c r="E350" s="94"/>
      <c r="F350" s="60" t="str">
        <f>IFERROR(VLOOKUP(B350,TOLSEN!A:D,3,FALSE),"0")</f>
        <v>0</v>
      </c>
      <c r="G350" s="61" t="str">
        <f>IFERROR(VLOOKUP(B350,TOLSEN!A:D,4,FALSE),"0")</f>
        <v>0</v>
      </c>
      <c r="H350" s="62" t="str">
        <f>IFERROR(VLOOKUP(B350,TOLSEN!A:K,6,FALSE),"0")</f>
        <v>0</v>
      </c>
      <c r="I350" s="62" t="str">
        <f>IFERROR(VLOOKUP(B350,TOLSEN!A:AC,7,FALSE),"0")</f>
        <v>0</v>
      </c>
      <c r="J350" s="63">
        <f t="shared" si="10"/>
        <v>0</v>
      </c>
      <c r="K350" s="107" t="e">
        <f t="shared" si="11"/>
        <v>#VALUE!</v>
      </c>
      <c r="L350" s="148">
        <f>IFERROR(VLOOKUP($B350,TOLSEN!A:I,8,FALSE),0)</f>
        <v>0</v>
      </c>
      <c r="M350" s="148">
        <f>IFERROR(VLOOKUP($B350,TOLSEN!A:K,9,FALSE),0)</f>
        <v>0</v>
      </c>
      <c r="N350" s="94" t="str">
        <f>IFERROR(VLOOKUP(B350,TOLSEN!A:K,5,FALSE)," ")</f>
        <v xml:space="preserve"> </v>
      </c>
      <c r="O350" s="161" t="str">
        <f>IFERROR(VLOOKUP($B350,TOLSEN!$A:$K,10,FALSE)," ")</f>
        <v xml:space="preserve"> </v>
      </c>
      <c r="P350" s="161" t="str">
        <f>IFERROR(VLOOKUP($B350,TOLSEN!$A:$K,11,FALSE)," ")</f>
        <v xml:space="preserve"> </v>
      </c>
    </row>
    <row r="351" spans="1:16" ht="52.5" customHeight="1">
      <c r="B351" s="26"/>
      <c r="C351" s="137"/>
      <c r="D351" s="94"/>
      <c r="E351" s="94"/>
      <c r="F351" s="60" t="str">
        <f>IFERROR(VLOOKUP(B351,TOLSEN!A:D,3,FALSE),"0")</f>
        <v>0</v>
      </c>
      <c r="G351" s="61" t="str">
        <f>IFERROR(VLOOKUP(B351,TOLSEN!A:D,4,FALSE),"0")</f>
        <v>0</v>
      </c>
      <c r="H351" s="62" t="str">
        <f>IFERROR(VLOOKUP(B351,TOLSEN!A:K,6,FALSE),"0")</f>
        <v>0</v>
      </c>
      <c r="I351" s="62" t="str">
        <f>IFERROR(VLOOKUP(B351,TOLSEN!A:AC,7,FALSE),"0")</f>
        <v>0</v>
      </c>
      <c r="J351" s="63">
        <f t="shared" si="10"/>
        <v>0</v>
      </c>
      <c r="K351" s="107" t="e">
        <f t="shared" si="11"/>
        <v>#VALUE!</v>
      </c>
      <c r="L351" s="148">
        <f>IFERROR(VLOOKUP($B351,TOLSEN!A:I,8,FALSE),0)</f>
        <v>0</v>
      </c>
      <c r="M351" s="148">
        <f>IFERROR(VLOOKUP($B351,TOLSEN!A:K,9,FALSE),0)</f>
        <v>0</v>
      </c>
      <c r="N351" s="94" t="str">
        <f>IFERROR(VLOOKUP(B351,TOLSEN!A:K,5,FALSE)," ")</f>
        <v xml:space="preserve"> </v>
      </c>
      <c r="O351" s="161" t="str">
        <f>IFERROR(VLOOKUP($B351,TOLSEN!$A:$K,10,FALSE)," ")</f>
        <v xml:space="preserve"> </v>
      </c>
      <c r="P351" s="161" t="str">
        <f>IFERROR(VLOOKUP($B351,TOLSEN!$A:$K,11,FALSE)," ")</f>
        <v xml:space="preserve"> </v>
      </c>
    </row>
    <row r="352" spans="1:16" ht="52.5" customHeight="1">
      <c r="B352" s="26"/>
      <c r="C352" s="138"/>
      <c r="D352" s="94"/>
      <c r="E352" s="94"/>
      <c r="F352" s="60" t="str">
        <f>IFERROR(VLOOKUP(B352,TOLSEN!A:D,3,FALSE),"0")</f>
        <v>0</v>
      </c>
      <c r="G352" s="61" t="str">
        <f>IFERROR(VLOOKUP(B352,TOLSEN!A:D,4,FALSE),"0")</f>
        <v>0</v>
      </c>
      <c r="H352" s="62" t="str">
        <f>IFERROR(VLOOKUP(B352,TOLSEN!A:K,6,FALSE),"0")</f>
        <v>0</v>
      </c>
      <c r="I352" s="62" t="str">
        <f>IFERROR(VLOOKUP(B352,TOLSEN!A:AC,7,FALSE),"0")</f>
        <v>0</v>
      </c>
      <c r="J352" s="63">
        <f t="shared" si="10"/>
        <v>0</v>
      </c>
      <c r="K352" s="107" t="e">
        <f t="shared" si="11"/>
        <v>#VALUE!</v>
      </c>
      <c r="L352" s="148">
        <f>IFERROR(VLOOKUP($B352,TOLSEN!A:I,8,FALSE),0)</f>
        <v>0</v>
      </c>
      <c r="M352" s="148">
        <f>IFERROR(VLOOKUP($B352,TOLSEN!A:K,9,FALSE),0)</f>
        <v>0</v>
      </c>
      <c r="N352" s="94" t="str">
        <f>IFERROR(VLOOKUP(B352,TOLSEN!A:K,5,FALSE)," ")</f>
        <v xml:space="preserve"> </v>
      </c>
      <c r="O352" s="161" t="str">
        <f>IFERROR(VLOOKUP($B352,TOLSEN!$A:$K,10,FALSE)," ")</f>
        <v xml:space="preserve"> </v>
      </c>
      <c r="P352" s="161" t="str">
        <f>IFERROR(VLOOKUP($B352,TOLSEN!$A:$K,11,FALSE)," ")</f>
        <v xml:space="preserve"> </v>
      </c>
    </row>
    <row r="353" spans="2:16" ht="52.5" customHeight="1">
      <c r="B353" s="26"/>
      <c r="C353" s="137"/>
      <c r="D353" s="94"/>
      <c r="E353" s="94"/>
      <c r="F353" s="60" t="str">
        <f>IFERROR(VLOOKUP(B353,TOLSEN!A:D,3,FALSE),"0")</f>
        <v>0</v>
      </c>
      <c r="G353" s="61" t="str">
        <f>IFERROR(VLOOKUP(B353,TOLSEN!A:D,4,FALSE),"0")</f>
        <v>0</v>
      </c>
      <c r="H353" s="62" t="str">
        <f>IFERROR(VLOOKUP(B353,TOLSEN!A:K,6,FALSE),"0")</f>
        <v>0</v>
      </c>
      <c r="I353" s="62" t="str">
        <f>IFERROR(VLOOKUP(B353,TOLSEN!A:AC,7,FALSE),"0")</f>
        <v>0</v>
      </c>
      <c r="J353" s="63">
        <f t="shared" si="10"/>
        <v>0</v>
      </c>
      <c r="K353" s="107" t="e">
        <f t="shared" si="11"/>
        <v>#VALUE!</v>
      </c>
      <c r="L353" s="148">
        <f>IFERROR(VLOOKUP($B353,TOLSEN!A:I,8,FALSE),0)</f>
        <v>0</v>
      </c>
      <c r="M353" s="148">
        <f>IFERROR(VLOOKUP($B353,TOLSEN!A:K,9,FALSE),0)</f>
        <v>0</v>
      </c>
      <c r="N353" s="94" t="str">
        <f>IFERROR(VLOOKUP(B353,TOLSEN!A:K,5,FALSE)," ")</f>
        <v xml:space="preserve"> </v>
      </c>
      <c r="O353" s="161" t="str">
        <f>IFERROR(VLOOKUP($B353,TOLSEN!$A:$K,10,FALSE)," ")</f>
        <v xml:space="preserve"> </v>
      </c>
      <c r="P353" s="161" t="str">
        <f>IFERROR(VLOOKUP($B353,TOLSEN!$A:$K,11,FALSE)," ")</f>
        <v xml:space="preserve"> </v>
      </c>
    </row>
    <row r="354" spans="2:16" ht="52.5" customHeight="1">
      <c r="B354" s="26"/>
      <c r="C354" s="138"/>
      <c r="D354" s="94"/>
      <c r="E354" s="94"/>
      <c r="F354" s="60" t="str">
        <f>IFERROR(VLOOKUP(B354,TOLSEN!A:D,3,FALSE),"0")</f>
        <v>0</v>
      </c>
      <c r="G354" s="61" t="str">
        <f>IFERROR(VLOOKUP(B354,TOLSEN!A:D,4,FALSE),"0")</f>
        <v>0</v>
      </c>
      <c r="H354" s="62" t="str">
        <f>IFERROR(VLOOKUP(B354,TOLSEN!A:K,6,FALSE),"0")</f>
        <v>0</v>
      </c>
      <c r="I354" s="62" t="str">
        <f>IFERROR(VLOOKUP(B354,TOLSEN!A:AC,7,FALSE),"0")</f>
        <v>0</v>
      </c>
      <c r="J354" s="63">
        <f t="shared" si="10"/>
        <v>0</v>
      </c>
      <c r="K354" s="107" t="e">
        <f t="shared" si="11"/>
        <v>#VALUE!</v>
      </c>
      <c r="L354" s="148">
        <f>IFERROR(VLOOKUP($B354,TOLSEN!A:I,8,FALSE),0)</f>
        <v>0</v>
      </c>
      <c r="M354" s="148">
        <f>IFERROR(VLOOKUP($B354,TOLSEN!A:K,9,FALSE),0)</f>
        <v>0</v>
      </c>
      <c r="N354" s="94" t="str">
        <f>IFERROR(VLOOKUP(B354,TOLSEN!A:K,5,FALSE)," ")</f>
        <v xml:space="preserve"> </v>
      </c>
      <c r="O354" s="161" t="str">
        <f>IFERROR(VLOOKUP($B354,TOLSEN!$A:$K,10,FALSE)," ")</f>
        <v xml:space="preserve"> </v>
      </c>
      <c r="P354" s="161" t="str">
        <f>IFERROR(VLOOKUP($B354,TOLSEN!$A:$K,11,FALSE)," ")</f>
        <v xml:space="preserve"> </v>
      </c>
    </row>
    <row r="355" spans="2:16" ht="52.5" customHeight="1">
      <c r="B355" s="26"/>
      <c r="C355" s="137"/>
      <c r="D355" s="94"/>
      <c r="E355" s="94"/>
      <c r="F355" s="60" t="str">
        <f>IFERROR(VLOOKUP(B355,TOLSEN!A:D,3,FALSE),"0")</f>
        <v>0</v>
      </c>
      <c r="G355" s="61" t="str">
        <f>IFERROR(VLOOKUP(B355,TOLSEN!A:D,4,FALSE),"0")</f>
        <v>0</v>
      </c>
      <c r="H355" s="62" t="str">
        <f>IFERROR(VLOOKUP(B355,TOLSEN!A:K,6,FALSE),"0")</f>
        <v>0</v>
      </c>
      <c r="I355" s="62" t="str">
        <f>IFERROR(VLOOKUP(B355,TOLSEN!A:AC,7,FALSE),"0")</f>
        <v>0</v>
      </c>
      <c r="J355" s="63">
        <f t="shared" si="10"/>
        <v>0</v>
      </c>
      <c r="K355" s="107" t="e">
        <f t="shared" si="11"/>
        <v>#VALUE!</v>
      </c>
      <c r="L355" s="148">
        <f>IFERROR(VLOOKUP($B355,TOLSEN!A:I,8,FALSE),0)</f>
        <v>0</v>
      </c>
      <c r="M355" s="148">
        <f>IFERROR(VLOOKUP($B355,TOLSEN!A:K,9,FALSE),0)</f>
        <v>0</v>
      </c>
      <c r="N355" s="94" t="str">
        <f>IFERROR(VLOOKUP(B355,TOLSEN!A:K,5,FALSE)," ")</f>
        <v xml:space="preserve"> </v>
      </c>
      <c r="O355" s="161" t="str">
        <f>IFERROR(VLOOKUP($B355,TOLSEN!$A:$K,10,FALSE)," ")</f>
        <v xml:space="preserve"> </v>
      </c>
      <c r="P355" s="161" t="str">
        <f>IFERROR(VLOOKUP($B355,TOLSEN!$A:$K,11,FALSE)," ")</f>
        <v xml:space="preserve"> </v>
      </c>
    </row>
    <row r="356" spans="2:16" ht="52.5" customHeight="1">
      <c r="B356" s="26"/>
      <c r="C356" s="138"/>
      <c r="D356" s="94"/>
      <c r="E356" s="94"/>
      <c r="F356" s="60" t="str">
        <f>IFERROR(VLOOKUP(B356,TOLSEN!A:D,3,FALSE),"0")</f>
        <v>0</v>
      </c>
      <c r="G356" s="61" t="str">
        <f>IFERROR(VLOOKUP(B356,TOLSEN!A:D,4,FALSE),"0")</f>
        <v>0</v>
      </c>
      <c r="H356" s="62" t="str">
        <f>IFERROR(VLOOKUP(B356,TOLSEN!A:K,6,FALSE),"0")</f>
        <v>0</v>
      </c>
      <c r="I356" s="62" t="str">
        <f>IFERROR(VLOOKUP(B356,TOLSEN!A:AC,7,FALSE),"0")</f>
        <v>0</v>
      </c>
      <c r="J356" s="63">
        <f t="shared" si="10"/>
        <v>0</v>
      </c>
      <c r="K356" s="107" t="e">
        <f t="shared" si="11"/>
        <v>#VALUE!</v>
      </c>
      <c r="L356" s="148">
        <f>IFERROR(VLOOKUP($B356,TOLSEN!A:I,8,FALSE),0)</f>
        <v>0</v>
      </c>
      <c r="M356" s="148">
        <f>IFERROR(VLOOKUP($B356,TOLSEN!A:K,9,FALSE),0)</f>
        <v>0</v>
      </c>
      <c r="N356" s="94" t="str">
        <f>IFERROR(VLOOKUP(B356,TOLSEN!A:K,5,FALSE)," ")</f>
        <v xml:space="preserve"> </v>
      </c>
      <c r="O356" s="161" t="str">
        <f>IFERROR(VLOOKUP($B356,TOLSEN!$A:$K,10,FALSE)," ")</f>
        <v xml:space="preserve"> </v>
      </c>
      <c r="P356" s="161" t="str">
        <f>IFERROR(VLOOKUP($B356,TOLSEN!$A:$K,11,FALSE)," ")</f>
        <v xml:space="preserve"> </v>
      </c>
    </row>
    <row r="357" spans="2:16" ht="52.5" customHeight="1">
      <c r="B357" s="26"/>
      <c r="C357" s="137"/>
      <c r="D357" s="94"/>
      <c r="E357" s="94"/>
      <c r="F357" s="60" t="str">
        <f>IFERROR(VLOOKUP(B357,TOLSEN!A:D,3,FALSE),"0")</f>
        <v>0</v>
      </c>
      <c r="G357" s="61" t="str">
        <f>IFERROR(VLOOKUP(B357,TOLSEN!A:D,4,FALSE),"0")</f>
        <v>0</v>
      </c>
      <c r="H357" s="62" t="str">
        <f>IFERROR(VLOOKUP(B357,TOLSEN!A:K,6,FALSE),"0")</f>
        <v>0</v>
      </c>
      <c r="I357" s="62" t="str">
        <f>IFERROR(VLOOKUP(B357,TOLSEN!A:AC,7,FALSE),"0")</f>
        <v>0</v>
      </c>
      <c r="J357" s="63">
        <f t="shared" si="10"/>
        <v>0</v>
      </c>
      <c r="K357" s="107" t="e">
        <f t="shared" si="11"/>
        <v>#VALUE!</v>
      </c>
      <c r="L357" s="148">
        <f>IFERROR(VLOOKUP($B357,TOLSEN!A:I,8,FALSE),0)</f>
        <v>0</v>
      </c>
      <c r="M357" s="148">
        <f>IFERROR(VLOOKUP($B357,TOLSEN!A:K,9,FALSE),0)</f>
        <v>0</v>
      </c>
      <c r="N357" s="94" t="str">
        <f>IFERROR(VLOOKUP(B357,TOLSEN!A:K,5,FALSE)," ")</f>
        <v xml:space="preserve"> </v>
      </c>
      <c r="O357" s="161" t="str">
        <f>IFERROR(VLOOKUP($B357,TOLSEN!$A:$K,10,FALSE)," ")</f>
        <v xml:space="preserve"> </v>
      </c>
      <c r="P357" s="161" t="str">
        <f>IFERROR(VLOOKUP($B357,TOLSEN!$A:$K,11,FALSE)," ")</f>
        <v xml:space="preserve"> </v>
      </c>
    </row>
    <row r="358" spans="2:16" ht="52.5" customHeight="1">
      <c r="B358" s="26"/>
      <c r="C358" s="138"/>
      <c r="D358" s="94"/>
      <c r="E358" s="94"/>
      <c r="F358" s="60" t="str">
        <f>IFERROR(VLOOKUP(B358,TOLSEN!A:D,3,FALSE),"0")</f>
        <v>0</v>
      </c>
      <c r="G358" s="61" t="str">
        <f>IFERROR(VLOOKUP(B358,TOLSEN!A:D,4,FALSE),"0")</f>
        <v>0</v>
      </c>
      <c r="H358" s="62" t="str">
        <f>IFERROR(VLOOKUP(B358,TOLSEN!A:K,6,FALSE),"0")</f>
        <v>0</v>
      </c>
      <c r="I358" s="62" t="str">
        <f>IFERROR(VLOOKUP(B358,TOLSEN!A:AC,7,FALSE),"0")</f>
        <v>0</v>
      </c>
      <c r="J358" s="63">
        <f t="shared" si="10"/>
        <v>0</v>
      </c>
      <c r="K358" s="107" t="e">
        <f t="shared" si="11"/>
        <v>#VALUE!</v>
      </c>
      <c r="L358" s="148">
        <f>IFERROR(VLOOKUP($B358,TOLSEN!A:I,8,FALSE),0)</f>
        <v>0</v>
      </c>
      <c r="M358" s="148">
        <f>IFERROR(VLOOKUP($B358,TOLSEN!A:K,9,FALSE),0)</f>
        <v>0</v>
      </c>
      <c r="N358" s="94" t="str">
        <f>IFERROR(VLOOKUP(B358,TOLSEN!A:K,5,FALSE)," ")</f>
        <v xml:space="preserve"> </v>
      </c>
      <c r="O358" s="161" t="str">
        <f>IFERROR(VLOOKUP($B358,TOLSEN!$A:$K,10,FALSE)," ")</f>
        <v xml:space="preserve"> </v>
      </c>
      <c r="P358" s="161" t="str">
        <f>IFERROR(VLOOKUP($B358,TOLSEN!$A:$K,11,FALSE)," ")</f>
        <v xml:space="preserve"> </v>
      </c>
    </row>
    <row r="359" spans="2:16" ht="52.5" customHeight="1">
      <c r="B359" s="26"/>
      <c r="C359" s="137"/>
      <c r="D359" s="94"/>
      <c r="E359" s="94"/>
      <c r="F359" s="60" t="str">
        <f>IFERROR(VLOOKUP(B359,TOLSEN!A:D,3,FALSE),"0")</f>
        <v>0</v>
      </c>
      <c r="G359" s="61" t="str">
        <f>IFERROR(VLOOKUP(B359,TOLSEN!A:D,4,FALSE),"0")</f>
        <v>0</v>
      </c>
      <c r="H359" s="62" t="str">
        <f>IFERROR(VLOOKUP(B359,TOLSEN!A:K,6,FALSE),"0")</f>
        <v>0</v>
      </c>
      <c r="I359" s="62" t="str">
        <f>IFERROR(VLOOKUP(B359,TOLSEN!A:AC,7,FALSE),"0")</f>
        <v>0</v>
      </c>
      <c r="J359" s="63">
        <f t="shared" si="10"/>
        <v>0</v>
      </c>
      <c r="K359" s="107" t="e">
        <f t="shared" si="11"/>
        <v>#VALUE!</v>
      </c>
      <c r="L359" s="148">
        <f>IFERROR(VLOOKUP($B359,TOLSEN!A:I,8,FALSE),0)</f>
        <v>0</v>
      </c>
      <c r="M359" s="148">
        <f>IFERROR(VLOOKUP($B359,TOLSEN!A:K,9,FALSE),0)</f>
        <v>0</v>
      </c>
      <c r="N359" s="94" t="str">
        <f>IFERROR(VLOOKUP(B359,TOLSEN!A:K,5,FALSE)," ")</f>
        <v xml:space="preserve"> </v>
      </c>
      <c r="O359" s="161" t="str">
        <f>IFERROR(VLOOKUP($B359,TOLSEN!$A:$K,10,FALSE)," ")</f>
        <v xml:space="preserve"> </v>
      </c>
      <c r="P359" s="161" t="str">
        <f>IFERROR(VLOOKUP($B359,TOLSEN!$A:$K,11,FALSE)," ")</f>
        <v xml:space="preserve"> </v>
      </c>
    </row>
    <row r="360" spans="2:16" ht="52.5" customHeight="1">
      <c r="B360" s="26"/>
      <c r="C360" s="138"/>
      <c r="D360" s="94"/>
      <c r="E360" s="94"/>
      <c r="F360" s="60" t="str">
        <f>IFERROR(VLOOKUP(B360,TOLSEN!A:D,3,FALSE),"0")</f>
        <v>0</v>
      </c>
      <c r="G360" s="61" t="str">
        <f>IFERROR(VLOOKUP(B360,TOLSEN!A:D,4,FALSE),"0")</f>
        <v>0</v>
      </c>
      <c r="H360" s="62" t="str">
        <f>IFERROR(VLOOKUP(B360,TOLSEN!A:K,6,FALSE),"0")</f>
        <v>0</v>
      </c>
      <c r="I360" s="62" t="str">
        <f>IFERROR(VLOOKUP(B360,TOLSEN!A:AC,7,FALSE),"0")</f>
        <v>0</v>
      </c>
      <c r="J360" s="63">
        <f t="shared" si="10"/>
        <v>0</v>
      </c>
      <c r="K360" s="107" t="e">
        <f t="shared" si="11"/>
        <v>#VALUE!</v>
      </c>
      <c r="L360" s="148">
        <f>IFERROR(VLOOKUP($B360,TOLSEN!A:I,8,FALSE),0)</f>
        <v>0</v>
      </c>
      <c r="M360" s="148">
        <f>IFERROR(VLOOKUP($B360,TOLSEN!A:K,9,FALSE),0)</f>
        <v>0</v>
      </c>
      <c r="N360" s="94" t="str">
        <f>IFERROR(VLOOKUP(B360,TOLSEN!A:K,5,FALSE)," ")</f>
        <v xml:space="preserve"> </v>
      </c>
      <c r="O360" s="161" t="str">
        <f>IFERROR(VLOOKUP($B360,TOLSEN!$A:$K,10,FALSE)," ")</f>
        <v xml:space="preserve"> </v>
      </c>
      <c r="P360" s="161" t="str">
        <f>IFERROR(VLOOKUP($B360,TOLSEN!$A:$K,11,FALSE)," ")</f>
        <v xml:space="preserve"> </v>
      </c>
    </row>
    <row r="361" spans="2:16" ht="52.5" customHeight="1">
      <c r="B361" s="26"/>
      <c r="C361" s="137"/>
      <c r="D361" s="94"/>
      <c r="E361" s="94"/>
      <c r="F361" s="60" t="str">
        <f>IFERROR(VLOOKUP(B361,TOLSEN!A:D,3,FALSE),"0")</f>
        <v>0</v>
      </c>
      <c r="G361" s="61" t="str">
        <f>IFERROR(VLOOKUP(B361,TOLSEN!A:D,4,FALSE),"0")</f>
        <v>0</v>
      </c>
      <c r="H361" s="62" t="str">
        <f>IFERROR(VLOOKUP(B361,TOLSEN!A:K,6,FALSE),"0")</f>
        <v>0</v>
      </c>
      <c r="I361" s="62" t="str">
        <f>IFERROR(VLOOKUP(B361,TOLSEN!A:AC,7,FALSE),"0")</f>
        <v>0</v>
      </c>
      <c r="J361" s="63">
        <f t="shared" si="10"/>
        <v>0</v>
      </c>
      <c r="K361" s="107" t="e">
        <f t="shared" si="11"/>
        <v>#VALUE!</v>
      </c>
      <c r="L361" s="148">
        <f>IFERROR(VLOOKUP($B361,TOLSEN!A:I,8,FALSE),0)</f>
        <v>0</v>
      </c>
      <c r="M361" s="148">
        <f>IFERROR(VLOOKUP($B361,TOLSEN!A:K,9,FALSE),0)</f>
        <v>0</v>
      </c>
      <c r="N361" s="94" t="str">
        <f>IFERROR(VLOOKUP(B361,TOLSEN!A:K,5,FALSE)," ")</f>
        <v xml:space="preserve"> </v>
      </c>
      <c r="O361" s="161" t="str">
        <f>IFERROR(VLOOKUP($B361,TOLSEN!$A:$K,10,FALSE)," ")</f>
        <v xml:space="preserve"> </v>
      </c>
      <c r="P361" s="161" t="str">
        <f>IFERROR(VLOOKUP($B361,TOLSEN!$A:$K,11,FALSE)," ")</f>
        <v xml:space="preserve"> </v>
      </c>
    </row>
    <row r="362" spans="2:16" ht="52.5" customHeight="1">
      <c r="B362" s="26"/>
      <c r="C362" s="138"/>
      <c r="D362" s="94"/>
      <c r="E362" s="94"/>
      <c r="F362" s="60" t="str">
        <f>IFERROR(VLOOKUP(B362,TOLSEN!A:D,3,FALSE),"0")</f>
        <v>0</v>
      </c>
      <c r="G362" s="61" t="str">
        <f>IFERROR(VLOOKUP(B362,TOLSEN!A:D,4,FALSE),"0")</f>
        <v>0</v>
      </c>
      <c r="H362" s="62" t="str">
        <f>IFERROR(VLOOKUP(B362,TOLSEN!A:K,6,FALSE),"0")</f>
        <v>0</v>
      </c>
      <c r="I362" s="62" t="str">
        <f>IFERROR(VLOOKUP(B362,TOLSEN!A:AC,7,FALSE),"0")</f>
        <v>0</v>
      </c>
      <c r="J362" s="63">
        <f t="shared" si="10"/>
        <v>0</v>
      </c>
      <c r="K362" s="107" t="e">
        <f t="shared" si="11"/>
        <v>#VALUE!</v>
      </c>
      <c r="L362" s="148">
        <f>IFERROR(VLOOKUP($B362,TOLSEN!A:I,8,FALSE),0)</f>
        <v>0</v>
      </c>
      <c r="M362" s="148">
        <f>IFERROR(VLOOKUP($B362,TOLSEN!A:K,9,FALSE),0)</f>
        <v>0</v>
      </c>
      <c r="N362" s="94" t="str">
        <f>IFERROR(VLOOKUP(B362,TOLSEN!A:K,5,FALSE)," ")</f>
        <v xml:space="preserve"> </v>
      </c>
      <c r="O362" s="161" t="str">
        <f>IFERROR(VLOOKUP($B362,TOLSEN!$A:$K,10,FALSE)," ")</f>
        <v xml:space="preserve"> </v>
      </c>
      <c r="P362" s="161" t="str">
        <f>IFERROR(VLOOKUP($B362,TOLSEN!$A:$K,11,FALSE)," ")</f>
        <v xml:space="preserve"> </v>
      </c>
    </row>
    <row r="363" spans="2:16" ht="52.5" customHeight="1">
      <c r="B363" s="26"/>
      <c r="C363" s="137"/>
      <c r="D363" s="94"/>
      <c r="E363" s="94"/>
      <c r="F363" s="60" t="str">
        <f>IFERROR(VLOOKUP(B363,TOLSEN!A:D,3,FALSE),"0")</f>
        <v>0</v>
      </c>
      <c r="G363" s="61" t="str">
        <f>IFERROR(VLOOKUP(B363,TOLSEN!A:D,4,FALSE),"0")</f>
        <v>0</v>
      </c>
      <c r="H363" s="62" t="str">
        <f>IFERROR(VLOOKUP(B363,TOLSEN!A:K,6,FALSE),"0")</f>
        <v>0</v>
      </c>
      <c r="I363" s="62" t="str">
        <f>IFERROR(VLOOKUP(B363,TOLSEN!A:AC,7,FALSE),"0")</f>
        <v>0</v>
      </c>
      <c r="J363" s="63">
        <f t="shared" si="10"/>
        <v>0</v>
      </c>
      <c r="K363" s="107" t="e">
        <f t="shared" si="11"/>
        <v>#VALUE!</v>
      </c>
      <c r="L363" s="148">
        <f>IFERROR(VLOOKUP($B363,TOLSEN!A:I,8,FALSE),0)</f>
        <v>0</v>
      </c>
      <c r="M363" s="148">
        <f>IFERROR(VLOOKUP($B363,TOLSEN!A:K,9,FALSE),0)</f>
        <v>0</v>
      </c>
      <c r="N363" s="94" t="str">
        <f>IFERROR(VLOOKUP(B363,TOLSEN!A:K,5,FALSE)," ")</f>
        <v xml:space="preserve"> </v>
      </c>
      <c r="O363" s="161" t="str">
        <f>IFERROR(VLOOKUP($B363,TOLSEN!$A:$K,10,FALSE)," ")</f>
        <v xml:space="preserve"> </v>
      </c>
      <c r="P363" s="161" t="str">
        <f>IFERROR(VLOOKUP($B363,TOLSEN!$A:$K,11,FALSE)," ")</f>
        <v xml:space="preserve"> </v>
      </c>
    </row>
    <row r="364" spans="2:16" ht="52.5" customHeight="1">
      <c r="B364" s="26"/>
      <c r="C364" s="139"/>
      <c r="D364" s="94"/>
      <c r="E364" s="94"/>
      <c r="F364" s="60" t="str">
        <f>IFERROR(VLOOKUP(B364,TOLSEN!A:D,3,FALSE),"0")</f>
        <v>0</v>
      </c>
      <c r="G364" s="61" t="str">
        <f>IFERROR(VLOOKUP(B364,TOLSEN!A:D,4,FALSE),"0")</f>
        <v>0</v>
      </c>
      <c r="H364" s="62" t="str">
        <f>IFERROR(VLOOKUP(B364,TOLSEN!A:K,6,FALSE),"0")</f>
        <v>0</v>
      </c>
      <c r="I364" s="62" t="str">
        <f>IFERROR(VLOOKUP(B364,TOLSEN!A:AC,7,FALSE),"0")</f>
        <v>0</v>
      </c>
      <c r="J364" s="63">
        <f t="shared" si="10"/>
        <v>0</v>
      </c>
      <c r="K364" s="107" t="e">
        <f t="shared" si="11"/>
        <v>#VALUE!</v>
      </c>
      <c r="L364" s="148">
        <f>IFERROR(VLOOKUP($B364,TOLSEN!A:I,8,FALSE),0)</f>
        <v>0</v>
      </c>
      <c r="M364" s="148">
        <f>IFERROR(VLOOKUP($B364,TOLSEN!A:K,9,FALSE),0)</f>
        <v>0</v>
      </c>
      <c r="N364" s="94" t="str">
        <f>IFERROR(VLOOKUP(B364,TOLSEN!A:K,5,FALSE)," ")</f>
        <v xml:space="preserve"> </v>
      </c>
      <c r="O364" s="161" t="str">
        <f>IFERROR(VLOOKUP($B364,TOLSEN!$A:$K,10,FALSE)," ")</f>
        <v xml:space="preserve"> </v>
      </c>
      <c r="P364" s="161" t="str">
        <f>IFERROR(VLOOKUP($B364,TOLSEN!$A:$K,11,FALSE)," ")</f>
        <v xml:space="preserve"> </v>
      </c>
    </row>
    <row r="365" spans="2:16" ht="52.5" customHeight="1">
      <c r="B365" s="26"/>
      <c r="C365" s="137"/>
      <c r="D365" s="94"/>
      <c r="E365" s="94"/>
      <c r="F365" s="60" t="str">
        <f>IFERROR(VLOOKUP(B365,TOLSEN!A:D,3,FALSE),"0")</f>
        <v>0</v>
      </c>
      <c r="G365" s="61" t="str">
        <f>IFERROR(VLOOKUP(B365,TOLSEN!A:D,4,FALSE),"0")</f>
        <v>0</v>
      </c>
      <c r="H365" s="62" t="str">
        <f>IFERROR(VLOOKUP(B365,TOLSEN!A:K,6,FALSE),"0")</f>
        <v>0</v>
      </c>
      <c r="I365" s="62" t="str">
        <f>IFERROR(VLOOKUP(B365,TOLSEN!A:AC,7,FALSE),"0")</f>
        <v>0</v>
      </c>
      <c r="J365" s="63">
        <f t="shared" si="10"/>
        <v>0</v>
      </c>
      <c r="K365" s="107" t="e">
        <f t="shared" si="11"/>
        <v>#VALUE!</v>
      </c>
      <c r="L365" s="148">
        <f>IFERROR(VLOOKUP($B365,TOLSEN!A:I,8,FALSE),0)</f>
        <v>0</v>
      </c>
      <c r="M365" s="148">
        <f>IFERROR(VLOOKUP($B365,TOLSEN!A:K,9,FALSE),0)</f>
        <v>0</v>
      </c>
      <c r="N365" s="94" t="str">
        <f>IFERROR(VLOOKUP(B365,TOLSEN!A:K,5,FALSE)," ")</f>
        <v xml:space="preserve"> </v>
      </c>
      <c r="O365" s="161" t="str">
        <f>IFERROR(VLOOKUP($B365,TOLSEN!$A:$K,10,FALSE)," ")</f>
        <v xml:space="preserve"> </v>
      </c>
      <c r="P365" s="161" t="str">
        <f>IFERROR(VLOOKUP($B365,TOLSEN!$A:$K,11,FALSE)," ")</f>
        <v xml:space="preserve"> </v>
      </c>
    </row>
    <row r="366" spans="2:16" ht="52.5" customHeight="1">
      <c r="B366" s="26"/>
      <c r="C366" s="138"/>
      <c r="D366" s="94"/>
      <c r="E366" s="94"/>
      <c r="F366" s="60" t="str">
        <f>IFERROR(VLOOKUP(B366,TOLSEN!A:D,3,FALSE),"0")</f>
        <v>0</v>
      </c>
      <c r="G366" s="61" t="str">
        <f>IFERROR(VLOOKUP(B366,TOLSEN!A:D,4,FALSE),"0")</f>
        <v>0</v>
      </c>
      <c r="H366" s="62" t="str">
        <f>IFERROR(VLOOKUP(B366,TOLSEN!A:K,6,FALSE),"0")</f>
        <v>0</v>
      </c>
      <c r="I366" s="62" t="str">
        <f>IFERROR(VLOOKUP(B366,TOLSEN!A:AC,7,FALSE),"0")</f>
        <v>0</v>
      </c>
      <c r="J366" s="63">
        <f t="shared" si="10"/>
        <v>0</v>
      </c>
      <c r="K366" s="107" t="e">
        <f t="shared" si="11"/>
        <v>#VALUE!</v>
      </c>
      <c r="L366" s="148">
        <f>IFERROR(VLOOKUP($B366,TOLSEN!A:I,8,FALSE),0)</f>
        <v>0</v>
      </c>
      <c r="M366" s="148">
        <f>IFERROR(VLOOKUP($B366,TOLSEN!A:K,9,FALSE),0)</f>
        <v>0</v>
      </c>
      <c r="N366" s="94" t="str">
        <f>IFERROR(VLOOKUP(B366,TOLSEN!A:K,5,FALSE)," ")</f>
        <v xml:space="preserve"> </v>
      </c>
      <c r="O366" s="161" t="str">
        <f>IFERROR(VLOOKUP($B366,TOLSEN!$A:$K,10,FALSE)," ")</f>
        <v xml:space="preserve"> </v>
      </c>
      <c r="P366" s="161" t="str">
        <f>IFERROR(VLOOKUP($B366,TOLSEN!$A:$K,11,FALSE)," ")</f>
        <v xml:space="preserve"> </v>
      </c>
    </row>
    <row r="367" spans="2:16" ht="52.5" customHeight="1">
      <c r="B367" s="26"/>
      <c r="C367" s="137"/>
      <c r="D367" s="94"/>
      <c r="E367" s="94"/>
      <c r="F367" s="60" t="str">
        <f>IFERROR(VLOOKUP(B367,TOLSEN!A:D,3,FALSE),"0")</f>
        <v>0</v>
      </c>
      <c r="G367" s="61" t="str">
        <f>IFERROR(VLOOKUP(B367,TOLSEN!A:D,4,FALSE),"0")</f>
        <v>0</v>
      </c>
      <c r="H367" s="62" t="str">
        <f>IFERROR(VLOOKUP(B367,TOLSEN!A:K,6,FALSE),"0")</f>
        <v>0</v>
      </c>
      <c r="I367" s="62" t="str">
        <f>IFERROR(VLOOKUP(B367,TOLSEN!A:AC,7,FALSE),"0")</f>
        <v>0</v>
      </c>
      <c r="J367" s="63">
        <f t="shared" si="10"/>
        <v>0</v>
      </c>
      <c r="K367" s="107" t="e">
        <f t="shared" si="11"/>
        <v>#VALUE!</v>
      </c>
      <c r="L367" s="148">
        <f>IFERROR(VLOOKUP($B367,TOLSEN!A:I,8,FALSE),0)</f>
        <v>0</v>
      </c>
      <c r="M367" s="148">
        <f>IFERROR(VLOOKUP($B367,TOLSEN!A:K,9,FALSE),0)</f>
        <v>0</v>
      </c>
      <c r="N367" s="94" t="str">
        <f>IFERROR(VLOOKUP(B367,TOLSEN!A:K,5,FALSE)," ")</f>
        <v xml:space="preserve"> </v>
      </c>
      <c r="O367" s="161" t="str">
        <f>IFERROR(VLOOKUP($B367,TOLSEN!$A:$K,10,FALSE)," ")</f>
        <v xml:space="preserve"> </v>
      </c>
      <c r="P367" s="161" t="str">
        <f>IFERROR(VLOOKUP($B367,TOLSEN!$A:$K,11,FALSE)," ")</f>
        <v xml:space="preserve"> </v>
      </c>
    </row>
    <row r="368" spans="2:16" ht="52.5" customHeight="1">
      <c r="B368" s="26"/>
      <c r="C368" s="138"/>
      <c r="D368" s="94"/>
      <c r="E368" s="94"/>
      <c r="F368" s="60" t="str">
        <f>IFERROR(VLOOKUP(B368,TOLSEN!A:D,3,FALSE),"0")</f>
        <v>0</v>
      </c>
      <c r="G368" s="61" t="str">
        <f>IFERROR(VLOOKUP(B368,TOLSEN!A:D,4,FALSE),"0")</f>
        <v>0</v>
      </c>
      <c r="H368" s="62" t="str">
        <f>IFERROR(VLOOKUP(B368,TOLSEN!A:K,6,FALSE),"0")</f>
        <v>0</v>
      </c>
      <c r="I368" s="62" t="str">
        <f>IFERROR(VLOOKUP(B368,TOLSEN!A:AC,7,FALSE),"0")</f>
        <v>0</v>
      </c>
      <c r="J368" s="63">
        <f t="shared" si="10"/>
        <v>0</v>
      </c>
      <c r="K368" s="107" t="e">
        <f t="shared" si="11"/>
        <v>#VALUE!</v>
      </c>
      <c r="L368" s="148">
        <f>IFERROR(VLOOKUP($B368,TOLSEN!A:I,8,FALSE),0)</f>
        <v>0</v>
      </c>
      <c r="M368" s="148">
        <f>IFERROR(VLOOKUP($B368,TOLSEN!A:K,9,FALSE),0)</f>
        <v>0</v>
      </c>
      <c r="N368" s="94" t="str">
        <f>IFERROR(VLOOKUP(B368,TOLSEN!A:K,5,FALSE)," ")</f>
        <v xml:space="preserve"> </v>
      </c>
      <c r="O368" s="161" t="str">
        <f>IFERROR(VLOOKUP($B368,TOLSEN!$A:$K,10,FALSE)," ")</f>
        <v xml:space="preserve"> </v>
      </c>
      <c r="P368" s="161" t="str">
        <f>IFERROR(VLOOKUP($B368,TOLSEN!$A:$K,11,FALSE)," ")</f>
        <v xml:space="preserve"> </v>
      </c>
    </row>
    <row r="369" spans="2:16" ht="52.5" customHeight="1">
      <c r="B369" s="26"/>
      <c r="C369" s="137"/>
      <c r="D369" s="94"/>
      <c r="E369" s="94"/>
      <c r="F369" s="60" t="str">
        <f>IFERROR(VLOOKUP(B369,TOLSEN!A:D,3,FALSE),"0")</f>
        <v>0</v>
      </c>
      <c r="G369" s="61" t="str">
        <f>IFERROR(VLOOKUP(B369,TOLSEN!A:D,4,FALSE),"0")</f>
        <v>0</v>
      </c>
      <c r="H369" s="62" t="str">
        <f>IFERROR(VLOOKUP(B369,TOLSEN!A:K,6,FALSE),"0")</f>
        <v>0</v>
      </c>
      <c r="I369" s="62" t="str">
        <f>IFERROR(VLOOKUP(B369,TOLSEN!A:AC,7,FALSE),"0")</f>
        <v>0</v>
      </c>
      <c r="J369" s="63">
        <f t="shared" si="10"/>
        <v>0</v>
      </c>
      <c r="K369" s="107" t="e">
        <f t="shared" si="11"/>
        <v>#VALUE!</v>
      </c>
      <c r="L369" s="148">
        <f>IFERROR(VLOOKUP($B369,TOLSEN!A:I,8,FALSE),0)</f>
        <v>0</v>
      </c>
      <c r="M369" s="148">
        <f>IFERROR(VLOOKUP($B369,TOLSEN!A:K,9,FALSE),0)</f>
        <v>0</v>
      </c>
      <c r="N369" s="94" t="str">
        <f>IFERROR(VLOOKUP(B369,TOLSEN!A:K,5,FALSE)," ")</f>
        <v xml:space="preserve"> </v>
      </c>
      <c r="O369" s="161" t="str">
        <f>IFERROR(VLOOKUP($B369,TOLSEN!$A:$K,10,FALSE)," ")</f>
        <v xml:space="preserve"> </v>
      </c>
      <c r="P369" s="161" t="str">
        <f>IFERROR(VLOOKUP($B369,TOLSEN!$A:$K,11,FALSE)," ")</f>
        <v xml:space="preserve"> </v>
      </c>
    </row>
    <row r="370" spans="2:16" ht="52.5" customHeight="1">
      <c r="B370" s="26"/>
      <c r="C370" s="138"/>
      <c r="D370" s="94"/>
      <c r="E370" s="94"/>
      <c r="F370" s="60" t="str">
        <f>IFERROR(VLOOKUP(B370,TOLSEN!A:D,3,FALSE),"0")</f>
        <v>0</v>
      </c>
      <c r="G370" s="61" t="str">
        <f>IFERROR(VLOOKUP(B370,TOLSEN!A:D,4,FALSE),"0")</f>
        <v>0</v>
      </c>
      <c r="H370" s="62" t="str">
        <f>IFERROR(VLOOKUP(B370,TOLSEN!A:K,6,FALSE),"0")</f>
        <v>0</v>
      </c>
      <c r="I370" s="62" t="str">
        <f>IFERROR(VLOOKUP(B370,TOLSEN!A:AC,7,FALSE),"0")</f>
        <v>0</v>
      </c>
      <c r="J370" s="63">
        <f t="shared" si="10"/>
        <v>0</v>
      </c>
      <c r="K370" s="107" t="e">
        <f t="shared" si="11"/>
        <v>#VALUE!</v>
      </c>
      <c r="L370" s="148">
        <f>IFERROR(VLOOKUP($B370,TOLSEN!A:I,8,FALSE),0)</f>
        <v>0</v>
      </c>
      <c r="M370" s="148">
        <f>IFERROR(VLOOKUP($B370,TOLSEN!A:K,9,FALSE),0)</f>
        <v>0</v>
      </c>
      <c r="N370" s="94" t="str">
        <f>IFERROR(VLOOKUP(B370,TOLSEN!A:K,5,FALSE)," ")</f>
        <v xml:space="preserve"> </v>
      </c>
      <c r="O370" s="161" t="str">
        <f>IFERROR(VLOOKUP($B370,TOLSEN!$A:$K,10,FALSE)," ")</f>
        <v xml:space="preserve"> </v>
      </c>
      <c r="P370" s="161" t="str">
        <f>IFERROR(VLOOKUP($B370,TOLSEN!$A:$K,11,FALSE)," ")</f>
        <v xml:space="preserve"> </v>
      </c>
    </row>
    <row r="371" spans="2:16" ht="52.5" customHeight="1">
      <c r="B371" s="26"/>
      <c r="C371" s="137"/>
      <c r="D371" s="94"/>
      <c r="E371" s="94"/>
      <c r="F371" s="60" t="str">
        <f>IFERROR(VLOOKUP(B371,TOLSEN!A:D,3,FALSE),"0")</f>
        <v>0</v>
      </c>
      <c r="G371" s="61" t="str">
        <f>IFERROR(VLOOKUP(B371,TOLSEN!A:D,4,FALSE),"0")</f>
        <v>0</v>
      </c>
      <c r="H371" s="62" t="str">
        <f>IFERROR(VLOOKUP(B371,TOLSEN!A:K,6,FALSE),"0")</f>
        <v>0</v>
      </c>
      <c r="I371" s="62" t="str">
        <f>IFERROR(VLOOKUP(B371,TOLSEN!A:AC,7,FALSE),"0")</f>
        <v>0</v>
      </c>
      <c r="J371" s="63">
        <f t="shared" si="10"/>
        <v>0</v>
      </c>
      <c r="K371" s="107" t="e">
        <f t="shared" si="11"/>
        <v>#VALUE!</v>
      </c>
      <c r="L371" s="148">
        <f>IFERROR(VLOOKUP($B371,TOLSEN!A:I,8,FALSE),0)</f>
        <v>0</v>
      </c>
      <c r="M371" s="148">
        <f>IFERROR(VLOOKUP($B371,TOLSEN!A:K,9,FALSE),0)</f>
        <v>0</v>
      </c>
      <c r="N371" s="94" t="str">
        <f>IFERROR(VLOOKUP(B371,TOLSEN!A:K,5,FALSE)," ")</f>
        <v xml:space="preserve"> </v>
      </c>
      <c r="O371" s="161" t="str">
        <f>IFERROR(VLOOKUP($B371,TOLSEN!$A:$K,10,FALSE)," ")</f>
        <v xml:space="preserve"> </v>
      </c>
      <c r="P371" s="161" t="str">
        <f>IFERROR(VLOOKUP($B371,TOLSEN!$A:$K,11,FALSE)," ")</f>
        <v xml:space="preserve"> </v>
      </c>
    </row>
    <row r="372" spans="2:16" ht="52.5" customHeight="1">
      <c r="B372" s="26"/>
      <c r="C372" s="138"/>
      <c r="D372" s="94"/>
      <c r="E372" s="94"/>
      <c r="F372" s="60" t="str">
        <f>IFERROR(VLOOKUP(B372,TOLSEN!A:D,3,FALSE),"0")</f>
        <v>0</v>
      </c>
      <c r="G372" s="61" t="str">
        <f>IFERROR(VLOOKUP(B372,TOLSEN!A:D,4,FALSE),"0")</f>
        <v>0</v>
      </c>
      <c r="H372" s="62" t="str">
        <f>IFERROR(VLOOKUP(B372,TOLSEN!A:K,6,FALSE),"0")</f>
        <v>0</v>
      </c>
      <c r="I372" s="62" t="str">
        <f>IFERROR(VLOOKUP(B372,TOLSEN!A:AC,7,FALSE),"0")</f>
        <v>0</v>
      </c>
      <c r="J372" s="63">
        <f t="shared" si="10"/>
        <v>0</v>
      </c>
      <c r="K372" s="107" t="e">
        <f t="shared" si="11"/>
        <v>#VALUE!</v>
      </c>
      <c r="L372" s="148">
        <f>IFERROR(VLOOKUP($B372,TOLSEN!A:I,8,FALSE),0)</f>
        <v>0</v>
      </c>
      <c r="M372" s="148">
        <f>IFERROR(VLOOKUP($B372,TOLSEN!A:K,9,FALSE),0)</f>
        <v>0</v>
      </c>
      <c r="N372" s="94" t="str">
        <f>IFERROR(VLOOKUP(B372,TOLSEN!A:K,5,FALSE)," ")</f>
        <v xml:space="preserve"> </v>
      </c>
      <c r="O372" s="161" t="str">
        <f>IFERROR(VLOOKUP($B372,TOLSEN!$A:$K,10,FALSE)," ")</f>
        <v xml:space="preserve"> </v>
      </c>
      <c r="P372" s="161" t="str">
        <f>IFERROR(VLOOKUP($B372,TOLSEN!$A:$K,11,FALSE)," ")</f>
        <v xml:space="preserve"> </v>
      </c>
    </row>
    <row r="373" spans="2:16" ht="52.5" customHeight="1">
      <c r="B373" s="26"/>
      <c r="C373" s="137"/>
      <c r="D373" s="94"/>
      <c r="E373" s="94"/>
      <c r="F373" s="60" t="str">
        <f>IFERROR(VLOOKUP(B373,TOLSEN!A:D,3,FALSE),"0")</f>
        <v>0</v>
      </c>
      <c r="G373" s="61" t="str">
        <f>IFERROR(VLOOKUP(B373,TOLSEN!A:D,4,FALSE),"0")</f>
        <v>0</v>
      </c>
      <c r="H373" s="62" t="str">
        <f>IFERROR(VLOOKUP(B373,TOLSEN!A:K,6,FALSE),"0")</f>
        <v>0</v>
      </c>
      <c r="I373" s="62" t="str">
        <f>IFERROR(VLOOKUP(B373,TOLSEN!A:AC,7,FALSE),"0")</f>
        <v>0</v>
      </c>
      <c r="J373" s="63">
        <f t="shared" si="10"/>
        <v>0</v>
      </c>
      <c r="K373" s="107" t="e">
        <f t="shared" si="11"/>
        <v>#VALUE!</v>
      </c>
      <c r="L373" s="148">
        <f>IFERROR(VLOOKUP($B373,TOLSEN!A:I,8,FALSE),0)</f>
        <v>0</v>
      </c>
      <c r="M373" s="148">
        <f>IFERROR(VLOOKUP($B373,TOLSEN!A:K,9,FALSE),0)</f>
        <v>0</v>
      </c>
      <c r="N373" s="94" t="str">
        <f>IFERROR(VLOOKUP(B373,TOLSEN!A:K,5,FALSE)," ")</f>
        <v xml:space="preserve"> </v>
      </c>
      <c r="O373" s="161" t="str">
        <f>IFERROR(VLOOKUP($B373,TOLSEN!$A:$K,10,FALSE)," ")</f>
        <v xml:space="preserve"> </v>
      </c>
      <c r="P373" s="161" t="str">
        <f>IFERROR(VLOOKUP($B373,TOLSEN!$A:$K,11,FALSE)," ")</f>
        <v xml:space="preserve"> </v>
      </c>
    </row>
    <row r="374" spans="2:16" ht="52.5" customHeight="1">
      <c r="B374" s="26"/>
      <c r="C374" s="138"/>
      <c r="D374" s="94"/>
      <c r="E374" s="94"/>
      <c r="F374" s="60" t="str">
        <f>IFERROR(VLOOKUP(B374,TOLSEN!A:D,3,FALSE),"0")</f>
        <v>0</v>
      </c>
      <c r="G374" s="61" t="str">
        <f>IFERROR(VLOOKUP(B374,TOLSEN!A:D,4,FALSE),"0")</f>
        <v>0</v>
      </c>
      <c r="H374" s="62" t="str">
        <f>IFERROR(VLOOKUP(B374,TOLSEN!A:K,6,FALSE),"0")</f>
        <v>0</v>
      </c>
      <c r="I374" s="62" t="str">
        <f>IFERROR(VLOOKUP(B374,TOLSEN!A:AC,7,FALSE),"0")</f>
        <v>0</v>
      </c>
      <c r="J374" s="63">
        <f t="shared" si="10"/>
        <v>0</v>
      </c>
      <c r="K374" s="107" t="e">
        <f t="shared" si="11"/>
        <v>#VALUE!</v>
      </c>
      <c r="L374" s="148">
        <f>IFERROR(VLOOKUP($B374,TOLSEN!A:I,8,FALSE),0)</f>
        <v>0</v>
      </c>
      <c r="M374" s="148">
        <f>IFERROR(VLOOKUP($B374,TOLSEN!A:K,9,FALSE),0)</f>
        <v>0</v>
      </c>
      <c r="N374" s="94" t="str">
        <f>IFERROR(VLOOKUP(B374,TOLSEN!A:K,5,FALSE)," ")</f>
        <v xml:space="preserve"> </v>
      </c>
      <c r="O374" s="161" t="str">
        <f>IFERROR(VLOOKUP($B374,TOLSEN!$A:$K,10,FALSE)," ")</f>
        <v xml:space="preserve"> </v>
      </c>
      <c r="P374" s="161" t="str">
        <f>IFERROR(VLOOKUP($B374,TOLSEN!$A:$K,11,FALSE)," ")</f>
        <v xml:space="preserve"> </v>
      </c>
    </row>
    <row r="375" spans="2:16" ht="52.5" customHeight="1">
      <c r="B375" s="26"/>
      <c r="C375" s="137"/>
      <c r="D375" s="94"/>
      <c r="E375" s="94"/>
      <c r="F375" s="60" t="str">
        <f>IFERROR(VLOOKUP(B375,TOLSEN!A:D,3,FALSE),"0")</f>
        <v>0</v>
      </c>
      <c r="G375" s="61" t="str">
        <f>IFERROR(VLOOKUP(B375,TOLSEN!A:D,4,FALSE),"0")</f>
        <v>0</v>
      </c>
      <c r="H375" s="62" t="str">
        <f>IFERROR(VLOOKUP(B375,TOLSEN!A:K,6,FALSE),"0")</f>
        <v>0</v>
      </c>
      <c r="I375" s="62" t="str">
        <f>IFERROR(VLOOKUP(B375,TOLSEN!A:AC,7,FALSE),"0")</f>
        <v>0</v>
      </c>
      <c r="J375" s="63">
        <f t="shared" si="10"/>
        <v>0</v>
      </c>
      <c r="K375" s="107" t="e">
        <f t="shared" si="11"/>
        <v>#VALUE!</v>
      </c>
      <c r="L375" s="148">
        <f>IFERROR(VLOOKUP($B375,TOLSEN!A:I,8,FALSE),0)</f>
        <v>0</v>
      </c>
      <c r="M375" s="148">
        <f>IFERROR(VLOOKUP($B375,TOLSEN!A:K,9,FALSE),0)</f>
        <v>0</v>
      </c>
      <c r="N375" s="94" t="str">
        <f>IFERROR(VLOOKUP(B375,TOLSEN!A:K,5,FALSE)," ")</f>
        <v xml:space="preserve"> </v>
      </c>
      <c r="O375" s="161" t="str">
        <f>IFERROR(VLOOKUP($B375,TOLSEN!$A:$K,10,FALSE)," ")</f>
        <v xml:space="preserve"> </v>
      </c>
      <c r="P375" s="161" t="str">
        <f>IFERROR(VLOOKUP($B375,TOLSEN!$A:$K,11,FALSE)," ")</f>
        <v xml:space="preserve"> </v>
      </c>
    </row>
    <row r="376" spans="2:16" ht="52.5" customHeight="1">
      <c r="B376" s="26"/>
      <c r="C376" s="138"/>
      <c r="D376" s="94"/>
      <c r="E376" s="94"/>
      <c r="F376" s="60" t="str">
        <f>IFERROR(VLOOKUP(B376,TOLSEN!A:D,3,FALSE),"0")</f>
        <v>0</v>
      </c>
      <c r="G376" s="61" t="str">
        <f>IFERROR(VLOOKUP(B376,TOLSEN!A:D,4,FALSE),"0")</f>
        <v>0</v>
      </c>
      <c r="H376" s="62" t="str">
        <f>IFERROR(VLOOKUP(B376,TOLSEN!A:K,6,FALSE),"0")</f>
        <v>0</v>
      </c>
      <c r="I376" s="62" t="str">
        <f>IFERROR(VLOOKUP(B376,TOLSEN!A:AC,7,FALSE),"0")</f>
        <v>0</v>
      </c>
      <c r="J376" s="63">
        <f t="shared" si="10"/>
        <v>0</v>
      </c>
      <c r="K376" s="107" t="e">
        <f t="shared" si="11"/>
        <v>#VALUE!</v>
      </c>
      <c r="L376" s="148">
        <f>IFERROR(VLOOKUP($B376,TOLSEN!A:I,8,FALSE),0)</f>
        <v>0</v>
      </c>
      <c r="M376" s="148">
        <f>IFERROR(VLOOKUP($B376,TOLSEN!A:K,9,FALSE),0)</f>
        <v>0</v>
      </c>
      <c r="N376" s="94" t="str">
        <f>IFERROR(VLOOKUP(B376,TOLSEN!A:K,5,FALSE)," ")</f>
        <v xml:space="preserve"> </v>
      </c>
      <c r="O376" s="161" t="str">
        <f>IFERROR(VLOOKUP($B376,TOLSEN!$A:$K,10,FALSE)," ")</f>
        <v xml:space="preserve"> </v>
      </c>
      <c r="P376" s="161" t="str">
        <f>IFERROR(VLOOKUP($B376,TOLSEN!$A:$K,11,FALSE)," ")</f>
        <v xml:space="preserve"> </v>
      </c>
    </row>
    <row r="377" spans="2:16" ht="52.5" customHeight="1">
      <c r="B377" s="26"/>
      <c r="C377" s="137"/>
      <c r="D377" s="94"/>
      <c r="E377" s="94"/>
      <c r="F377" s="60" t="str">
        <f>IFERROR(VLOOKUP(B377,TOLSEN!A:D,3,FALSE),"0")</f>
        <v>0</v>
      </c>
      <c r="G377" s="61" t="str">
        <f>IFERROR(VLOOKUP(B377,TOLSEN!A:D,4,FALSE),"0")</f>
        <v>0</v>
      </c>
      <c r="H377" s="62" t="str">
        <f>IFERROR(VLOOKUP(B377,TOLSEN!A:K,6,FALSE),"0")</f>
        <v>0</v>
      </c>
      <c r="I377" s="62" t="str">
        <f>IFERROR(VLOOKUP(B377,TOLSEN!A:AC,7,FALSE),"0")</f>
        <v>0</v>
      </c>
      <c r="J377" s="63">
        <f t="shared" si="10"/>
        <v>0</v>
      </c>
      <c r="K377" s="107" t="e">
        <f t="shared" si="11"/>
        <v>#VALUE!</v>
      </c>
      <c r="L377" s="148">
        <f>IFERROR(VLOOKUP($B377,TOLSEN!A:I,8,FALSE),0)</f>
        <v>0</v>
      </c>
      <c r="M377" s="148">
        <f>IFERROR(VLOOKUP($B377,TOLSEN!A:K,9,FALSE),0)</f>
        <v>0</v>
      </c>
      <c r="N377" s="94" t="str">
        <f>IFERROR(VLOOKUP(B377,TOLSEN!A:K,5,FALSE)," ")</f>
        <v xml:space="preserve"> </v>
      </c>
      <c r="O377" s="161" t="str">
        <f>IFERROR(VLOOKUP($B377,TOLSEN!$A:$K,10,FALSE)," ")</f>
        <v xml:space="preserve"> </v>
      </c>
      <c r="P377" s="161" t="str">
        <f>IFERROR(VLOOKUP($B377,TOLSEN!$A:$K,11,FALSE)," ")</f>
        <v xml:space="preserve"> </v>
      </c>
    </row>
    <row r="378" spans="2:16" ht="52.5" customHeight="1">
      <c r="B378" s="26"/>
      <c r="C378" s="138"/>
      <c r="D378" s="94"/>
      <c r="E378" s="94"/>
      <c r="F378" s="60" t="str">
        <f>IFERROR(VLOOKUP(B378,TOLSEN!A:D,3,FALSE),"0")</f>
        <v>0</v>
      </c>
      <c r="G378" s="61" t="str">
        <f>IFERROR(VLOOKUP(B378,TOLSEN!A:D,4,FALSE),"0")</f>
        <v>0</v>
      </c>
      <c r="H378" s="62" t="str">
        <f>IFERROR(VLOOKUP(B378,TOLSEN!A:K,6,FALSE),"0")</f>
        <v>0</v>
      </c>
      <c r="I378" s="62" t="str">
        <f>IFERROR(VLOOKUP(B378,TOLSEN!A:AC,7,FALSE),"0")</f>
        <v>0</v>
      </c>
      <c r="J378" s="63">
        <f t="shared" si="10"/>
        <v>0</v>
      </c>
      <c r="K378" s="107" t="e">
        <f t="shared" si="11"/>
        <v>#VALUE!</v>
      </c>
      <c r="L378" s="148">
        <f>IFERROR(VLOOKUP($B378,TOLSEN!A:I,8,FALSE),0)</f>
        <v>0</v>
      </c>
      <c r="M378" s="148">
        <f>IFERROR(VLOOKUP($B378,TOLSEN!A:K,9,FALSE),0)</f>
        <v>0</v>
      </c>
      <c r="N378" s="94" t="str">
        <f>IFERROR(VLOOKUP(B378,TOLSEN!A:K,5,FALSE)," ")</f>
        <v xml:space="preserve"> </v>
      </c>
      <c r="O378" s="161" t="str">
        <f>IFERROR(VLOOKUP($B378,TOLSEN!$A:$K,10,FALSE)," ")</f>
        <v xml:space="preserve"> </v>
      </c>
      <c r="P378" s="161" t="str">
        <f>IFERROR(VLOOKUP($B378,TOLSEN!$A:$K,11,FALSE)," ")</f>
        <v xml:space="preserve"> </v>
      </c>
    </row>
    <row r="379" spans="2:16" ht="52.5" customHeight="1">
      <c r="B379" s="26"/>
      <c r="C379" s="137"/>
      <c r="D379" s="94"/>
      <c r="E379" s="94"/>
      <c r="F379" s="60" t="str">
        <f>IFERROR(VLOOKUP(B379,TOLSEN!A:D,3,FALSE),"0")</f>
        <v>0</v>
      </c>
      <c r="G379" s="61" t="str">
        <f>IFERROR(VLOOKUP(B379,TOLSEN!A:D,4,FALSE),"0")</f>
        <v>0</v>
      </c>
      <c r="H379" s="62" t="str">
        <f>IFERROR(VLOOKUP(B379,TOLSEN!A:K,6,FALSE),"0")</f>
        <v>0</v>
      </c>
      <c r="I379" s="62" t="str">
        <f>IFERROR(VLOOKUP(B379,TOLSEN!A:AC,7,FALSE),"0")</f>
        <v>0</v>
      </c>
      <c r="J379" s="63">
        <f t="shared" si="10"/>
        <v>0</v>
      </c>
      <c r="K379" s="107" t="e">
        <f t="shared" si="11"/>
        <v>#VALUE!</v>
      </c>
      <c r="L379" s="148">
        <f>IFERROR(VLOOKUP($B379,TOLSEN!A:I,8,FALSE),0)</f>
        <v>0</v>
      </c>
      <c r="M379" s="148">
        <f>IFERROR(VLOOKUP($B379,TOLSEN!A:K,9,FALSE),0)</f>
        <v>0</v>
      </c>
      <c r="N379" s="94" t="str">
        <f>IFERROR(VLOOKUP(B379,TOLSEN!A:K,5,FALSE)," ")</f>
        <v xml:space="preserve"> </v>
      </c>
      <c r="O379" s="161" t="str">
        <f>IFERROR(VLOOKUP($B379,TOLSEN!$A:$K,10,FALSE)," ")</f>
        <v xml:space="preserve"> </v>
      </c>
      <c r="P379" s="161" t="str">
        <f>IFERROR(VLOOKUP($B379,TOLSEN!$A:$K,11,FALSE)," ")</f>
        <v xml:space="preserve"> </v>
      </c>
    </row>
    <row r="380" spans="2:16" ht="52.5" customHeight="1">
      <c r="B380" s="26"/>
      <c r="C380" s="138"/>
      <c r="D380" s="94"/>
      <c r="E380" s="94"/>
      <c r="F380" s="60" t="str">
        <f>IFERROR(VLOOKUP(B380,TOLSEN!A:D,3,FALSE),"0")</f>
        <v>0</v>
      </c>
      <c r="G380" s="61" t="str">
        <f>IFERROR(VLOOKUP(B380,TOLSEN!A:D,4,FALSE),"0")</f>
        <v>0</v>
      </c>
      <c r="H380" s="62" t="str">
        <f>IFERROR(VLOOKUP(B380,TOLSEN!A:K,6,FALSE),"0")</f>
        <v>0</v>
      </c>
      <c r="I380" s="62" t="str">
        <f>IFERROR(VLOOKUP(B380,TOLSEN!A:AC,7,FALSE),"0")</f>
        <v>0</v>
      </c>
      <c r="J380" s="63">
        <f t="shared" si="10"/>
        <v>0</v>
      </c>
      <c r="K380" s="107" t="e">
        <f t="shared" si="11"/>
        <v>#VALUE!</v>
      </c>
      <c r="L380" s="148">
        <f>IFERROR(VLOOKUP($B380,TOLSEN!A:I,8,FALSE),0)</f>
        <v>0</v>
      </c>
      <c r="M380" s="148">
        <f>IFERROR(VLOOKUP($B380,TOLSEN!A:K,9,FALSE),0)</f>
        <v>0</v>
      </c>
      <c r="N380" s="94" t="str">
        <f>IFERROR(VLOOKUP(B380,TOLSEN!A:K,5,FALSE)," ")</f>
        <v xml:space="preserve"> </v>
      </c>
      <c r="O380" s="161" t="str">
        <f>IFERROR(VLOOKUP($B380,TOLSEN!$A:$K,10,FALSE)," ")</f>
        <v xml:space="preserve"> </v>
      </c>
      <c r="P380" s="161" t="str">
        <f>IFERROR(VLOOKUP($B380,TOLSEN!$A:$K,11,FALSE)," ")</f>
        <v xml:space="preserve"> </v>
      </c>
    </row>
    <row r="381" spans="2:16" ht="52.5" customHeight="1">
      <c r="B381" s="26"/>
      <c r="C381" s="137"/>
      <c r="D381" s="94"/>
      <c r="E381" s="94"/>
      <c r="F381" s="60" t="str">
        <f>IFERROR(VLOOKUP(B381,TOLSEN!A:D,3,FALSE),"0")</f>
        <v>0</v>
      </c>
      <c r="G381" s="61" t="str">
        <f>IFERROR(VLOOKUP(B381,TOLSEN!A:D,4,FALSE),"0")</f>
        <v>0</v>
      </c>
      <c r="H381" s="62" t="str">
        <f>IFERROR(VLOOKUP(B381,TOLSEN!A:K,6,FALSE),"0")</f>
        <v>0</v>
      </c>
      <c r="I381" s="62" t="str">
        <f>IFERROR(VLOOKUP(B381,TOLSEN!A:AC,7,FALSE),"0")</f>
        <v>0</v>
      </c>
      <c r="J381" s="63">
        <f t="shared" si="10"/>
        <v>0</v>
      </c>
      <c r="K381" s="107" t="e">
        <f t="shared" si="11"/>
        <v>#VALUE!</v>
      </c>
      <c r="L381" s="148">
        <f>IFERROR(VLOOKUP($B381,TOLSEN!A:I,8,FALSE),0)</f>
        <v>0</v>
      </c>
      <c r="M381" s="148">
        <f>IFERROR(VLOOKUP($B381,TOLSEN!A:K,9,FALSE),0)</f>
        <v>0</v>
      </c>
      <c r="N381" s="94" t="str">
        <f>IFERROR(VLOOKUP(B381,TOLSEN!A:K,5,FALSE)," ")</f>
        <v xml:space="preserve"> </v>
      </c>
      <c r="O381" s="161" t="str">
        <f>IFERROR(VLOOKUP($B381,TOLSEN!$A:$K,10,FALSE)," ")</f>
        <v xml:space="preserve"> </v>
      </c>
      <c r="P381" s="161" t="str">
        <f>IFERROR(VLOOKUP($B381,TOLSEN!$A:$K,11,FALSE)," ")</f>
        <v xml:space="preserve"> </v>
      </c>
    </row>
    <row r="382" spans="2:16" ht="52.5" customHeight="1">
      <c r="B382" s="26"/>
      <c r="C382" s="138"/>
      <c r="D382" s="94"/>
      <c r="E382" s="94"/>
      <c r="F382" s="60" t="str">
        <f>IFERROR(VLOOKUP(B382,TOLSEN!A:D,3,FALSE),"0")</f>
        <v>0</v>
      </c>
      <c r="G382" s="61" t="str">
        <f>IFERROR(VLOOKUP(B382,TOLSEN!A:D,4,FALSE),"0")</f>
        <v>0</v>
      </c>
      <c r="H382" s="62" t="str">
        <f>IFERROR(VLOOKUP(B382,TOLSEN!A:K,6,FALSE),"0")</f>
        <v>0</v>
      </c>
      <c r="I382" s="62" t="str">
        <f>IFERROR(VLOOKUP(B382,TOLSEN!A:AC,7,FALSE),"0")</f>
        <v>0</v>
      </c>
      <c r="J382" s="63">
        <f t="shared" si="10"/>
        <v>0</v>
      </c>
      <c r="K382" s="107" t="e">
        <f t="shared" si="11"/>
        <v>#VALUE!</v>
      </c>
      <c r="L382" s="148">
        <f>IFERROR(VLOOKUP($B382,TOLSEN!A:I,8,FALSE),0)</f>
        <v>0</v>
      </c>
      <c r="M382" s="148">
        <f>IFERROR(VLOOKUP($B382,TOLSEN!A:K,9,FALSE),0)</f>
        <v>0</v>
      </c>
      <c r="N382" s="94" t="str">
        <f>IFERROR(VLOOKUP(B382,TOLSEN!A:K,5,FALSE)," ")</f>
        <v xml:space="preserve"> </v>
      </c>
      <c r="O382" s="161" t="str">
        <f>IFERROR(VLOOKUP($B382,TOLSEN!$A:$K,10,FALSE)," ")</f>
        <v xml:space="preserve"> </v>
      </c>
      <c r="P382" s="161" t="str">
        <f>IFERROR(VLOOKUP($B382,TOLSEN!$A:$K,11,FALSE)," ")</f>
        <v xml:space="preserve"> </v>
      </c>
    </row>
    <row r="383" spans="2:16" ht="52.5" customHeight="1">
      <c r="B383" s="26"/>
      <c r="C383" s="137"/>
      <c r="D383" s="94"/>
      <c r="E383" s="94"/>
      <c r="F383" s="60" t="str">
        <f>IFERROR(VLOOKUP(B383,TOLSEN!A:D,3,FALSE),"0")</f>
        <v>0</v>
      </c>
      <c r="G383" s="61" t="str">
        <f>IFERROR(VLOOKUP(B383,TOLSEN!A:D,4,FALSE),"0")</f>
        <v>0</v>
      </c>
      <c r="H383" s="62" t="str">
        <f>IFERROR(VLOOKUP(B383,TOLSEN!A:K,6,FALSE),"0")</f>
        <v>0</v>
      </c>
      <c r="I383" s="62" t="str">
        <f>IFERROR(VLOOKUP(B383,TOLSEN!A:AC,7,FALSE),"0")</f>
        <v>0</v>
      </c>
      <c r="J383" s="63">
        <f t="shared" si="10"/>
        <v>0</v>
      </c>
      <c r="K383" s="107" t="e">
        <f t="shared" si="11"/>
        <v>#VALUE!</v>
      </c>
      <c r="L383" s="148">
        <f>IFERROR(VLOOKUP($B383,TOLSEN!A:I,8,FALSE),0)</f>
        <v>0</v>
      </c>
      <c r="M383" s="148">
        <f>IFERROR(VLOOKUP($B383,TOLSEN!A:K,9,FALSE),0)</f>
        <v>0</v>
      </c>
      <c r="N383" s="94" t="str">
        <f>IFERROR(VLOOKUP(B383,TOLSEN!A:K,5,FALSE)," ")</f>
        <v xml:space="preserve"> </v>
      </c>
      <c r="O383" s="161" t="str">
        <f>IFERROR(VLOOKUP($B383,TOLSEN!$A:$K,10,FALSE)," ")</f>
        <v xml:space="preserve"> </v>
      </c>
      <c r="P383" s="161" t="str">
        <f>IFERROR(VLOOKUP($B383,TOLSEN!$A:$K,11,FALSE)," ")</f>
        <v xml:space="preserve"> </v>
      </c>
    </row>
    <row r="384" spans="2:16" ht="52.5" customHeight="1">
      <c r="B384" s="26"/>
      <c r="C384" s="138"/>
      <c r="D384" s="94"/>
      <c r="E384" s="94"/>
      <c r="F384" s="60" t="str">
        <f>IFERROR(VLOOKUP(B384,TOLSEN!A:D,3,FALSE),"0")</f>
        <v>0</v>
      </c>
      <c r="G384" s="61" t="str">
        <f>IFERROR(VLOOKUP(B384,TOLSEN!A:D,4,FALSE),"0")</f>
        <v>0</v>
      </c>
      <c r="H384" s="62" t="str">
        <f>IFERROR(VLOOKUP(B384,TOLSEN!A:K,6,FALSE),"0")</f>
        <v>0</v>
      </c>
      <c r="I384" s="62" t="str">
        <f>IFERROR(VLOOKUP(B384,TOLSEN!A:AC,7,FALSE),"0")</f>
        <v>0</v>
      </c>
      <c r="J384" s="63">
        <f t="shared" si="10"/>
        <v>0</v>
      </c>
      <c r="K384" s="107" t="e">
        <f t="shared" si="11"/>
        <v>#VALUE!</v>
      </c>
      <c r="L384" s="148">
        <f>IFERROR(VLOOKUP($B384,TOLSEN!A:I,8,FALSE),0)</f>
        <v>0</v>
      </c>
      <c r="M384" s="148">
        <f>IFERROR(VLOOKUP($B384,TOLSEN!A:K,9,FALSE),0)</f>
        <v>0</v>
      </c>
      <c r="N384" s="94" t="str">
        <f>IFERROR(VLOOKUP(B384,TOLSEN!A:K,5,FALSE)," ")</f>
        <v xml:space="preserve"> </v>
      </c>
      <c r="O384" s="161" t="str">
        <f>IFERROR(VLOOKUP($B384,TOLSEN!$A:$K,10,FALSE)," ")</f>
        <v xml:space="preserve"> </v>
      </c>
      <c r="P384" s="161" t="str">
        <f>IFERROR(VLOOKUP($B384,TOLSEN!$A:$K,11,FALSE)," ")</f>
        <v xml:space="preserve"> </v>
      </c>
    </row>
    <row r="385" spans="2:16" ht="52.5" customHeight="1">
      <c r="B385" s="26"/>
      <c r="C385" s="137"/>
      <c r="D385" s="94"/>
      <c r="E385" s="94"/>
      <c r="F385" s="60" t="str">
        <f>IFERROR(VLOOKUP(B385,TOLSEN!A:D,3,FALSE),"0")</f>
        <v>0</v>
      </c>
      <c r="G385" s="61" t="str">
        <f>IFERROR(VLOOKUP(B385,TOLSEN!A:D,4,FALSE),"0")</f>
        <v>0</v>
      </c>
      <c r="H385" s="62" t="str">
        <f>IFERROR(VLOOKUP(B385,TOLSEN!A:K,6,FALSE),"0")</f>
        <v>0</v>
      </c>
      <c r="I385" s="62" t="str">
        <f>IFERROR(VLOOKUP(B385,TOLSEN!A:AC,7,FALSE),"0")</f>
        <v>0</v>
      </c>
      <c r="J385" s="63">
        <f t="shared" si="10"/>
        <v>0</v>
      </c>
      <c r="K385" s="107" t="e">
        <f t="shared" si="11"/>
        <v>#VALUE!</v>
      </c>
      <c r="L385" s="148">
        <f>IFERROR(VLOOKUP($B385,TOLSEN!A:I,8,FALSE),0)</f>
        <v>0</v>
      </c>
      <c r="M385" s="148">
        <f>IFERROR(VLOOKUP($B385,TOLSEN!A:K,9,FALSE),0)</f>
        <v>0</v>
      </c>
      <c r="N385" s="94" t="str">
        <f>IFERROR(VLOOKUP(B385,TOLSEN!A:K,5,FALSE)," ")</f>
        <v xml:space="preserve"> </v>
      </c>
      <c r="O385" s="161" t="str">
        <f>IFERROR(VLOOKUP($B385,TOLSEN!$A:$K,10,FALSE)," ")</f>
        <v xml:space="preserve"> </v>
      </c>
      <c r="P385" s="161" t="str">
        <f>IFERROR(VLOOKUP($B385,TOLSEN!$A:$K,11,FALSE)," ")</f>
        <v xml:space="preserve"> </v>
      </c>
    </row>
    <row r="386" spans="2:16" ht="52.5" customHeight="1">
      <c r="B386" s="26"/>
      <c r="C386" s="139"/>
      <c r="D386" s="94"/>
      <c r="E386" s="94"/>
      <c r="F386" s="60" t="str">
        <f>IFERROR(VLOOKUP(B386,TOLSEN!A:D,3,FALSE),"0")</f>
        <v>0</v>
      </c>
      <c r="G386" s="61" t="str">
        <f>IFERROR(VLOOKUP(B386,TOLSEN!A:D,4,FALSE),"0")</f>
        <v>0</v>
      </c>
      <c r="H386" s="62" t="str">
        <f>IFERROR(VLOOKUP(B386,TOLSEN!A:K,6,FALSE),"0")</f>
        <v>0</v>
      </c>
      <c r="I386" s="62" t="str">
        <f>IFERROR(VLOOKUP(B386,TOLSEN!A:AC,7,FALSE),"0")</f>
        <v>0</v>
      </c>
      <c r="J386" s="63">
        <f t="shared" si="10"/>
        <v>0</v>
      </c>
      <c r="K386" s="107" t="e">
        <f t="shared" si="11"/>
        <v>#VALUE!</v>
      </c>
      <c r="L386" s="148">
        <f>IFERROR(VLOOKUP($B386,TOLSEN!A:I,8,FALSE),0)</f>
        <v>0</v>
      </c>
      <c r="M386" s="148">
        <f>IFERROR(VLOOKUP($B386,TOLSEN!A:K,9,FALSE),0)</f>
        <v>0</v>
      </c>
      <c r="N386" s="94" t="str">
        <f>IFERROR(VLOOKUP(B386,TOLSEN!A:K,5,FALSE)," ")</f>
        <v xml:space="preserve"> </v>
      </c>
      <c r="O386" s="161" t="str">
        <f>IFERROR(VLOOKUP($B386,TOLSEN!$A:$K,10,FALSE)," ")</f>
        <v xml:space="preserve"> </v>
      </c>
      <c r="P386" s="161" t="str">
        <f>IFERROR(VLOOKUP($B386,TOLSEN!$A:$K,11,FALSE)," ")</f>
        <v xml:space="preserve"> </v>
      </c>
    </row>
    <row r="387" spans="2:16" ht="52.5" customHeight="1">
      <c r="B387" s="26"/>
      <c r="C387" s="137"/>
      <c r="D387" s="94"/>
      <c r="E387" s="94"/>
      <c r="F387" s="60" t="str">
        <f>IFERROR(VLOOKUP(B387,TOLSEN!A:D,3,FALSE),"0")</f>
        <v>0</v>
      </c>
      <c r="G387" s="61" t="str">
        <f>IFERROR(VLOOKUP(B387,TOLSEN!A:D,4,FALSE),"0")</f>
        <v>0</v>
      </c>
      <c r="H387" s="62" t="str">
        <f>IFERROR(VLOOKUP(B387,TOLSEN!A:K,6,FALSE),"0")</f>
        <v>0</v>
      </c>
      <c r="I387" s="62" t="str">
        <f>IFERROR(VLOOKUP(B387,TOLSEN!A:AC,7,FALSE),"0")</f>
        <v>0</v>
      </c>
      <c r="J387" s="63">
        <f t="shared" si="10"/>
        <v>0</v>
      </c>
      <c r="K387" s="107" t="e">
        <f t="shared" si="11"/>
        <v>#VALUE!</v>
      </c>
      <c r="L387" s="148">
        <f>IFERROR(VLOOKUP($B387,TOLSEN!A:I,8,FALSE),0)</f>
        <v>0</v>
      </c>
      <c r="M387" s="148">
        <f>IFERROR(VLOOKUP($B387,TOLSEN!A:K,9,FALSE),0)</f>
        <v>0</v>
      </c>
      <c r="N387" s="94" t="str">
        <f>IFERROR(VLOOKUP(B387,TOLSEN!A:K,5,FALSE)," ")</f>
        <v xml:space="preserve"> </v>
      </c>
      <c r="O387" s="161" t="str">
        <f>IFERROR(VLOOKUP($B387,TOLSEN!$A:$K,10,FALSE)," ")</f>
        <v xml:space="preserve"> </v>
      </c>
      <c r="P387" s="161" t="str">
        <f>IFERROR(VLOOKUP($B387,TOLSEN!$A:$K,11,FALSE)," ")</f>
        <v xml:space="preserve"> </v>
      </c>
    </row>
    <row r="388" spans="2:16" ht="52.5" customHeight="1">
      <c r="B388" s="26"/>
      <c r="C388" s="138"/>
      <c r="D388" s="94"/>
      <c r="E388" s="94"/>
      <c r="F388" s="60" t="str">
        <f>IFERROR(VLOOKUP(B388,TOLSEN!A:D,3,FALSE),"0")</f>
        <v>0</v>
      </c>
      <c r="G388" s="61" t="str">
        <f>IFERROR(VLOOKUP(B388,TOLSEN!A:D,4,FALSE),"0")</f>
        <v>0</v>
      </c>
      <c r="H388" s="62" t="str">
        <f>IFERROR(VLOOKUP(B388,TOLSEN!A:K,6,FALSE),"0")</f>
        <v>0</v>
      </c>
      <c r="I388" s="62" t="str">
        <f>IFERROR(VLOOKUP(B388,TOLSEN!A:AC,7,FALSE),"0")</f>
        <v>0</v>
      </c>
      <c r="J388" s="63">
        <f t="shared" si="10"/>
        <v>0</v>
      </c>
      <c r="K388" s="107" t="e">
        <f t="shared" si="11"/>
        <v>#VALUE!</v>
      </c>
      <c r="L388" s="148">
        <f>IFERROR(VLOOKUP($B388,TOLSEN!A:I,8,FALSE),0)</f>
        <v>0</v>
      </c>
      <c r="M388" s="148">
        <f>IFERROR(VLOOKUP($B388,TOLSEN!A:K,9,FALSE),0)</f>
        <v>0</v>
      </c>
      <c r="N388" s="94" t="str">
        <f>IFERROR(VLOOKUP(B388,TOLSEN!A:K,5,FALSE)," ")</f>
        <v xml:space="preserve"> </v>
      </c>
      <c r="O388" s="161" t="str">
        <f>IFERROR(VLOOKUP($B388,TOLSEN!$A:$K,10,FALSE)," ")</f>
        <v xml:space="preserve"> </v>
      </c>
      <c r="P388" s="161" t="str">
        <f>IFERROR(VLOOKUP($B388,TOLSEN!$A:$K,11,FALSE)," ")</f>
        <v xml:space="preserve"> </v>
      </c>
    </row>
    <row r="389" spans="2:16" ht="52.5" customHeight="1">
      <c r="B389" s="26"/>
      <c r="C389" s="137"/>
      <c r="D389" s="94"/>
      <c r="E389" s="94"/>
      <c r="F389" s="60" t="str">
        <f>IFERROR(VLOOKUP(B389,TOLSEN!A:D,3,FALSE),"0")</f>
        <v>0</v>
      </c>
      <c r="G389" s="61" t="str">
        <f>IFERROR(VLOOKUP(B389,TOLSEN!A:D,4,FALSE),"0")</f>
        <v>0</v>
      </c>
      <c r="H389" s="62" t="str">
        <f>IFERROR(VLOOKUP(B389,TOLSEN!A:K,6,FALSE),"0")</f>
        <v>0</v>
      </c>
      <c r="I389" s="62" t="str">
        <f>IFERROR(VLOOKUP(B389,TOLSEN!A:AC,7,FALSE),"0")</f>
        <v>0</v>
      </c>
      <c r="J389" s="63">
        <f t="shared" si="10"/>
        <v>0</v>
      </c>
      <c r="K389" s="107" t="e">
        <f t="shared" si="11"/>
        <v>#VALUE!</v>
      </c>
      <c r="L389" s="148">
        <f>IFERROR(VLOOKUP($B389,TOLSEN!A:I,8,FALSE),0)</f>
        <v>0</v>
      </c>
      <c r="M389" s="148">
        <f>IFERROR(VLOOKUP($B389,TOLSEN!A:K,9,FALSE),0)</f>
        <v>0</v>
      </c>
      <c r="N389" s="94" t="str">
        <f>IFERROR(VLOOKUP(B389,TOLSEN!A:K,5,FALSE)," ")</f>
        <v xml:space="preserve"> </v>
      </c>
      <c r="O389" s="161" t="str">
        <f>IFERROR(VLOOKUP($B389,TOLSEN!$A:$K,10,FALSE)," ")</f>
        <v xml:space="preserve"> </v>
      </c>
      <c r="P389" s="161" t="str">
        <f>IFERROR(VLOOKUP($B389,TOLSEN!$A:$K,11,FALSE)," ")</f>
        <v xml:space="preserve"> </v>
      </c>
    </row>
    <row r="390" spans="2:16" ht="52.5" customHeight="1">
      <c r="B390" s="26"/>
      <c r="C390" s="138"/>
      <c r="D390" s="94"/>
      <c r="E390" s="94"/>
      <c r="F390" s="60" t="str">
        <f>IFERROR(VLOOKUP(B390,TOLSEN!A:D,3,FALSE),"0")</f>
        <v>0</v>
      </c>
      <c r="G390" s="61" t="str">
        <f>IFERROR(VLOOKUP(B390,TOLSEN!A:D,4,FALSE),"0")</f>
        <v>0</v>
      </c>
      <c r="H390" s="62" t="str">
        <f>IFERROR(VLOOKUP(B390,TOLSEN!A:K,6,FALSE),"0")</f>
        <v>0</v>
      </c>
      <c r="I390" s="62" t="str">
        <f>IFERROR(VLOOKUP(B390,TOLSEN!A:AC,7,FALSE),"0")</f>
        <v>0</v>
      </c>
      <c r="J390" s="63">
        <f t="shared" si="10"/>
        <v>0</v>
      </c>
      <c r="K390" s="107" t="e">
        <f t="shared" si="11"/>
        <v>#VALUE!</v>
      </c>
      <c r="L390" s="148">
        <f>IFERROR(VLOOKUP($B390,TOLSEN!A:I,8,FALSE),0)</f>
        <v>0</v>
      </c>
      <c r="M390" s="148">
        <f>IFERROR(VLOOKUP($B390,TOLSEN!A:K,9,FALSE),0)</f>
        <v>0</v>
      </c>
      <c r="N390" s="94" t="str">
        <f>IFERROR(VLOOKUP(B390,TOLSEN!A:K,5,FALSE)," ")</f>
        <v xml:space="preserve"> </v>
      </c>
      <c r="O390" s="161" t="str">
        <f>IFERROR(VLOOKUP($B390,TOLSEN!$A:$K,10,FALSE)," ")</f>
        <v xml:space="preserve"> </v>
      </c>
      <c r="P390" s="161" t="str">
        <f>IFERROR(VLOOKUP($B390,TOLSEN!$A:$K,11,FALSE)," ")</f>
        <v xml:space="preserve"> </v>
      </c>
    </row>
    <row r="391" spans="2:16" ht="52.5" customHeight="1">
      <c r="B391" s="26"/>
      <c r="C391" s="137"/>
      <c r="D391" s="94"/>
      <c r="E391" s="94"/>
      <c r="F391" s="60" t="str">
        <f>IFERROR(VLOOKUP(B391,TOLSEN!A:D,3,FALSE),"0")</f>
        <v>0</v>
      </c>
      <c r="G391" s="61" t="str">
        <f>IFERROR(VLOOKUP(B391,TOLSEN!A:D,4,FALSE),"0")</f>
        <v>0</v>
      </c>
      <c r="H391" s="62" t="str">
        <f>IFERROR(VLOOKUP(B391,TOLSEN!A:K,6,FALSE),"0")</f>
        <v>0</v>
      </c>
      <c r="I391" s="62" t="str">
        <f>IFERROR(VLOOKUP(B391,TOLSEN!A:AC,7,FALSE),"0")</f>
        <v>0</v>
      </c>
      <c r="J391" s="63">
        <f t="shared" si="10"/>
        <v>0</v>
      </c>
      <c r="K391" s="107" t="e">
        <f t="shared" si="11"/>
        <v>#VALUE!</v>
      </c>
      <c r="L391" s="148">
        <f>IFERROR(VLOOKUP($B391,TOLSEN!A:I,8,FALSE),0)</f>
        <v>0</v>
      </c>
      <c r="M391" s="148">
        <f>IFERROR(VLOOKUP($B391,TOLSEN!A:K,9,FALSE),0)</f>
        <v>0</v>
      </c>
      <c r="N391" s="94" t="str">
        <f>IFERROR(VLOOKUP(B391,TOLSEN!A:K,5,FALSE)," ")</f>
        <v xml:space="preserve"> </v>
      </c>
      <c r="O391" s="161" t="str">
        <f>IFERROR(VLOOKUP($B391,TOLSEN!$A:$K,10,FALSE)," ")</f>
        <v xml:space="preserve"> </v>
      </c>
      <c r="P391" s="161" t="str">
        <f>IFERROR(VLOOKUP($B391,TOLSEN!$A:$K,11,FALSE)," ")</f>
        <v xml:space="preserve"> </v>
      </c>
    </row>
    <row r="392" spans="2:16" ht="52.5" customHeight="1">
      <c r="B392" s="26"/>
      <c r="C392" s="138"/>
      <c r="D392" s="94"/>
      <c r="E392" s="94"/>
      <c r="F392" s="60" t="str">
        <f>IFERROR(VLOOKUP(B392,TOLSEN!A:D,3,FALSE),"0")</f>
        <v>0</v>
      </c>
      <c r="G392" s="61" t="str">
        <f>IFERROR(VLOOKUP(B392,TOLSEN!A:D,4,FALSE),"0")</f>
        <v>0</v>
      </c>
      <c r="H392" s="62" t="str">
        <f>IFERROR(VLOOKUP(B392,TOLSEN!A:K,6,FALSE),"0")</f>
        <v>0</v>
      </c>
      <c r="I392" s="62" t="str">
        <f>IFERROR(VLOOKUP(B392,TOLSEN!A:AC,7,FALSE),"0")</f>
        <v>0</v>
      </c>
      <c r="J392" s="63">
        <f t="shared" si="10"/>
        <v>0</v>
      </c>
      <c r="K392" s="107" t="e">
        <f t="shared" si="11"/>
        <v>#VALUE!</v>
      </c>
      <c r="L392" s="148">
        <f>IFERROR(VLOOKUP($B392,TOLSEN!A:I,8,FALSE),0)</f>
        <v>0</v>
      </c>
      <c r="M392" s="148">
        <f>IFERROR(VLOOKUP($B392,TOLSEN!A:K,9,FALSE),0)</f>
        <v>0</v>
      </c>
      <c r="N392" s="94" t="str">
        <f>IFERROR(VLOOKUP(B392,TOLSEN!A:K,5,FALSE)," ")</f>
        <v xml:space="preserve"> </v>
      </c>
      <c r="O392" s="161" t="str">
        <f>IFERROR(VLOOKUP($B392,TOLSEN!$A:$K,10,FALSE)," ")</f>
        <v xml:space="preserve"> </v>
      </c>
      <c r="P392" s="161" t="str">
        <f>IFERROR(VLOOKUP($B392,TOLSEN!$A:$K,11,FALSE)," ")</f>
        <v xml:space="preserve"> </v>
      </c>
    </row>
    <row r="393" spans="2:16" ht="52.5" customHeight="1">
      <c r="B393" s="26"/>
      <c r="C393" s="137"/>
      <c r="D393" s="94"/>
      <c r="E393" s="94"/>
      <c r="F393" s="60" t="str">
        <f>IFERROR(VLOOKUP(B393,TOLSEN!A:D,3,FALSE),"0")</f>
        <v>0</v>
      </c>
      <c r="G393" s="61" t="str">
        <f>IFERROR(VLOOKUP(B393,TOLSEN!A:D,4,FALSE),"0")</f>
        <v>0</v>
      </c>
      <c r="H393" s="62" t="str">
        <f>IFERROR(VLOOKUP(B393,TOLSEN!A:K,6,FALSE),"0")</f>
        <v>0</v>
      </c>
      <c r="I393" s="62" t="str">
        <f>IFERROR(VLOOKUP(B393,TOLSEN!A:AC,7,FALSE),"0")</f>
        <v>0</v>
      </c>
      <c r="J393" s="63">
        <f t="shared" si="10"/>
        <v>0</v>
      </c>
      <c r="K393" s="107" t="e">
        <f t="shared" si="11"/>
        <v>#VALUE!</v>
      </c>
      <c r="L393" s="148">
        <f>IFERROR(VLOOKUP($B393,TOLSEN!A:I,8,FALSE),0)</f>
        <v>0</v>
      </c>
      <c r="M393" s="148">
        <f>IFERROR(VLOOKUP($B393,TOLSEN!A:K,9,FALSE),0)</f>
        <v>0</v>
      </c>
      <c r="N393" s="94" t="str">
        <f>IFERROR(VLOOKUP(B393,TOLSEN!A:K,5,FALSE)," ")</f>
        <v xml:space="preserve"> </v>
      </c>
      <c r="O393" s="161" t="str">
        <f>IFERROR(VLOOKUP($B393,TOLSEN!$A:$K,10,FALSE)," ")</f>
        <v xml:space="preserve"> </v>
      </c>
      <c r="P393" s="161" t="str">
        <f>IFERROR(VLOOKUP($B393,TOLSEN!$A:$K,11,FALSE)," ")</f>
        <v xml:space="preserve"> </v>
      </c>
    </row>
    <row r="394" spans="2:16" ht="52.5" customHeight="1">
      <c r="B394" s="26"/>
      <c r="C394" s="138"/>
      <c r="D394" s="94"/>
      <c r="E394" s="94"/>
      <c r="F394" s="60" t="str">
        <f>IFERROR(VLOOKUP(B394,TOLSEN!A:D,3,FALSE),"0")</f>
        <v>0</v>
      </c>
      <c r="G394" s="61" t="str">
        <f>IFERROR(VLOOKUP(B394,TOLSEN!A:D,4,FALSE),"0")</f>
        <v>0</v>
      </c>
      <c r="H394" s="62" t="str">
        <f>IFERROR(VLOOKUP(B394,TOLSEN!A:K,6,FALSE),"0")</f>
        <v>0</v>
      </c>
      <c r="I394" s="62" t="str">
        <f>IFERROR(VLOOKUP(B394,TOLSEN!A:AC,7,FALSE),"0")</f>
        <v>0</v>
      </c>
      <c r="J394" s="63">
        <f t="shared" si="10"/>
        <v>0</v>
      </c>
      <c r="K394" s="107" t="e">
        <f t="shared" si="11"/>
        <v>#VALUE!</v>
      </c>
      <c r="L394" s="148">
        <f>IFERROR(VLOOKUP($B394,TOLSEN!A:I,8,FALSE),0)</f>
        <v>0</v>
      </c>
      <c r="M394" s="148">
        <f>IFERROR(VLOOKUP($B394,TOLSEN!A:K,9,FALSE),0)</f>
        <v>0</v>
      </c>
      <c r="N394" s="94" t="str">
        <f>IFERROR(VLOOKUP(B394,TOLSEN!A:K,5,FALSE)," ")</f>
        <v xml:space="preserve"> </v>
      </c>
      <c r="O394" s="161" t="str">
        <f>IFERROR(VLOOKUP($B394,TOLSEN!$A:$K,10,FALSE)," ")</f>
        <v xml:space="preserve"> </v>
      </c>
      <c r="P394" s="161" t="str">
        <f>IFERROR(VLOOKUP($B394,TOLSEN!$A:$K,11,FALSE)," ")</f>
        <v xml:space="preserve"> </v>
      </c>
    </row>
    <row r="395" spans="2:16" ht="52.5" customHeight="1">
      <c r="B395" s="26"/>
      <c r="C395" s="137"/>
      <c r="D395" s="94"/>
      <c r="E395" s="94"/>
      <c r="F395" s="60" t="str">
        <f>IFERROR(VLOOKUP(B395,TOLSEN!A:D,3,FALSE),"0")</f>
        <v>0</v>
      </c>
      <c r="G395" s="61" t="str">
        <f>IFERROR(VLOOKUP(B395,TOLSEN!A:D,4,FALSE),"0")</f>
        <v>0</v>
      </c>
      <c r="H395" s="62" t="str">
        <f>IFERROR(VLOOKUP(B395,TOLSEN!A:K,6,FALSE),"0")</f>
        <v>0</v>
      </c>
      <c r="I395" s="62" t="str">
        <f>IFERROR(VLOOKUP(B395,TOLSEN!A:AC,7,FALSE),"0")</f>
        <v>0</v>
      </c>
      <c r="J395" s="63">
        <f t="shared" si="10"/>
        <v>0</v>
      </c>
      <c r="K395" s="107" t="e">
        <f t="shared" si="11"/>
        <v>#VALUE!</v>
      </c>
      <c r="L395" s="148">
        <f>IFERROR(VLOOKUP($B395,TOLSEN!A:I,8,FALSE),0)</f>
        <v>0</v>
      </c>
      <c r="M395" s="148">
        <f>IFERROR(VLOOKUP($B395,TOLSEN!A:K,9,FALSE),0)</f>
        <v>0</v>
      </c>
      <c r="N395" s="94" t="str">
        <f>IFERROR(VLOOKUP(B395,TOLSEN!A:K,5,FALSE)," ")</f>
        <v xml:space="preserve"> </v>
      </c>
      <c r="O395" s="161" t="str">
        <f>IFERROR(VLOOKUP($B395,TOLSEN!$A:$K,10,FALSE)," ")</f>
        <v xml:space="preserve"> </v>
      </c>
      <c r="P395" s="161" t="str">
        <f>IFERROR(VLOOKUP($B395,TOLSEN!$A:$K,11,FALSE)," ")</f>
        <v xml:space="preserve"> </v>
      </c>
    </row>
    <row r="396" spans="2:16" ht="52.5" customHeight="1">
      <c r="B396" s="26"/>
      <c r="C396" s="138"/>
      <c r="D396" s="94"/>
      <c r="E396" s="94"/>
      <c r="F396" s="60" t="str">
        <f>IFERROR(VLOOKUP(B396,TOLSEN!A:D,3,FALSE),"0")</f>
        <v>0</v>
      </c>
      <c r="G396" s="61" t="str">
        <f>IFERROR(VLOOKUP(B396,TOLSEN!A:D,4,FALSE),"0")</f>
        <v>0</v>
      </c>
      <c r="H396" s="62" t="str">
        <f>IFERROR(VLOOKUP(B396,TOLSEN!A:K,6,FALSE),"0")</f>
        <v>0</v>
      </c>
      <c r="I396" s="62" t="str">
        <f>IFERROR(VLOOKUP(B396,TOLSEN!A:AC,7,FALSE),"0")</f>
        <v>0</v>
      </c>
      <c r="J396" s="63">
        <f t="shared" si="10"/>
        <v>0</v>
      </c>
      <c r="K396" s="107" t="e">
        <f t="shared" si="11"/>
        <v>#VALUE!</v>
      </c>
      <c r="L396" s="148">
        <f>IFERROR(VLOOKUP($B396,TOLSEN!A:I,8,FALSE),0)</f>
        <v>0</v>
      </c>
      <c r="M396" s="148">
        <f>IFERROR(VLOOKUP($B396,TOLSEN!A:K,9,FALSE),0)</f>
        <v>0</v>
      </c>
      <c r="N396" s="94" t="str">
        <f>IFERROR(VLOOKUP(B396,TOLSEN!A:K,5,FALSE)," ")</f>
        <v xml:space="preserve"> </v>
      </c>
      <c r="O396" s="161" t="str">
        <f>IFERROR(VLOOKUP($B396,TOLSEN!$A:$K,10,FALSE)," ")</f>
        <v xml:space="preserve"> </v>
      </c>
      <c r="P396" s="161" t="str">
        <f>IFERROR(VLOOKUP($B396,TOLSEN!$A:$K,11,FALSE)," ")</f>
        <v xml:space="preserve"> </v>
      </c>
    </row>
    <row r="397" spans="2:16" ht="52.5" customHeight="1">
      <c r="B397" s="26"/>
      <c r="C397" s="137"/>
      <c r="D397" s="94"/>
      <c r="E397" s="94"/>
      <c r="F397" s="60" t="str">
        <f>IFERROR(VLOOKUP(B397,TOLSEN!A:D,3,FALSE),"0")</f>
        <v>0</v>
      </c>
      <c r="G397" s="61" t="str">
        <f>IFERROR(VLOOKUP(B397,TOLSEN!A:D,4,FALSE),"0")</f>
        <v>0</v>
      </c>
      <c r="H397" s="62" t="str">
        <f>IFERROR(VLOOKUP(B397,TOLSEN!A:K,6,FALSE),"0")</f>
        <v>0</v>
      </c>
      <c r="I397" s="62" t="str">
        <f>IFERROR(VLOOKUP(B397,TOLSEN!A:AC,7,FALSE),"0")</f>
        <v>0</v>
      </c>
      <c r="J397" s="63">
        <f t="shared" si="10"/>
        <v>0</v>
      </c>
      <c r="K397" s="107" t="e">
        <f t="shared" si="11"/>
        <v>#VALUE!</v>
      </c>
      <c r="L397" s="148">
        <f>IFERROR(VLOOKUP($B397,TOLSEN!A:I,8,FALSE),0)</f>
        <v>0</v>
      </c>
      <c r="M397" s="148">
        <f>IFERROR(VLOOKUP($B397,TOLSEN!A:K,9,FALSE),0)</f>
        <v>0</v>
      </c>
      <c r="N397" s="94" t="str">
        <f>IFERROR(VLOOKUP(B397,TOLSEN!A:K,5,FALSE)," ")</f>
        <v xml:space="preserve"> </v>
      </c>
      <c r="O397" s="161" t="str">
        <f>IFERROR(VLOOKUP($B397,TOLSEN!$A:$K,10,FALSE)," ")</f>
        <v xml:space="preserve"> </v>
      </c>
      <c r="P397" s="161" t="str">
        <f>IFERROR(VLOOKUP($B397,TOLSEN!$A:$K,11,FALSE)," ")</f>
        <v xml:space="preserve"> </v>
      </c>
    </row>
    <row r="398" spans="2:16" ht="52.5" customHeight="1">
      <c r="B398" s="26"/>
      <c r="C398" s="138"/>
      <c r="D398" s="94"/>
      <c r="E398" s="94"/>
      <c r="F398" s="60" t="str">
        <f>IFERROR(VLOOKUP(B398,TOLSEN!A:D,3,FALSE),"0")</f>
        <v>0</v>
      </c>
      <c r="G398" s="61" t="str">
        <f>IFERROR(VLOOKUP(B398,TOLSEN!A:D,4,FALSE),"0")</f>
        <v>0</v>
      </c>
      <c r="H398" s="62" t="str">
        <f>IFERROR(VLOOKUP(B398,TOLSEN!A:K,6,FALSE),"0")</f>
        <v>0</v>
      </c>
      <c r="I398" s="62" t="str">
        <f>IFERROR(VLOOKUP(B398,TOLSEN!A:AC,7,FALSE),"0")</f>
        <v>0</v>
      </c>
      <c r="J398" s="63">
        <f t="shared" si="10"/>
        <v>0</v>
      </c>
      <c r="K398" s="107" t="e">
        <f t="shared" si="11"/>
        <v>#VALUE!</v>
      </c>
      <c r="L398" s="148">
        <f>IFERROR(VLOOKUP($B398,TOLSEN!A:I,8,FALSE),0)</f>
        <v>0</v>
      </c>
      <c r="M398" s="148">
        <f>IFERROR(VLOOKUP($B398,TOLSEN!A:K,9,FALSE),0)</f>
        <v>0</v>
      </c>
      <c r="N398" s="94" t="str">
        <f>IFERROR(VLOOKUP(B398,TOLSEN!A:K,5,FALSE)," ")</f>
        <v xml:space="preserve"> </v>
      </c>
      <c r="O398" s="161" t="str">
        <f>IFERROR(VLOOKUP($B398,TOLSEN!$A:$K,10,FALSE)," ")</f>
        <v xml:space="preserve"> </v>
      </c>
      <c r="P398" s="161" t="str">
        <f>IFERROR(VLOOKUP($B398,TOLSEN!$A:$K,11,FALSE)," ")</f>
        <v xml:space="preserve"> </v>
      </c>
    </row>
    <row r="399" spans="2:16" ht="52.5" customHeight="1">
      <c r="B399" s="26"/>
      <c r="C399" s="137"/>
      <c r="D399" s="94"/>
      <c r="E399" s="94"/>
      <c r="F399" s="60" t="str">
        <f>IFERROR(VLOOKUP(B399,TOLSEN!A:D,3,FALSE),"0")</f>
        <v>0</v>
      </c>
      <c r="G399" s="61" t="str">
        <f>IFERROR(VLOOKUP(B399,TOLSEN!A:D,4,FALSE),"0")</f>
        <v>0</v>
      </c>
      <c r="H399" s="62" t="str">
        <f>IFERROR(VLOOKUP(B399,TOLSEN!A:K,6,FALSE),"0")</f>
        <v>0</v>
      </c>
      <c r="I399" s="62" t="str">
        <f>IFERROR(VLOOKUP(B399,TOLSEN!A:AC,7,FALSE),"0")</f>
        <v>0</v>
      </c>
      <c r="J399" s="63">
        <f t="shared" si="10"/>
        <v>0</v>
      </c>
      <c r="K399" s="107" t="e">
        <f t="shared" si="11"/>
        <v>#VALUE!</v>
      </c>
      <c r="L399" s="148">
        <f>IFERROR(VLOOKUP($B399,TOLSEN!A:I,8,FALSE),0)</f>
        <v>0</v>
      </c>
      <c r="M399" s="148">
        <f>IFERROR(VLOOKUP($B399,TOLSEN!A:K,9,FALSE),0)</f>
        <v>0</v>
      </c>
      <c r="N399" s="94" t="str">
        <f>IFERROR(VLOOKUP(B399,TOLSEN!A:K,5,FALSE)," ")</f>
        <v xml:space="preserve"> </v>
      </c>
      <c r="O399" s="161" t="str">
        <f>IFERROR(VLOOKUP($B399,TOLSEN!$A:$K,10,FALSE)," ")</f>
        <v xml:space="preserve"> </v>
      </c>
      <c r="P399" s="161" t="str">
        <f>IFERROR(VLOOKUP($B399,TOLSEN!$A:$K,11,FALSE)," ")</f>
        <v xml:space="preserve"> </v>
      </c>
    </row>
    <row r="400" spans="2:16" ht="52.5" customHeight="1">
      <c r="B400" s="26"/>
      <c r="C400" s="138"/>
      <c r="D400" s="94"/>
      <c r="E400" s="94"/>
      <c r="F400" s="60" t="str">
        <f>IFERROR(VLOOKUP(B400,TOLSEN!A:D,3,FALSE),"0")</f>
        <v>0</v>
      </c>
      <c r="G400" s="61" t="str">
        <f>IFERROR(VLOOKUP(B400,TOLSEN!A:D,4,FALSE),"0")</f>
        <v>0</v>
      </c>
      <c r="H400" s="62" t="str">
        <f>IFERROR(VLOOKUP(B400,TOLSEN!A:K,6,FALSE),"0")</f>
        <v>0</v>
      </c>
      <c r="I400" s="62" t="str">
        <f>IFERROR(VLOOKUP(B400,TOLSEN!A:AC,7,FALSE),"0")</f>
        <v>0</v>
      </c>
      <c r="J400" s="63">
        <f t="shared" si="10"/>
        <v>0</v>
      </c>
      <c r="K400" s="107" t="e">
        <f t="shared" si="11"/>
        <v>#VALUE!</v>
      </c>
      <c r="L400" s="148">
        <f>IFERROR(VLOOKUP($B400,TOLSEN!A:I,8,FALSE),0)</f>
        <v>0</v>
      </c>
      <c r="M400" s="148">
        <f>IFERROR(VLOOKUP($B400,TOLSEN!A:K,9,FALSE),0)</f>
        <v>0</v>
      </c>
      <c r="N400" s="94" t="str">
        <f>IFERROR(VLOOKUP(B400,TOLSEN!A:K,5,FALSE)," ")</f>
        <v xml:space="preserve"> </v>
      </c>
      <c r="O400" s="161" t="str">
        <f>IFERROR(VLOOKUP($B400,TOLSEN!$A:$K,10,FALSE)," ")</f>
        <v xml:space="preserve"> </v>
      </c>
      <c r="P400" s="161" t="str">
        <f>IFERROR(VLOOKUP($B400,TOLSEN!$A:$K,11,FALSE)," ")</f>
        <v xml:space="preserve"> </v>
      </c>
    </row>
    <row r="401" spans="2:16" ht="52.5" customHeight="1">
      <c r="B401" s="26"/>
      <c r="C401" s="137"/>
      <c r="D401" s="94"/>
      <c r="E401" s="94"/>
      <c r="F401" s="60" t="str">
        <f>IFERROR(VLOOKUP(B401,TOLSEN!A:D,3,FALSE),"0")</f>
        <v>0</v>
      </c>
      <c r="G401" s="61" t="str">
        <f>IFERROR(VLOOKUP(B401,TOLSEN!A:D,4,FALSE),"0")</f>
        <v>0</v>
      </c>
      <c r="H401" s="62" t="str">
        <f>IFERROR(VLOOKUP(B401,TOLSEN!A:K,6,FALSE),"0")</f>
        <v>0</v>
      </c>
      <c r="I401" s="62" t="str">
        <f>IFERROR(VLOOKUP(B401,TOLSEN!A:AC,7,FALSE),"0")</f>
        <v>0</v>
      </c>
      <c r="J401" s="63">
        <f t="shared" si="10"/>
        <v>0</v>
      </c>
      <c r="K401" s="107" t="e">
        <f t="shared" si="11"/>
        <v>#VALUE!</v>
      </c>
      <c r="L401" s="148">
        <f>IFERROR(VLOOKUP($B401,TOLSEN!A:I,8,FALSE),0)</f>
        <v>0</v>
      </c>
      <c r="M401" s="148">
        <f>IFERROR(VLOOKUP($B401,TOLSEN!A:K,9,FALSE),0)</f>
        <v>0</v>
      </c>
      <c r="N401" s="94" t="str">
        <f>IFERROR(VLOOKUP(B401,TOLSEN!A:K,5,FALSE)," ")</f>
        <v xml:space="preserve"> </v>
      </c>
      <c r="O401" s="161" t="str">
        <f>IFERROR(VLOOKUP($B401,TOLSEN!$A:$K,10,FALSE)," ")</f>
        <v xml:space="preserve"> </v>
      </c>
      <c r="P401" s="161" t="str">
        <f>IFERROR(VLOOKUP($B401,TOLSEN!$A:$K,11,FALSE)," ")</f>
        <v xml:space="preserve"> </v>
      </c>
    </row>
    <row r="402" spans="2:16" ht="52.5" customHeight="1">
      <c r="B402" s="26"/>
      <c r="C402" s="138"/>
      <c r="D402" s="94"/>
      <c r="E402" s="94"/>
      <c r="F402" s="60" t="str">
        <f>IFERROR(VLOOKUP(B402,TOLSEN!A:D,3,FALSE),"0")</f>
        <v>0</v>
      </c>
      <c r="G402" s="61" t="str">
        <f>IFERROR(VLOOKUP(B402,TOLSEN!A:D,4,FALSE),"0")</f>
        <v>0</v>
      </c>
      <c r="H402" s="62" t="str">
        <f>IFERROR(VLOOKUP(B402,TOLSEN!A:K,6,FALSE),"0")</f>
        <v>0</v>
      </c>
      <c r="I402" s="62" t="str">
        <f>IFERROR(VLOOKUP(B402,TOLSEN!A:AC,7,FALSE),"0")</f>
        <v>0</v>
      </c>
      <c r="J402" s="63">
        <f t="shared" si="10"/>
        <v>0</v>
      </c>
      <c r="K402" s="107" t="e">
        <f t="shared" si="11"/>
        <v>#VALUE!</v>
      </c>
      <c r="L402" s="148">
        <f>IFERROR(VLOOKUP($B402,TOLSEN!A:I,8,FALSE),0)</f>
        <v>0</v>
      </c>
      <c r="M402" s="148">
        <f>IFERROR(VLOOKUP($B402,TOLSEN!A:K,9,FALSE),0)</f>
        <v>0</v>
      </c>
      <c r="N402" s="94" t="str">
        <f>IFERROR(VLOOKUP(B402,TOLSEN!A:K,5,FALSE)," ")</f>
        <v xml:space="preserve"> </v>
      </c>
      <c r="O402" s="161" t="str">
        <f>IFERROR(VLOOKUP($B402,TOLSEN!$A:$K,10,FALSE)," ")</f>
        <v xml:space="preserve"> </v>
      </c>
      <c r="P402" s="161" t="str">
        <f>IFERROR(VLOOKUP($B402,TOLSEN!$A:$K,11,FALSE)," ")</f>
        <v xml:space="preserve"> </v>
      </c>
    </row>
    <row r="403" spans="2:16" ht="52.5" customHeight="1">
      <c r="B403" s="26"/>
      <c r="C403" s="137"/>
      <c r="D403" s="94"/>
      <c r="E403" s="94"/>
      <c r="F403" s="60" t="str">
        <f>IFERROR(VLOOKUP(B403,TOLSEN!A:D,3,FALSE),"0")</f>
        <v>0</v>
      </c>
      <c r="G403" s="61" t="str">
        <f>IFERROR(VLOOKUP(B403,TOLSEN!A:D,4,FALSE),"0")</f>
        <v>0</v>
      </c>
      <c r="H403" s="62" t="str">
        <f>IFERROR(VLOOKUP(B403,TOLSEN!A:K,6,FALSE),"0")</f>
        <v>0</v>
      </c>
      <c r="I403" s="62" t="str">
        <f>IFERROR(VLOOKUP(B403,TOLSEN!A:AC,7,FALSE),"0")</f>
        <v>0</v>
      </c>
      <c r="J403" s="63">
        <f t="shared" si="10"/>
        <v>0</v>
      </c>
      <c r="K403" s="107" t="e">
        <f t="shared" si="11"/>
        <v>#VALUE!</v>
      </c>
      <c r="L403" s="148">
        <f>IFERROR(VLOOKUP($B403,TOLSEN!A:I,8,FALSE),0)</f>
        <v>0</v>
      </c>
      <c r="M403" s="148">
        <f>IFERROR(VLOOKUP($B403,TOLSEN!A:K,9,FALSE),0)</f>
        <v>0</v>
      </c>
      <c r="N403" s="94" t="str">
        <f>IFERROR(VLOOKUP(B403,TOLSEN!A:K,5,FALSE)," ")</f>
        <v xml:space="preserve"> </v>
      </c>
      <c r="O403" s="161" t="str">
        <f>IFERROR(VLOOKUP($B403,TOLSEN!$A:$K,10,FALSE)," ")</f>
        <v xml:space="preserve"> </v>
      </c>
      <c r="P403" s="161" t="str">
        <f>IFERROR(VLOOKUP($B403,TOLSEN!$A:$K,11,FALSE)," ")</f>
        <v xml:space="preserve"> </v>
      </c>
    </row>
    <row r="404" spans="2:16" ht="52.5" customHeight="1">
      <c r="B404" s="26"/>
      <c r="C404" s="138"/>
      <c r="D404" s="94"/>
      <c r="E404" s="94"/>
      <c r="F404" s="60" t="str">
        <f>IFERROR(VLOOKUP(B404,TOLSEN!A:D,3,FALSE),"0")</f>
        <v>0</v>
      </c>
      <c r="G404" s="61" t="str">
        <f>IFERROR(VLOOKUP(B404,TOLSEN!A:D,4,FALSE),"0")</f>
        <v>0</v>
      </c>
      <c r="H404" s="62" t="str">
        <f>IFERROR(VLOOKUP(B404,TOLSEN!A:K,6,FALSE),"0")</f>
        <v>0</v>
      </c>
      <c r="I404" s="62" t="str">
        <f>IFERROR(VLOOKUP(B404,TOLSEN!A:AC,7,FALSE),"0")</f>
        <v>0</v>
      </c>
      <c r="J404" s="63">
        <f t="shared" si="10"/>
        <v>0</v>
      </c>
      <c r="K404" s="107" t="e">
        <f t="shared" si="11"/>
        <v>#VALUE!</v>
      </c>
      <c r="L404" s="148">
        <f>IFERROR(VLOOKUP($B404,TOLSEN!A:I,8,FALSE),0)</f>
        <v>0</v>
      </c>
      <c r="M404" s="148">
        <f>IFERROR(VLOOKUP($B404,TOLSEN!A:K,9,FALSE),0)</f>
        <v>0</v>
      </c>
      <c r="N404" s="94" t="str">
        <f>IFERROR(VLOOKUP(B404,TOLSEN!A:K,5,FALSE)," ")</f>
        <v xml:space="preserve"> </v>
      </c>
      <c r="O404" s="161" t="str">
        <f>IFERROR(VLOOKUP($B404,TOLSEN!$A:$K,10,FALSE)," ")</f>
        <v xml:space="preserve"> </v>
      </c>
      <c r="P404" s="161" t="str">
        <f>IFERROR(VLOOKUP($B404,TOLSEN!$A:$K,11,FALSE)," ")</f>
        <v xml:space="preserve"> </v>
      </c>
    </row>
    <row r="405" spans="2:16" ht="52.5" customHeight="1">
      <c r="B405" s="26"/>
      <c r="C405" s="137"/>
      <c r="D405" s="94"/>
      <c r="E405" s="94"/>
      <c r="F405" s="60" t="str">
        <f>IFERROR(VLOOKUP(B405,TOLSEN!A:D,3,FALSE),"0")</f>
        <v>0</v>
      </c>
      <c r="G405" s="61" t="str">
        <f>IFERROR(VLOOKUP(B405,TOLSEN!A:D,4,FALSE),"0")</f>
        <v>0</v>
      </c>
      <c r="H405" s="62" t="str">
        <f>IFERROR(VLOOKUP(B405,TOLSEN!A:K,6,FALSE),"0")</f>
        <v>0</v>
      </c>
      <c r="I405" s="62" t="str">
        <f>IFERROR(VLOOKUP(B405,TOLSEN!A:AC,7,FALSE),"0")</f>
        <v>0</v>
      </c>
      <c r="J405" s="63">
        <f t="shared" si="10"/>
        <v>0</v>
      </c>
      <c r="K405" s="107" t="e">
        <f t="shared" si="11"/>
        <v>#VALUE!</v>
      </c>
      <c r="L405" s="148">
        <f>IFERROR(VLOOKUP($B405,TOLSEN!A:I,8,FALSE),0)</f>
        <v>0</v>
      </c>
      <c r="M405" s="148">
        <f>IFERROR(VLOOKUP($B405,TOLSEN!A:K,9,FALSE),0)</f>
        <v>0</v>
      </c>
      <c r="N405" s="94" t="str">
        <f>IFERROR(VLOOKUP(B405,TOLSEN!A:K,5,FALSE)," ")</f>
        <v xml:space="preserve"> </v>
      </c>
      <c r="O405" s="161" t="str">
        <f>IFERROR(VLOOKUP($B405,TOLSEN!$A:$K,10,FALSE)," ")</f>
        <v xml:space="preserve"> </v>
      </c>
      <c r="P405" s="161" t="str">
        <f>IFERROR(VLOOKUP($B405,TOLSEN!$A:$K,11,FALSE)," ")</f>
        <v xml:space="preserve"> </v>
      </c>
    </row>
    <row r="406" spans="2:16" ht="52.5" customHeight="1">
      <c r="B406" s="26"/>
      <c r="C406" s="138"/>
      <c r="D406" s="94"/>
      <c r="E406" s="94"/>
      <c r="F406" s="60" t="str">
        <f>IFERROR(VLOOKUP(B406,TOLSEN!A:D,3,FALSE),"0")</f>
        <v>0</v>
      </c>
      <c r="G406" s="61" t="str">
        <f>IFERROR(VLOOKUP(B406,TOLSEN!A:D,4,FALSE),"0")</f>
        <v>0</v>
      </c>
      <c r="H406" s="62" t="str">
        <f>IFERROR(VLOOKUP(B406,TOLSEN!A:K,6,FALSE),"0")</f>
        <v>0</v>
      </c>
      <c r="I406" s="62" t="str">
        <f>IFERROR(VLOOKUP(B406,TOLSEN!A:AC,7,FALSE),"0")</f>
        <v>0</v>
      </c>
      <c r="J406" s="63">
        <f t="shared" si="10"/>
        <v>0</v>
      </c>
      <c r="K406" s="107" t="e">
        <f t="shared" si="11"/>
        <v>#VALUE!</v>
      </c>
      <c r="L406" s="148">
        <f>IFERROR(VLOOKUP($B406,TOLSEN!A:I,8,FALSE),0)</f>
        <v>0</v>
      </c>
      <c r="M406" s="148">
        <f>IFERROR(VLOOKUP($B406,TOLSEN!A:K,9,FALSE),0)</f>
        <v>0</v>
      </c>
      <c r="N406" s="94" t="str">
        <f>IFERROR(VLOOKUP(B406,TOLSEN!A:K,5,FALSE)," ")</f>
        <v xml:space="preserve"> </v>
      </c>
      <c r="O406" s="161" t="str">
        <f>IFERROR(VLOOKUP($B406,TOLSEN!$A:$K,10,FALSE)," ")</f>
        <v xml:space="preserve"> </v>
      </c>
      <c r="P406" s="161" t="str">
        <f>IFERROR(VLOOKUP($B406,TOLSEN!$A:$K,11,FALSE)," ")</f>
        <v xml:space="preserve"> </v>
      </c>
    </row>
    <row r="407" spans="2:16" ht="52.5" customHeight="1">
      <c r="B407" s="26"/>
      <c r="C407" s="137"/>
      <c r="D407" s="94"/>
      <c r="E407" s="94"/>
      <c r="F407" s="60" t="str">
        <f>IFERROR(VLOOKUP(B407,TOLSEN!A:D,3,FALSE),"0")</f>
        <v>0</v>
      </c>
      <c r="G407" s="61" t="str">
        <f>IFERROR(VLOOKUP(B407,TOLSEN!A:D,4,FALSE),"0")</f>
        <v>0</v>
      </c>
      <c r="H407" s="62" t="str">
        <f>IFERROR(VLOOKUP(B407,TOLSEN!A:K,6,FALSE),"0")</f>
        <v>0</v>
      </c>
      <c r="I407" s="62" t="str">
        <f>IFERROR(VLOOKUP(B407,TOLSEN!A:AC,7,FALSE),"0")</f>
        <v>0</v>
      </c>
      <c r="J407" s="63">
        <f t="shared" si="10"/>
        <v>0</v>
      </c>
      <c r="K407" s="107" t="e">
        <f t="shared" si="11"/>
        <v>#VALUE!</v>
      </c>
      <c r="L407" s="148">
        <f>IFERROR(VLOOKUP($B407,TOLSEN!A:I,8,FALSE),0)</f>
        <v>0</v>
      </c>
      <c r="M407" s="148">
        <f>IFERROR(VLOOKUP($B407,TOLSEN!A:K,9,FALSE),0)</f>
        <v>0</v>
      </c>
      <c r="N407" s="94" t="str">
        <f>IFERROR(VLOOKUP(B407,TOLSEN!A:K,5,FALSE)," ")</f>
        <v xml:space="preserve"> </v>
      </c>
      <c r="O407" s="161" t="str">
        <f>IFERROR(VLOOKUP($B407,TOLSEN!$A:$K,10,FALSE)," ")</f>
        <v xml:space="preserve"> </v>
      </c>
      <c r="P407" s="161" t="str">
        <f>IFERROR(VLOOKUP($B407,TOLSEN!$A:$K,11,FALSE)," ")</f>
        <v xml:space="preserve"> </v>
      </c>
    </row>
    <row r="408" spans="2:16" ht="52.5" customHeight="1">
      <c r="B408" s="26"/>
      <c r="C408" s="139"/>
      <c r="D408" s="94"/>
      <c r="E408" s="94"/>
      <c r="F408" s="60" t="str">
        <f>IFERROR(VLOOKUP(B408,TOLSEN!A:D,3,FALSE),"0")</f>
        <v>0</v>
      </c>
      <c r="G408" s="61" t="str">
        <f>IFERROR(VLOOKUP(B408,TOLSEN!A:D,4,FALSE),"0")</f>
        <v>0</v>
      </c>
      <c r="H408" s="62" t="str">
        <f>IFERROR(VLOOKUP(B408,TOLSEN!A:K,6,FALSE),"0")</f>
        <v>0</v>
      </c>
      <c r="I408" s="62" t="str">
        <f>IFERROR(VLOOKUP(B408,TOLSEN!A:AC,7,FALSE),"0")</f>
        <v>0</v>
      </c>
      <c r="J408" s="63">
        <f t="shared" ref="J408:J471" si="12">(I408*C408)</f>
        <v>0</v>
      </c>
      <c r="K408" s="107" t="e">
        <f t="shared" ref="K408:K471" si="13">(J408*(1+N408))</f>
        <v>#VALUE!</v>
      </c>
      <c r="L408" s="148">
        <f>IFERROR(VLOOKUP($B408,TOLSEN!A:I,8,FALSE),0)</f>
        <v>0</v>
      </c>
      <c r="M408" s="148">
        <f>IFERROR(VLOOKUP($B408,TOLSEN!A:K,9,FALSE),0)</f>
        <v>0</v>
      </c>
      <c r="N408" s="94" t="str">
        <f>IFERROR(VLOOKUP(B408,TOLSEN!A:K,5,FALSE)," ")</f>
        <v xml:space="preserve"> </v>
      </c>
      <c r="O408" s="161" t="str">
        <f>IFERROR(VLOOKUP($B408,TOLSEN!$A:$K,10,FALSE)," ")</f>
        <v xml:space="preserve"> </v>
      </c>
      <c r="P408" s="161" t="str">
        <f>IFERROR(VLOOKUP($B408,TOLSEN!$A:$K,11,FALSE)," ")</f>
        <v xml:space="preserve"> </v>
      </c>
    </row>
    <row r="409" spans="2:16" ht="52.5" customHeight="1">
      <c r="B409" s="26"/>
      <c r="C409" s="137"/>
      <c r="D409" s="94"/>
      <c r="E409" s="94"/>
      <c r="F409" s="60" t="str">
        <f>IFERROR(VLOOKUP(B409,TOLSEN!A:D,3,FALSE),"0")</f>
        <v>0</v>
      </c>
      <c r="G409" s="61" t="str">
        <f>IFERROR(VLOOKUP(B409,TOLSEN!A:D,4,FALSE),"0")</f>
        <v>0</v>
      </c>
      <c r="H409" s="62" t="str">
        <f>IFERROR(VLOOKUP(B409,TOLSEN!A:K,6,FALSE),"0")</f>
        <v>0</v>
      </c>
      <c r="I409" s="62" t="str">
        <f>IFERROR(VLOOKUP(B409,TOLSEN!A:AC,7,FALSE),"0")</f>
        <v>0</v>
      </c>
      <c r="J409" s="63">
        <f t="shared" si="12"/>
        <v>0</v>
      </c>
      <c r="K409" s="107" t="e">
        <f t="shared" si="13"/>
        <v>#VALUE!</v>
      </c>
      <c r="L409" s="148">
        <f>IFERROR(VLOOKUP($B409,TOLSEN!A:I,8,FALSE),0)</f>
        <v>0</v>
      </c>
      <c r="M409" s="148">
        <f>IFERROR(VLOOKUP($B409,TOLSEN!A:K,9,FALSE),0)</f>
        <v>0</v>
      </c>
      <c r="N409" s="94" t="str">
        <f>IFERROR(VLOOKUP(B409,TOLSEN!A:K,5,FALSE)," ")</f>
        <v xml:space="preserve"> </v>
      </c>
      <c r="O409" s="161" t="str">
        <f>IFERROR(VLOOKUP($B409,TOLSEN!$A:$K,10,FALSE)," ")</f>
        <v xml:space="preserve"> </v>
      </c>
      <c r="P409" s="161" t="str">
        <f>IFERROR(VLOOKUP($B409,TOLSEN!$A:$K,11,FALSE)," ")</f>
        <v xml:space="preserve"> </v>
      </c>
    </row>
    <row r="410" spans="2:16" ht="52.5" customHeight="1">
      <c r="B410" s="26"/>
      <c r="C410" s="138"/>
      <c r="D410" s="94"/>
      <c r="E410" s="94"/>
      <c r="F410" s="60" t="str">
        <f>IFERROR(VLOOKUP(B410,TOLSEN!A:D,3,FALSE),"0")</f>
        <v>0</v>
      </c>
      <c r="G410" s="61" t="str">
        <f>IFERROR(VLOOKUP(B410,TOLSEN!A:D,4,FALSE),"0")</f>
        <v>0</v>
      </c>
      <c r="H410" s="62" t="str">
        <f>IFERROR(VLOOKUP(B410,TOLSEN!A:K,6,FALSE),"0")</f>
        <v>0</v>
      </c>
      <c r="I410" s="62" t="str">
        <f>IFERROR(VLOOKUP(B410,TOLSEN!A:AC,7,FALSE),"0")</f>
        <v>0</v>
      </c>
      <c r="J410" s="63">
        <f t="shared" si="12"/>
        <v>0</v>
      </c>
      <c r="K410" s="107" t="e">
        <f t="shared" si="13"/>
        <v>#VALUE!</v>
      </c>
      <c r="L410" s="148">
        <f>IFERROR(VLOOKUP($B410,TOLSEN!A:I,8,FALSE),0)</f>
        <v>0</v>
      </c>
      <c r="M410" s="148">
        <f>IFERROR(VLOOKUP($B410,TOLSEN!A:K,9,FALSE),0)</f>
        <v>0</v>
      </c>
      <c r="N410" s="94" t="str">
        <f>IFERROR(VLOOKUP(B410,TOLSEN!A:K,5,FALSE)," ")</f>
        <v xml:space="preserve"> </v>
      </c>
      <c r="O410" s="161" t="str">
        <f>IFERROR(VLOOKUP($B410,TOLSEN!$A:$K,10,FALSE)," ")</f>
        <v xml:space="preserve"> </v>
      </c>
      <c r="P410" s="161" t="str">
        <f>IFERROR(VLOOKUP($B410,TOLSEN!$A:$K,11,FALSE)," ")</f>
        <v xml:space="preserve"> </v>
      </c>
    </row>
    <row r="411" spans="2:16" ht="52.5" customHeight="1">
      <c r="B411" s="26"/>
      <c r="C411" s="137"/>
      <c r="D411" s="94"/>
      <c r="E411" s="94"/>
      <c r="F411" s="60" t="str">
        <f>IFERROR(VLOOKUP(B411,TOLSEN!A:D,3,FALSE),"0")</f>
        <v>0</v>
      </c>
      <c r="G411" s="61" t="str">
        <f>IFERROR(VLOOKUP(B411,TOLSEN!A:D,4,FALSE),"0")</f>
        <v>0</v>
      </c>
      <c r="H411" s="62" t="str">
        <f>IFERROR(VLOOKUP(B411,TOLSEN!A:K,6,FALSE),"0")</f>
        <v>0</v>
      </c>
      <c r="I411" s="62" t="str">
        <f>IFERROR(VLOOKUP(B411,TOLSEN!A:AC,7,FALSE),"0")</f>
        <v>0</v>
      </c>
      <c r="J411" s="63">
        <f t="shared" si="12"/>
        <v>0</v>
      </c>
      <c r="K411" s="107" t="e">
        <f t="shared" si="13"/>
        <v>#VALUE!</v>
      </c>
      <c r="L411" s="148">
        <f>IFERROR(VLOOKUP($B411,TOLSEN!A:I,8,FALSE),0)</f>
        <v>0</v>
      </c>
      <c r="M411" s="148">
        <f>IFERROR(VLOOKUP($B411,TOLSEN!A:K,9,FALSE),0)</f>
        <v>0</v>
      </c>
      <c r="N411" s="94" t="str">
        <f>IFERROR(VLOOKUP(B411,TOLSEN!A:K,5,FALSE)," ")</f>
        <v xml:space="preserve"> </v>
      </c>
      <c r="O411" s="161" t="str">
        <f>IFERROR(VLOOKUP($B411,TOLSEN!$A:$K,10,FALSE)," ")</f>
        <v xml:space="preserve"> </v>
      </c>
      <c r="P411" s="161" t="str">
        <f>IFERROR(VLOOKUP($B411,TOLSEN!$A:$K,11,FALSE)," ")</f>
        <v xml:space="preserve"> </v>
      </c>
    </row>
    <row r="412" spans="2:16" ht="52.5" customHeight="1">
      <c r="B412" s="26"/>
      <c r="C412" s="138"/>
      <c r="D412" s="94"/>
      <c r="E412" s="94"/>
      <c r="F412" s="60" t="str">
        <f>IFERROR(VLOOKUP(B412,TOLSEN!A:D,3,FALSE),"0")</f>
        <v>0</v>
      </c>
      <c r="G412" s="61" t="str">
        <f>IFERROR(VLOOKUP(B412,TOLSEN!A:D,4,FALSE),"0")</f>
        <v>0</v>
      </c>
      <c r="H412" s="62" t="str">
        <f>IFERROR(VLOOKUP(B412,TOLSEN!A:K,6,FALSE),"0")</f>
        <v>0</v>
      </c>
      <c r="I412" s="62" t="str">
        <f>IFERROR(VLOOKUP(B412,TOLSEN!A:AC,7,FALSE),"0")</f>
        <v>0</v>
      </c>
      <c r="J412" s="63">
        <f t="shared" si="12"/>
        <v>0</v>
      </c>
      <c r="K412" s="107" t="e">
        <f t="shared" si="13"/>
        <v>#VALUE!</v>
      </c>
      <c r="L412" s="148">
        <f>IFERROR(VLOOKUP($B412,TOLSEN!A:I,8,FALSE),0)</f>
        <v>0</v>
      </c>
      <c r="M412" s="148">
        <f>IFERROR(VLOOKUP($B412,TOLSEN!A:K,9,FALSE),0)</f>
        <v>0</v>
      </c>
      <c r="N412" s="94" t="str">
        <f>IFERROR(VLOOKUP(B412,TOLSEN!A:K,5,FALSE)," ")</f>
        <v xml:space="preserve"> </v>
      </c>
      <c r="O412" s="161" t="str">
        <f>IFERROR(VLOOKUP($B412,TOLSEN!$A:$K,10,FALSE)," ")</f>
        <v xml:space="preserve"> </v>
      </c>
      <c r="P412" s="161" t="str">
        <f>IFERROR(VLOOKUP($B412,TOLSEN!$A:$K,11,FALSE)," ")</f>
        <v xml:space="preserve"> </v>
      </c>
    </row>
    <row r="413" spans="2:16" ht="52.5" customHeight="1">
      <c r="B413" s="26"/>
      <c r="C413" s="137"/>
      <c r="D413" s="94"/>
      <c r="E413" s="94"/>
      <c r="F413" s="60" t="str">
        <f>IFERROR(VLOOKUP(B413,TOLSEN!A:D,3,FALSE),"0")</f>
        <v>0</v>
      </c>
      <c r="G413" s="61" t="str">
        <f>IFERROR(VLOOKUP(B413,TOLSEN!A:D,4,FALSE),"0")</f>
        <v>0</v>
      </c>
      <c r="H413" s="62" t="str">
        <f>IFERROR(VLOOKUP(B413,TOLSEN!A:K,6,FALSE),"0")</f>
        <v>0</v>
      </c>
      <c r="I413" s="62" t="str">
        <f>IFERROR(VLOOKUP(B413,TOLSEN!A:AC,7,FALSE),"0")</f>
        <v>0</v>
      </c>
      <c r="J413" s="63">
        <f t="shared" si="12"/>
        <v>0</v>
      </c>
      <c r="K413" s="107" t="e">
        <f t="shared" si="13"/>
        <v>#VALUE!</v>
      </c>
      <c r="L413" s="148">
        <f>IFERROR(VLOOKUP($B413,TOLSEN!A:I,8,FALSE),0)</f>
        <v>0</v>
      </c>
      <c r="M413" s="148">
        <f>IFERROR(VLOOKUP($B413,TOLSEN!A:K,9,FALSE),0)</f>
        <v>0</v>
      </c>
      <c r="N413" s="94" t="str">
        <f>IFERROR(VLOOKUP(B413,TOLSEN!A:K,5,FALSE)," ")</f>
        <v xml:space="preserve"> </v>
      </c>
      <c r="O413" s="161" t="str">
        <f>IFERROR(VLOOKUP($B413,TOLSEN!$A:$K,10,FALSE)," ")</f>
        <v xml:space="preserve"> </v>
      </c>
      <c r="P413" s="161" t="str">
        <f>IFERROR(VLOOKUP($B413,TOLSEN!$A:$K,11,FALSE)," ")</f>
        <v xml:space="preserve"> </v>
      </c>
    </row>
    <row r="414" spans="2:16" ht="52.5" customHeight="1">
      <c r="B414" s="26"/>
      <c r="C414" s="138"/>
      <c r="D414" s="94"/>
      <c r="E414" s="94"/>
      <c r="F414" s="60" t="str">
        <f>IFERROR(VLOOKUP(B414,TOLSEN!A:D,3,FALSE),"0")</f>
        <v>0</v>
      </c>
      <c r="G414" s="61" t="str">
        <f>IFERROR(VLOOKUP(B414,TOLSEN!A:D,4,FALSE),"0")</f>
        <v>0</v>
      </c>
      <c r="H414" s="62" t="str">
        <f>IFERROR(VLOOKUP(B414,TOLSEN!A:K,6,FALSE),"0")</f>
        <v>0</v>
      </c>
      <c r="I414" s="62" t="str">
        <f>IFERROR(VLOOKUP(B414,TOLSEN!A:AC,7,FALSE),"0")</f>
        <v>0</v>
      </c>
      <c r="J414" s="63">
        <f t="shared" si="12"/>
        <v>0</v>
      </c>
      <c r="K414" s="107" t="e">
        <f t="shared" si="13"/>
        <v>#VALUE!</v>
      </c>
      <c r="L414" s="148">
        <f>IFERROR(VLOOKUP($B414,TOLSEN!A:I,8,FALSE),0)</f>
        <v>0</v>
      </c>
      <c r="M414" s="148">
        <f>IFERROR(VLOOKUP($B414,TOLSEN!A:K,9,FALSE),0)</f>
        <v>0</v>
      </c>
      <c r="N414" s="94" t="str">
        <f>IFERROR(VLOOKUP(B414,TOLSEN!A:K,5,FALSE)," ")</f>
        <v xml:space="preserve"> </v>
      </c>
      <c r="O414" s="161" t="str">
        <f>IFERROR(VLOOKUP($B414,TOLSEN!$A:$K,10,FALSE)," ")</f>
        <v xml:space="preserve"> </v>
      </c>
      <c r="P414" s="161" t="str">
        <f>IFERROR(VLOOKUP($B414,TOLSEN!$A:$K,11,FALSE)," ")</f>
        <v xml:space="preserve"> </v>
      </c>
    </row>
    <row r="415" spans="2:16" ht="52.5" customHeight="1">
      <c r="B415" s="26"/>
      <c r="C415" s="137"/>
      <c r="D415" s="94"/>
      <c r="E415" s="94"/>
      <c r="F415" s="60" t="str">
        <f>IFERROR(VLOOKUP(B415,TOLSEN!A:D,3,FALSE),"0")</f>
        <v>0</v>
      </c>
      <c r="G415" s="61" t="str">
        <f>IFERROR(VLOOKUP(B415,TOLSEN!A:D,4,FALSE),"0")</f>
        <v>0</v>
      </c>
      <c r="H415" s="62" t="str">
        <f>IFERROR(VLOOKUP(B415,TOLSEN!A:K,6,FALSE),"0")</f>
        <v>0</v>
      </c>
      <c r="I415" s="62" t="str">
        <f>IFERROR(VLOOKUP(B415,TOLSEN!A:AC,7,FALSE),"0")</f>
        <v>0</v>
      </c>
      <c r="J415" s="63">
        <f t="shared" si="12"/>
        <v>0</v>
      </c>
      <c r="K415" s="107" t="e">
        <f t="shared" si="13"/>
        <v>#VALUE!</v>
      </c>
      <c r="L415" s="148">
        <f>IFERROR(VLOOKUP($B415,TOLSEN!A:I,8,FALSE),0)</f>
        <v>0</v>
      </c>
      <c r="M415" s="148">
        <f>IFERROR(VLOOKUP($B415,TOLSEN!A:K,9,FALSE),0)</f>
        <v>0</v>
      </c>
      <c r="N415" s="94" t="str">
        <f>IFERROR(VLOOKUP(B415,TOLSEN!A:K,5,FALSE)," ")</f>
        <v xml:space="preserve"> </v>
      </c>
      <c r="O415" s="161" t="str">
        <f>IFERROR(VLOOKUP($B415,TOLSEN!$A:$K,10,FALSE)," ")</f>
        <v xml:space="preserve"> </v>
      </c>
      <c r="P415" s="161" t="str">
        <f>IFERROR(VLOOKUP($B415,TOLSEN!$A:$K,11,FALSE)," ")</f>
        <v xml:space="preserve"> </v>
      </c>
    </row>
    <row r="416" spans="2:16" ht="52.5" customHeight="1">
      <c r="B416" s="26"/>
      <c r="C416" s="138"/>
      <c r="D416" s="94"/>
      <c r="E416" s="94"/>
      <c r="F416" s="60" t="str">
        <f>IFERROR(VLOOKUP(B416,TOLSEN!A:D,3,FALSE),"0")</f>
        <v>0</v>
      </c>
      <c r="G416" s="61" t="str">
        <f>IFERROR(VLOOKUP(B416,TOLSEN!A:D,4,FALSE),"0")</f>
        <v>0</v>
      </c>
      <c r="H416" s="62" t="str">
        <f>IFERROR(VLOOKUP(B416,TOLSEN!A:K,6,FALSE),"0")</f>
        <v>0</v>
      </c>
      <c r="I416" s="62" t="str">
        <f>IFERROR(VLOOKUP(B416,TOLSEN!A:AC,7,FALSE),"0")</f>
        <v>0</v>
      </c>
      <c r="J416" s="63">
        <f t="shared" si="12"/>
        <v>0</v>
      </c>
      <c r="K416" s="107" t="e">
        <f t="shared" si="13"/>
        <v>#VALUE!</v>
      </c>
      <c r="L416" s="148">
        <f>IFERROR(VLOOKUP($B416,TOLSEN!A:I,8,FALSE),0)</f>
        <v>0</v>
      </c>
      <c r="M416" s="148">
        <f>IFERROR(VLOOKUP($B416,TOLSEN!A:K,9,FALSE),0)</f>
        <v>0</v>
      </c>
      <c r="N416" s="94" t="str">
        <f>IFERROR(VLOOKUP(B416,TOLSEN!A:K,5,FALSE)," ")</f>
        <v xml:space="preserve"> </v>
      </c>
      <c r="O416" s="161" t="str">
        <f>IFERROR(VLOOKUP($B416,TOLSEN!$A:$K,10,FALSE)," ")</f>
        <v xml:space="preserve"> </v>
      </c>
      <c r="P416" s="161" t="str">
        <f>IFERROR(VLOOKUP($B416,TOLSEN!$A:$K,11,FALSE)," ")</f>
        <v xml:space="preserve"> </v>
      </c>
    </row>
    <row r="417" spans="2:16" ht="52.5" customHeight="1">
      <c r="B417" s="26"/>
      <c r="C417" s="137"/>
      <c r="D417" s="94"/>
      <c r="E417" s="94"/>
      <c r="F417" s="60" t="str">
        <f>IFERROR(VLOOKUP(B417,TOLSEN!A:D,3,FALSE),"0")</f>
        <v>0</v>
      </c>
      <c r="G417" s="61" t="str">
        <f>IFERROR(VLOOKUP(B417,TOLSEN!A:D,4,FALSE),"0")</f>
        <v>0</v>
      </c>
      <c r="H417" s="62" t="str">
        <f>IFERROR(VLOOKUP(B417,TOLSEN!A:K,6,FALSE),"0")</f>
        <v>0</v>
      </c>
      <c r="I417" s="62" t="str">
        <f>IFERROR(VLOOKUP(B417,TOLSEN!A:AC,7,FALSE),"0")</f>
        <v>0</v>
      </c>
      <c r="J417" s="63">
        <f t="shared" si="12"/>
        <v>0</v>
      </c>
      <c r="K417" s="107" t="e">
        <f t="shared" si="13"/>
        <v>#VALUE!</v>
      </c>
      <c r="L417" s="148">
        <f>IFERROR(VLOOKUP($B417,TOLSEN!A:I,8,FALSE),0)</f>
        <v>0</v>
      </c>
      <c r="M417" s="148">
        <f>IFERROR(VLOOKUP($B417,TOLSEN!A:K,9,FALSE),0)</f>
        <v>0</v>
      </c>
      <c r="N417" s="94" t="str">
        <f>IFERROR(VLOOKUP(B417,TOLSEN!A:K,5,FALSE)," ")</f>
        <v xml:space="preserve"> </v>
      </c>
      <c r="O417" s="161" t="str">
        <f>IFERROR(VLOOKUP($B417,TOLSEN!$A:$K,10,FALSE)," ")</f>
        <v xml:space="preserve"> </v>
      </c>
      <c r="P417" s="161" t="str">
        <f>IFERROR(VLOOKUP($B417,TOLSEN!$A:$K,11,FALSE)," ")</f>
        <v xml:space="preserve"> </v>
      </c>
    </row>
    <row r="418" spans="2:16" ht="52.5" customHeight="1">
      <c r="B418" s="26"/>
      <c r="C418" s="138"/>
      <c r="D418" s="94"/>
      <c r="E418" s="94"/>
      <c r="F418" s="60" t="str">
        <f>IFERROR(VLOOKUP(B418,TOLSEN!A:D,3,FALSE),"0")</f>
        <v>0</v>
      </c>
      <c r="G418" s="61" t="str">
        <f>IFERROR(VLOOKUP(B418,TOLSEN!A:D,4,FALSE),"0")</f>
        <v>0</v>
      </c>
      <c r="H418" s="62" t="str">
        <f>IFERROR(VLOOKUP(B418,TOLSEN!A:K,6,FALSE),"0")</f>
        <v>0</v>
      </c>
      <c r="I418" s="62" t="str">
        <f>IFERROR(VLOOKUP(B418,TOLSEN!A:AC,7,FALSE),"0")</f>
        <v>0</v>
      </c>
      <c r="J418" s="63">
        <f t="shared" si="12"/>
        <v>0</v>
      </c>
      <c r="K418" s="107" t="e">
        <f t="shared" si="13"/>
        <v>#VALUE!</v>
      </c>
      <c r="L418" s="148">
        <f>IFERROR(VLOOKUP($B418,TOLSEN!A:I,8,FALSE),0)</f>
        <v>0</v>
      </c>
      <c r="M418" s="148">
        <f>IFERROR(VLOOKUP($B418,TOLSEN!A:K,9,FALSE),0)</f>
        <v>0</v>
      </c>
      <c r="N418" s="94" t="str">
        <f>IFERROR(VLOOKUP(B418,TOLSEN!A:K,5,FALSE)," ")</f>
        <v xml:space="preserve"> </v>
      </c>
      <c r="O418" s="161" t="str">
        <f>IFERROR(VLOOKUP($B418,TOLSEN!$A:$K,10,FALSE)," ")</f>
        <v xml:space="preserve"> </v>
      </c>
      <c r="P418" s="161" t="str">
        <f>IFERROR(VLOOKUP($B418,TOLSEN!$A:$K,11,FALSE)," ")</f>
        <v xml:space="preserve"> </v>
      </c>
    </row>
    <row r="419" spans="2:16" ht="52.5" customHeight="1">
      <c r="B419" s="26"/>
      <c r="C419" s="137"/>
      <c r="D419" s="94"/>
      <c r="E419" s="94"/>
      <c r="F419" s="60" t="str">
        <f>IFERROR(VLOOKUP(B419,TOLSEN!A:D,3,FALSE),"0")</f>
        <v>0</v>
      </c>
      <c r="G419" s="61" t="str">
        <f>IFERROR(VLOOKUP(B419,TOLSEN!A:D,4,FALSE),"0")</f>
        <v>0</v>
      </c>
      <c r="H419" s="62" t="str">
        <f>IFERROR(VLOOKUP(B419,TOLSEN!A:K,6,FALSE),"0")</f>
        <v>0</v>
      </c>
      <c r="I419" s="62" t="str">
        <f>IFERROR(VLOOKUP(B419,TOLSEN!A:AC,7,FALSE),"0")</f>
        <v>0</v>
      </c>
      <c r="J419" s="63">
        <f t="shared" si="12"/>
        <v>0</v>
      </c>
      <c r="K419" s="107" t="e">
        <f t="shared" si="13"/>
        <v>#VALUE!</v>
      </c>
      <c r="L419" s="148">
        <f>IFERROR(VLOOKUP($B419,TOLSEN!A:I,8,FALSE),0)</f>
        <v>0</v>
      </c>
      <c r="M419" s="148">
        <f>IFERROR(VLOOKUP($B419,TOLSEN!A:K,9,FALSE),0)</f>
        <v>0</v>
      </c>
      <c r="N419" s="94" t="str">
        <f>IFERROR(VLOOKUP(B419,TOLSEN!A:K,5,FALSE)," ")</f>
        <v xml:space="preserve"> </v>
      </c>
      <c r="O419" s="161" t="str">
        <f>IFERROR(VLOOKUP($B419,TOLSEN!$A:$K,10,FALSE)," ")</f>
        <v xml:space="preserve"> </v>
      </c>
      <c r="P419" s="161" t="str">
        <f>IFERROR(VLOOKUP($B419,TOLSEN!$A:$K,11,FALSE)," ")</f>
        <v xml:space="preserve"> </v>
      </c>
    </row>
    <row r="420" spans="2:16" ht="52.5" customHeight="1">
      <c r="B420" s="26"/>
      <c r="C420" s="138"/>
      <c r="D420" s="94"/>
      <c r="E420" s="94"/>
      <c r="F420" s="60" t="str">
        <f>IFERROR(VLOOKUP(B420,TOLSEN!A:D,3,FALSE),"0")</f>
        <v>0</v>
      </c>
      <c r="G420" s="61" t="str">
        <f>IFERROR(VLOOKUP(B420,TOLSEN!A:D,4,FALSE),"0")</f>
        <v>0</v>
      </c>
      <c r="H420" s="62" t="str">
        <f>IFERROR(VLOOKUP(B420,TOLSEN!A:K,6,FALSE),"0")</f>
        <v>0</v>
      </c>
      <c r="I420" s="62" t="str">
        <f>IFERROR(VLOOKUP(B420,TOLSEN!A:AC,7,FALSE),"0")</f>
        <v>0</v>
      </c>
      <c r="J420" s="63">
        <f t="shared" si="12"/>
        <v>0</v>
      </c>
      <c r="K420" s="107" t="e">
        <f t="shared" si="13"/>
        <v>#VALUE!</v>
      </c>
      <c r="L420" s="148">
        <f>IFERROR(VLOOKUP($B420,TOLSEN!A:I,8,FALSE),0)</f>
        <v>0</v>
      </c>
      <c r="M420" s="148">
        <f>IFERROR(VLOOKUP($B420,TOLSEN!A:K,9,FALSE),0)</f>
        <v>0</v>
      </c>
      <c r="N420" s="94" t="str">
        <f>IFERROR(VLOOKUP(B420,TOLSEN!A:K,5,FALSE)," ")</f>
        <v xml:space="preserve"> </v>
      </c>
      <c r="O420" s="161" t="str">
        <f>IFERROR(VLOOKUP($B420,TOLSEN!$A:$K,10,FALSE)," ")</f>
        <v xml:space="preserve"> </v>
      </c>
      <c r="P420" s="161" t="str">
        <f>IFERROR(VLOOKUP($B420,TOLSEN!$A:$K,11,FALSE)," ")</f>
        <v xml:space="preserve"> </v>
      </c>
    </row>
    <row r="421" spans="2:16" ht="52.5" customHeight="1">
      <c r="B421" s="26"/>
      <c r="C421" s="137"/>
      <c r="D421" s="94"/>
      <c r="E421" s="94"/>
      <c r="F421" s="60" t="str">
        <f>IFERROR(VLOOKUP(B421,TOLSEN!A:D,3,FALSE),"0")</f>
        <v>0</v>
      </c>
      <c r="G421" s="61" t="str">
        <f>IFERROR(VLOOKUP(B421,TOLSEN!A:D,4,FALSE),"0")</f>
        <v>0</v>
      </c>
      <c r="H421" s="62" t="str">
        <f>IFERROR(VLOOKUP(B421,TOLSEN!A:K,6,FALSE),"0")</f>
        <v>0</v>
      </c>
      <c r="I421" s="62" t="str">
        <f>IFERROR(VLOOKUP(B421,TOLSEN!A:AC,7,FALSE),"0")</f>
        <v>0</v>
      </c>
      <c r="J421" s="63">
        <f t="shared" si="12"/>
        <v>0</v>
      </c>
      <c r="K421" s="107" t="e">
        <f t="shared" si="13"/>
        <v>#VALUE!</v>
      </c>
      <c r="L421" s="148">
        <f>IFERROR(VLOOKUP($B421,TOLSEN!A:I,8,FALSE),0)</f>
        <v>0</v>
      </c>
      <c r="M421" s="148">
        <f>IFERROR(VLOOKUP($B421,TOLSEN!A:K,9,FALSE),0)</f>
        <v>0</v>
      </c>
      <c r="N421" s="94" t="str">
        <f>IFERROR(VLOOKUP(B421,TOLSEN!A:K,5,FALSE)," ")</f>
        <v xml:space="preserve"> </v>
      </c>
      <c r="O421" s="161" t="str">
        <f>IFERROR(VLOOKUP($B421,TOLSEN!$A:$K,10,FALSE)," ")</f>
        <v xml:space="preserve"> </v>
      </c>
      <c r="P421" s="161" t="str">
        <f>IFERROR(VLOOKUP($B421,TOLSEN!$A:$K,11,FALSE)," ")</f>
        <v xml:space="preserve"> </v>
      </c>
    </row>
    <row r="422" spans="2:16" ht="52.5" customHeight="1">
      <c r="B422" s="26"/>
      <c r="C422" s="138"/>
      <c r="D422" s="94"/>
      <c r="E422" s="94"/>
      <c r="F422" s="60" t="str">
        <f>IFERROR(VLOOKUP(B422,TOLSEN!A:D,3,FALSE),"0")</f>
        <v>0</v>
      </c>
      <c r="G422" s="61" t="str">
        <f>IFERROR(VLOOKUP(B422,TOLSEN!A:D,4,FALSE),"0")</f>
        <v>0</v>
      </c>
      <c r="H422" s="62" t="str">
        <f>IFERROR(VLOOKUP(B422,TOLSEN!A:K,6,FALSE),"0")</f>
        <v>0</v>
      </c>
      <c r="I422" s="62" t="str">
        <f>IFERROR(VLOOKUP(B422,TOLSEN!A:AC,7,FALSE),"0")</f>
        <v>0</v>
      </c>
      <c r="J422" s="63">
        <f t="shared" si="12"/>
        <v>0</v>
      </c>
      <c r="K422" s="107" t="e">
        <f t="shared" si="13"/>
        <v>#VALUE!</v>
      </c>
      <c r="L422" s="148">
        <f>IFERROR(VLOOKUP($B422,TOLSEN!A:I,8,FALSE),0)</f>
        <v>0</v>
      </c>
      <c r="M422" s="148">
        <f>IFERROR(VLOOKUP($B422,TOLSEN!A:K,9,FALSE),0)</f>
        <v>0</v>
      </c>
      <c r="N422" s="94" t="str">
        <f>IFERROR(VLOOKUP(B422,TOLSEN!A:K,5,FALSE)," ")</f>
        <v xml:space="preserve"> </v>
      </c>
      <c r="O422" s="161" t="str">
        <f>IFERROR(VLOOKUP($B422,TOLSEN!$A:$K,10,FALSE)," ")</f>
        <v xml:space="preserve"> </v>
      </c>
      <c r="P422" s="161" t="str">
        <f>IFERROR(VLOOKUP($B422,TOLSEN!$A:$K,11,FALSE)," ")</f>
        <v xml:space="preserve"> </v>
      </c>
    </row>
    <row r="423" spans="2:16" ht="52.5" customHeight="1">
      <c r="B423" s="26"/>
      <c r="C423" s="137"/>
      <c r="D423" s="94"/>
      <c r="E423" s="94"/>
      <c r="F423" s="60" t="str">
        <f>IFERROR(VLOOKUP(B423,TOLSEN!A:D,3,FALSE),"0")</f>
        <v>0</v>
      </c>
      <c r="G423" s="61" t="str">
        <f>IFERROR(VLOOKUP(B423,TOLSEN!A:D,4,FALSE),"0")</f>
        <v>0</v>
      </c>
      <c r="H423" s="62" t="str">
        <f>IFERROR(VLOOKUP(B423,TOLSEN!A:K,6,FALSE),"0")</f>
        <v>0</v>
      </c>
      <c r="I423" s="62" t="str">
        <f>IFERROR(VLOOKUP(B423,TOLSEN!A:AC,7,FALSE),"0")</f>
        <v>0</v>
      </c>
      <c r="J423" s="63">
        <f t="shared" si="12"/>
        <v>0</v>
      </c>
      <c r="K423" s="107" t="e">
        <f t="shared" si="13"/>
        <v>#VALUE!</v>
      </c>
      <c r="L423" s="148">
        <f>IFERROR(VLOOKUP($B423,TOLSEN!A:I,8,FALSE),0)</f>
        <v>0</v>
      </c>
      <c r="M423" s="148">
        <f>IFERROR(VLOOKUP($B423,TOLSEN!A:K,9,FALSE),0)</f>
        <v>0</v>
      </c>
      <c r="N423" s="94" t="str">
        <f>IFERROR(VLOOKUP(B423,TOLSEN!A:K,5,FALSE)," ")</f>
        <v xml:space="preserve"> </v>
      </c>
      <c r="O423" s="161" t="str">
        <f>IFERROR(VLOOKUP($B423,TOLSEN!$A:$K,10,FALSE)," ")</f>
        <v xml:space="preserve"> </v>
      </c>
      <c r="P423" s="161" t="str">
        <f>IFERROR(VLOOKUP($B423,TOLSEN!$A:$K,11,FALSE)," ")</f>
        <v xml:space="preserve"> </v>
      </c>
    </row>
    <row r="424" spans="2:16" ht="52.5" customHeight="1">
      <c r="B424" s="26"/>
      <c r="C424" s="138"/>
      <c r="D424" s="94"/>
      <c r="E424" s="94"/>
      <c r="F424" s="60" t="str">
        <f>IFERROR(VLOOKUP(B424,TOLSEN!A:D,3,FALSE),"0")</f>
        <v>0</v>
      </c>
      <c r="G424" s="61" t="str">
        <f>IFERROR(VLOOKUP(B424,TOLSEN!A:D,4,FALSE),"0")</f>
        <v>0</v>
      </c>
      <c r="H424" s="62" t="str">
        <f>IFERROR(VLOOKUP(B424,TOLSEN!A:K,6,FALSE),"0")</f>
        <v>0</v>
      </c>
      <c r="I424" s="62" t="str">
        <f>IFERROR(VLOOKUP(B424,TOLSEN!A:AC,7,FALSE),"0")</f>
        <v>0</v>
      </c>
      <c r="J424" s="63">
        <f t="shared" si="12"/>
        <v>0</v>
      </c>
      <c r="K424" s="107" t="e">
        <f t="shared" si="13"/>
        <v>#VALUE!</v>
      </c>
      <c r="L424" s="148">
        <f>IFERROR(VLOOKUP($B424,TOLSEN!A:I,8,FALSE),0)</f>
        <v>0</v>
      </c>
      <c r="M424" s="148">
        <f>IFERROR(VLOOKUP($B424,TOLSEN!A:K,9,FALSE),0)</f>
        <v>0</v>
      </c>
      <c r="N424" s="94" t="str">
        <f>IFERROR(VLOOKUP(B424,TOLSEN!A:K,5,FALSE)," ")</f>
        <v xml:space="preserve"> </v>
      </c>
      <c r="O424" s="161" t="str">
        <f>IFERROR(VLOOKUP($B424,TOLSEN!$A:$K,10,FALSE)," ")</f>
        <v xml:space="preserve"> </v>
      </c>
      <c r="P424" s="161" t="str">
        <f>IFERROR(VLOOKUP($B424,TOLSEN!$A:$K,11,FALSE)," ")</f>
        <v xml:space="preserve"> </v>
      </c>
    </row>
    <row r="425" spans="2:16" ht="52.5" customHeight="1">
      <c r="B425" s="26"/>
      <c r="C425" s="137"/>
      <c r="D425" s="94"/>
      <c r="E425" s="94"/>
      <c r="F425" s="60" t="str">
        <f>IFERROR(VLOOKUP(B425,TOLSEN!A:D,3,FALSE),"0")</f>
        <v>0</v>
      </c>
      <c r="G425" s="61" t="str">
        <f>IFERROR(VLOOKUP(B425,TOLSEN!A:D,4,FALSE),"0")</f>
        <v>0</v>
      </c>
      <c r="H425" s="62" t="str">
        <f>IFERROR(VLOOKUP(B425,TOLSEN!A:K,6,FALSE),"0")</f>
        <v>0</v>
      </c>
      <c r="I425" s="62" t="str">
        <f>IFERROR(VLOOKUP(B425,TOLSEN!A:AC,7,FALSE),"0")</f>
        <v>0</v>
      </c>
      <c r="J425" s="63">
        <f t="shared" si="12"/>
        <v>0</v>
      </c>
      <c r="K425" s="107" t="e">
        <f t="shared" si="13"/>
        <v>#VALUE!</v>
      </c>
      <c r="L425" s="148">
        <f>IFERROR(VLOOKUP($B425,TOLSEN!A:I,8,FALSE),0)</f>
        <v>0</v>
      </c>
      <c r="M425" s="148">
        <f>IFERROR(VLOOKUP($B425,TOLSEN!A:K,9,FALSE),0)</f>
        <v>0</v>
      </c>
      <c r="N425" s="94" t="str">
        <f>IFERROR(VLOOKUP(B425,TOLSEN!A:K,5,FALSE)," ")</f>
        <v xml:space="preserve"> </v>
      </c>
      <c r="O425" s="161" t="str">
        <f>IFERROR(VLOOKUP($B425,TOLSEN!$A:$K,10,FALSE)," ")</f>
        <v xml:space="preserve"> </v>
      </c>
      <c r="P425" s="161" t="str">
        <f>IFERROR(VLOOKUP($B425,TOLSEN!$A:$K,11,FALSE)," ")</f>
        <v xml:space="preserve"> </v>
      </c>
    </row>
    <row r="426" spans="2:16" ht="52.5" customHeight="1">
      <c r="B426" s="26"/>
      <c r="C426" s="138"/>
      <c r="D426" s="94"/>
      <c r="E426" s="94"/>
      <c r="F426" s="60" t="str">
        <f>IFERROR(VLOOKUP(B426,TOLSEN!A:D,3,FALSE),"0")</f>
        <v>0</v>
      </c>
      <c r="G426" s="61" t="str">
        <f>IFERROR(VLOOKUP(B426,TOLSEN!A:D,4,FALSE),"0")</f>
        <v>0</v>
      </c>
      <c r="H426" s="62" t="str">
        <f>IFERROR(VLOOKUP(B426,TOLSEN!A:K,6,FALSE),"0")</f>
        <v>0</v>
      </c>
      <c r="I426" s="62" t="str">
        <f>IFERROR(VLOOKUP(B426,TOLSEN!A:AC,7,FALSE),"0")</f>
        <v>0</v>
      </c>
      <c r="J426" s="63">
        <f t="shared" si="12"/>
        <v>0</v>
      </c>
      <c r="K426" s="107" t="e">
        <f t="shared" si="13"/>
        <v>#VALUE!</v>
      </c>
      <c r="L426" s="148">
        <f>IFERROR(VLOOKUP($B426,TOLSEN!A:I,8,FALSE),0)</f>
        <v>0</v>
      </c>
      <c r="M426" s="148">
        <f>IFERROR(VLOOKUP($B426,TOLSEN!A:K,9,FALSE),0)</f>
        <v>0</v>
      </c>
      <c r="N426" s="94" t="str">
        <f>IFERROR(VLOOKUP(B426,TOLSEN!A:K,5,FALSE)," ")</f>
        <v xml:space="preserve"> </v>
      </c>
      <c r="O426" s="161" t="str">
        <f>IFERROR(VLOOKUP($B426,TOLSEN!$A:$K,10,FALSE)," ")</f>
        <v xml:space="preserve"> </v>
      </c>
      <c r="P426" s="161" t="str">
        <f>IFERROR(VLOOKUP($B426,TOLSEN!$A:$K,11,FALSE)," ")</f>
        <v xml:space="preserve"> </v>
      </c>
    </row>
    <row r="427" spans="2:16" ht="52.5" customHeight="1">
      <c r="B427" s="26"/>
      <c r="C427" s="137"/>
      <c r="D427" s="94"/>
      <c r="E427" s="94"/>
      <c r="F427" s="60" t="str">
        <f>IFERROR(VLOOKUP(B427,TOLSEN!A:D,3,FALSE),"0")</f>
        <v>0</v>
      </c>
      <c r="G427" s="61" t="str">
        <f>IFERROR(VLOOKUP(B427,TOLSEN!A:D,4,FALSE),"0")</f>
        <v>0</v>
      </c>
      <c r="H427" s="62" t="str">
        <f>IFERROR(VLOOKUP(B427,TOLSEN!A:K,6,FALSE),"0")</f>
        <v>0</v>
      </c>
      <c r="I427" s="62" t="str">
        <f>IFERROR(VLOOKUP(B427,TOLSEN!A:AC,7,FALSE),"0")</f>
        <v>0</v>
      </c>
      <c r="J427" s="63">
        <f t="shared" si="12"/>
        <v>0</v>
      </c>
      <c r="K427" s="107" t="e">
        <f t="shared" si="13"/>
        <v>#VALUE!</v>
      </c>
      <c r="L427" s="148">
        <f>IFERROR(VLOOKUP($B427,TOLSEN!A:I,8,FALSE),0)</f>
        <v>0</v>
      </c>
      <c r="M427" s="148">
        <f>IFERROR(VLOOKUP($B427,TOLSEN!A:K,9,FALSE),0)</f>
        <v>0</v>
      </c>
      <c r="N427" s="94" t="str">
        <f>IFERROR(VLOOKUP(B427,TOLSEN!A:K,5,FALSE)," ")</f>
        <v xml:space="preserve"> </v>
      </c>
      <c r="O427" s="161" t="str">
        <f>IFERROR(VLOOKUP($B427,TOLSEN!$A:$K,10,FALSE)," ")</f>
        <v xml:space="preserve"> </v>
      </c>
      <c r="P427" s="161" t="str">
        <f>IFERROR(VLOOKUP($B427,TOLSEN!$A:$K,11,FALSE)," ")</f>
        <v xml:space="preserve"> </v>
      </c>
    </row>
    <row r="428" spans="2:16" ht="52.5" customHeight="1">
      <c r="B428" s="26"/>
      <c r="C428" s="138"/>
      <c r="D428" s="94"/>
      <c r="E428" s="94"/>
      <c r="F428" s="60" t="str">
        <f>IFERROR(VLOOKUP(B428,TOLSEN!A:D,3,FALSE),"0")</f>
        <v>0</v>
      </c>
      <c r="G428" s="61" t="str">
        <f>IFERROR(VLOOKUP(B428,TOLSEN!A:D,4,FALSE),"0")</f>
        <v>0</v>
      </c>
      <c r="H428" s="62" t="str">
        <f>IFERROR(VLOOKUP(B428,TOLSEN!A:K,6,FALSE),"0")</f>
        <v>0</v>
      </c>
      <c r="I428" s="62" t="str">
        <f>IFERROR(VLOOKUP(B428,TOLSEN!A:AC,7,FALSE),"0")</f>
        <v>0</v>
      </c>
      <c r="J428" s="63">
        <f t="shared" si="12"/>
        <v>0</v>
      </c>
      <c r="K428" s="107" t="e">
        <f t="shared" si="13"/>
        <v>#VALUE!</v>
      </c>
      <c r="L428" s="148">
        <f>IFERROR(VLOOKUP($B428,TOLSEN!A:I,8,FALSE),0)</f>
        <v>0</v>
      </c>
      <c r="M428" s="148">
        <f>IFERROR(VLOOKUP($B428,TOLSEN!A:K,9,FALSE),0)</f>
        <v>0</v>
      </c>
      <c r="N428" s="94" t="str">
        <f>IFERROR(VLOOKUP(B428,TOLSEN!A:K,5,FALSE)," ")</f>
        <v xml:space="preserve"> </v>
      </c>
      <c r="O428" s="161" t="str">
        <f>IFERROR(VLOOKUP($B428,TOLSEN!$A:$K,10,FALSE)," ")</f>
        <v xml:space="preserve"> </v>
      </c>
      <c r="P428" s="161" t="str">
        <f>IFERROR(VLOOKUP($B428,TOLSEN!$A:$K,11,FALSE)," ")</f>
        <v xml:space="preserve"> </v>
      </c>
    </row>
    <row r="429" spans="2:16" ht="52.5" customHeight="1">
      <c r="B429" s="26"/>
      <c r="C429" s="137"/>
      <c r="D429" s="94"/>
      <c r="E429" s="94"/>
      <c r="F429" s="60" t="str">
        <f>IFERROR(VLOOKUP(B429,TOLSEN!A:D,3,FALSE),"0")</f>
        <v>0</v>
      </c>
      <c r="G429" s="61" t="str">
        <f>IFERROR(VLOOKUP(B429,TOLSEN!A:D,4,FALSE),"0")</f>
        <v>0</v>
      </c>
      <c r="H429" s="62" t="str">
        <f>IFERROR(VLOOKUP(B429,TOLSEN!A:K,6,FALSE),"0")</f>
        <v>0</v>
      </c>
      <c r="I429" s="62" t="str">
        <f>IFERROR(VLOOKUP(B429,TOLSEN!A:AC,7,FALSE),"0")</f>
        <v>0</v>
      </c>
      <c r="J429" s="63">
        <f t="shared" si="12"/>
        <v>0</v>
      </c>
      <c r="K429" s="107" t="e">
        <f t="shared" si="13"/>
        <v>#VALUE!</v>
      </c>
      <c r="L429" s="148">
        <f>IFERROR(VLOOKUP($B429,TOLSEN!A:I,8,FALSE),0)</f>
        <v>0</v>
      </c>
      <c r="M429" s="148">
        <f>IFERROR(VLOOKUP($B429,TOLSEN!A:K,9,FALSE),0)</f>
        <v>0</v>
      </c>
      <c r="N429" s="94" t="str">
        <f>IFERROR(VLOOKUP(B429,TOLSEN!A:K,5,FALSE)," ")</f>
        <v xml:space="preserve"> </v>
      </c>
      <c r="O429" s="161" t="str">
        <f>IFERROR(VLOOKUP($B429,TOLSEN!$A:$K,10,FALSE)," ")</f>
        <v xml:space="preserve"> </v>
      </c>
      <c r="P429" s="161" t="str">
        <f>IFERROR(VLOOKUP($B429,TOLSEN!$A:$K,11,FALSE)," ")</f>
        <v xml:space="preserve"> </v>
      </c>
    </row>
    <row r="430" spans="2:16" ht="52.5" customHeight="1">
      <c r="B430" s="26"/>
      <c r="C430" s="139"/>
      <c r="D430" s="94"/>
      <c r="E430" s="94"/>
      <c r="F430" s="60" t="str">
        <f>IFERROR(VLOOKUP(B430,TOLSEN!A:D,3,FALSE),"0")</f>
        <v>0</v>
      </c>
      <c r="G430" s="61" t="str">
        <f>IFERROR(VLOOKUP(B430,TOLSEN!A:D,4,FALSE),"0")</f>
        <v>0</v>
      </c>
      <c r="H430" s="62" t="str">
        <f>IFERROR(VLOOKUP(B430,TOLSEN!A:K,6,FALSE),"0")</f>
        <v>0</v>
      </c>
      <c r="I430" s="62" t="str">
        <f>IFERROR(VLOOKUP(B430,TOLSEN!A:AC,7,FALSE),"0")</f>
        <v>0</v>
      </c>
      <c r="J430" s="63">
        <f t="shared" si="12"/>
        <v>0</v>
      </c>
      <c r="K430" s="107" t="e">
        <f t="shared" si="13"/>
        <v>#VALUE!</v>
      </c>
      <c r="L430" s="148">
        <f>IFERROR(VLOOKUP($B430,TOLSEN!A:I,8,FALSE),0)</f>
        <v>0</v>
      </c>
      <c r="M430" s="148">
        <f>IFERROR(VLOOKUP($B430,TOLSEN!A:K,9,FALSE),0)</f>
        <v>0</v>
      </c>
      <c r="N430" s="94" t="str">
        <f>IFERROR(VLOOKUP(B430,TOLSEN!A:K,5,FALSE)," ")</f>
        <v xml:space="preserve"> </v>
      </c>
      <c r="O430" s="161" t="str">
        <f>IFERROR(VLOOKUP($B430,TOLSEN!$A:$K,10,FALSE)," ")</f>
        <v xml:space="preserve"> </v>
      </c>
      <c r="P430" s="161" t="str">
        <f>IFERROR(VLOOKUP($B430,TOLSEN!$A:$K,11,FALSE)," ")</f>
        <v xml:space="preserve"> </v>
      </c>
    </row>
    <row r="431" spans="2:16" ht="52.5" customHeight="1">
      <c r="B431" s="26"/>
      <c r="C431" s="137"/>
      <c r="D431" s="94"/>
      <c r="E431" s="94"/>
      <c r="F431" s="60" t="str">
        <f>IFERROR(VLOOKUP(B431,TOLSEN!A:D,3,FALSE),"0")</f>
        <v>0</v>
      </c>
      <c r="G431" s="61" t="str">
        <f>IFERROR(VLOOKUP(B431,TOLSEN!A:D,4,FALSE),"0")</f>
        <v>0</v>
      </c>
      <c r="H431" s="62" t="str">
        <f>IFERROR(VLOOKUP(B431,TOLSEN!A:K,6,FALSE),"0")</f>
        <v>0</v>
      </c>
      <c r="I431" s="62" t="str">
        <f>IFERROR(VLOOKUP(B431,TOLSEN!A:AC,7,FALSE),"0")</f>
        <v>0</v>
      </c>
      <c r="J431" s="63">
        <f t="shared" si="12"/>
        <v>0</v>
      </c>
      <c r="K431" s="107" t="e">
        <f t="shared" si="13"/>
        <v>#VALUE!</v>
      </c>
      <c r="L431" s="148">
        <f>IFERROR(VLOOKUP($B431,TOLSEN!A:I,8,FALSE),0)</f>
        <v>0</v>
      </c>
      <c r="M431" s="148">
        <f>IFERROR(VLOOKUP($B431,TOLSEN!A:K,9,FALSE),0)</f>
        <v>0</v>
      </c>
      <c r="N431" s="94" t="str">
        <f>IFERROR(VLOOKUP(B431,TOLSEN!A:K,5,FALSE)," ")</f>
        <v xml:space="preserve"> </v>
      </c>
      <c r="O431" s="161" t="str">
        <f>IFERROR(VLOOKUP($B431,TOLSEN!$A:$K,10,FALSE)," ")</f>
        <v xml:space="preserve"> </v>
      </c>
      <c r="P431" s="161" t="str">
        <f>IFERROR(VLOOKUP($B431,TOLSEN!$A:$K,11,FALSE)," ")</f>
        <v xml:space="preserve"> </v>
      </c>
    </row>
    <row r="432" spans="2:16" ht="52.5" customHeight="1">
      <c r="B432" s="26"/>
      <c r="C432" s="138"/>
      <c r="D432" s="94"/>
      <c r="E432" s="94"/>
      <c r="F432" s="60" t="str">
        <f>IFERROR(VLOOKUP(B432,TOLSEN!A:D,3,FALSE),"0")</f>
        <v>0</v>
      </c>
      <c r="G432" s="61" t="str">
        <f>IFERROR(VLOOKUP(B432,TOLSEN!A:D,4,FALSE),"0")</f>
        <v>0</v>
      </c>
      <c r="H432" s="62" t="str">
        <f>IFERROR(VLOOKUP(B432,TOLSEN!A:K,6,FALSE),"0")</f>
        <v>0</v>
      </c>
      <c r="I432" s="62" t="str">
        <f>IFERROR(VLOOKUP(B432,TOLSEN!A:AC,7,FALSE),"0")</f>
        <v>0</v>
      </c>
      <c r="J432" s="63">
        <f t="shared" si="12"/>
        <v>0</v>
      </c>
      <c r="K432" s="107" t="e">
        <f t="shared" si="13"/>
        <v>#VALUE!</v>
      </c>
      <c r="L432" s="148">
        <f>IFERROR(VLOOKUP($B432,TOLSEN!A:I,8,FALSE),0)</f>
        <v>0</v>
      </c>
      <c r="M432" s="148">
        <f>IFERROR(VLOOKUP($B432,TOLSEN!A:K,9,FALSE),0)</f>
        <v>0</v>
      </c>
      <c r="N432" s="94" t="str">
        <f>IFERROR(VLOOKUP(B432,TOLSEN!A:K,5,FALSE)," ")</f>
        <v xml:space="preserve"> </v>
      </c>
      <c r="O432" s="161" t="str">
        <f>IFERROR(VLOOKUP($B432,TOLSEN!$A:$K,10,FALSE)," ")</f>
        <v xml:space="preserve"> </v>
      </c>
      <c r="P432" s="161" t="str">
        <f>IFERROR(VLOOKUP($B432,TOLSEN!$A:$K,11,FALSE)," ")</f>
        <v xml:space="preserve"> </v>
      </c>
    </row>
    <row r="433" spans="2:16" ht="52.5" customHeight="1">
      <c r="B433" s="26"/>
      <c r="C433" s="137"/>
      <c r="D433" s="94"/>
      <c r="E433" s="94"/>
      <c r="F433" s="60" t="str">
        <f>IFERROR(VLOOKUP(B433,TOLSEN!A:D,3,FALSE),"0")</f>
        <v>0</v>
      </c>
      <c r="G433" s="61" t="str">
        <f>IFERROR(VLOOKUP(B433,TOLSEN!A:D,4,FALSE),"0")</f>
        <v>0</v>
      </c>
      <c r="H433" s="62" t="str">
        <f>IFERROR(VLOOKUP(B433,TOLSEN!A:K,6,FALSE),"0")</f>
        <v>0</v>
      </c>
      <c r="I433" s="62" t="str">
        <f>IFERROR(VLOOKUP(B433,TOLSEN!A:AC,7,FALSE),"0")</f>
        <v>0</v>
      </c>
      <c r="J433" s="63">
        <f t="shared" si="12"/>
        <v>0</v>
      </c>
      <c r="K433" s="107" t="e">
        <f t="shared" si="13"/>
        <v>#VALUE!</v>
      </c>
      <c r="L433" s="148">
        <f>IFERROR(VLOOKUP($B433,TOLSEN!A:I,8,FALSE),0)</f>
        <v>0</v>
      </c>
      <c r="M433" s="148">
        <f>IFERROR(VLOOKUP($B433,TOLSEN!A:K,9,FALSE),0)</f>
        <v>0</v>
      </c>
      <c r="N433" s="94" t="str">
        <f>IFERROR(VLOOKUP(B433,TOLSEN!A:K,5,FALSE)," ")</f>
        <v xml:space="preserve"> </v>
      </c>
      <c r="O433" s="161" t="str">
        <f>IFERROR(VLOOKUP($B433,TOLSEN!$A:$K,10,FALSE)," ")</f>
        <v xml:space="preserve"> </v>
      </c>
      <c r="P433" s="161" t="str">
        <f>IFERROR(VLOOKUP($B433,TOLSEN!$A:$K,11,FALSE)," ")</f>
        <v xml:space="preserve"> </v>
      </c>
    </row>
    <row r="434" spans="2:16" ht="52.5" customHeight="1">
      <c r="B434" s="26"/>
      <c r="C434" s="138"/>
      <c r="D434" s="94"/>
      <c r="E434" s="94"/>
      <c r="F434" s="60" t="str">
        <f>IFERROR(VLOOKUP(B434,TOLSEN!A:D,3,FALSE),"0")</f>
        <v>0</v>
      </c>
      <c r="G434" s="61" t="str">
        <f>IFERROR(VLOOKUP(B434,TOLSEN!A:D,4,FALSE),"0")</f>
        <v>0</v>
      </c>
      <c r="H434" s="62" t="str">
        <f>IFERROR(VLOOKUP(B434,TOLSEN!A:K,6,FALSE),"0")</f>
        <v>0</v>
      </c>
      <c r="I434" s="62" t="str">
        <f>IFERROR(VLOOKUP(B434,TOLSEN!A:AC,7,FALSE),"0")</f>
        <v>0</v>
      </c>
      <c r="J434" s="63">
        <f t="shared" si="12"/>
        <v>0</v>
      </c>
      <c r="K434" s="107" t="e">
        <f t="shared" si="13"/>
        <v>#VALUE!</v>
      </c>
      <c r="L434" s="148">
        <f>IFERROR(VLOOKUP($B434,TOLSEN!A:I,8,FALSE),0)</f>
        <v>0</v>
      </c>
      <c r="M434" s="148">
        <f>IFERROR(VLOOKUP($B434,TOLSEN!A:K,9,FALSE),0)</f>
        <v>0</v>
      </c>
      <c r="N434" s="94" t="str">
        <f>IFERROR(VLOOKUP(B434,TOLSEN!A:K,5,FALSE)," ")</f>
        <v xml:space="preserve"> </v>
      </c>
      <c r="O434" s="161" t="str">
        <f>IFERROR(VLOOKUP($B434,TOLSEN!$A:$K,10,FALSE)," ")</f>
        <v xml:space="preserve"> </v>
      </c>
      <c r="P434" s="161" t="str">
        <f>IFERROR(VLOOKUP($B434,TOLSEN!$A:$K,11,FALSE)," ")</f>
        <v xml:space="preserve"> </v>
      </c>
    </row>
    <row r="435" spans="2:16" ht="52.5" customHeight="1">
      <c r="B435" s="26"/>
      <c r="C435" s="137"/>
      <c r="D435" s="94"/>
      <c r="E435" s="94"/>
      <c r="F435" s="60" t="str">
        <f>IFERROR(VLOOKUP(B435,TOLSEN!A:D,3,FALSE),"0")</f>
        <v>0</v>
      </c>
      <c r="G435" s="61" t="str">
        <f>IFERROR(VLOOKUP(B435,TOLSEN!A:D,4,FALSE),"0")</f>
        <v>0</v>
      </c>
      <c r="H435" s="62" t="str">
        <f>IFERROR(VLOOKUP(B435,TOLSEN!A:K,6,FALSE),"0")</f>
        <v>0</v>
      </c>
      <c r="I435" s="62" t="str">
        <f>IFERROR(VLOOKUP(B435,TOLSEN!A:AC,7,FALSE),"0")</f>
        <v>0</v>
      </c>
      <c r="J435" s="63">
        <f t="shared" si="12"/>
        <v>0</v>
      </c>
      <c r="K435" s="107" t="e">
        <f t="shared" si="13"/>
        <v>#VALUE!</v>
      </c>
      <c r="L435" s="148">
        <f>IFERROR(VLOOKUP($B435,TOLSEN!A:I,8,FALSE),0)</f>
        <v>0</v>
      </c>
      <c r="M435" s="148">
        <f>IFERROR(VLOOKUP($B435,TOLSEN!A:K,9,FALSE),0)</f>
        <v>0</v>
      </c>
      <c r="N435" s="94" t="str">
        <f>IFERROR(VLOOKUP(B435,TOLSEN!A:K,5,FALSE)," ")</f>
        <v xml:space="preserve"> </v>
      </c>
      <c r="O435" s="161" t="str">
        <f>IFERROR(VLOOKUP($B435,TOLSEN!$A:$K,10,FALSE)," ")</f>
        <v xml:space="preserve"> </v>
      </c>
      <c r="P435" s="161" t="str">
        <f>IFERROR(VLOOKUP($B435,TOLSEN!$A:$K,11,FALSE)," ")</f>
        <v xml:space="preserve"> </v>
      </c>
    </row>
    <row r="436" spans="2:16" ht="52.5" customHeight="1">
      <c r="B436" s="26"/>
      <c r="C436" s="138"/>
      <c r="D436" s="94"/>
      <c r="E436" s="94"/>
      <c r="F436" s="60" t="str">
        <f>IFERROR(VLOOKUP(B436,TOLSEN!A:D,3,FALSE),"0")</f>
        <v>0</v>
      </c>
      <c r="G436" s="61" t="str">
        <f>IFERROR(VLOOKUP(B436,TOLSEN!A:D,4,FALSE),"0")</f>
        <v>0</v>
      </c>
      <c r="H436" s="62" t="str">
        <f>IFERROR(VLOOKUP(B436,TOLSEN!A:K,6,FALSE),"0")</f>
        <v>0</v>
      </c>
      <c r="I436" s="62" t="str">
        <f>IFERROR(VLOOKUP(B436,TOLSEN!A:AC,7,FALSE),"0")</f>
        <v>0</v>
      </c>
      <c r="J436" s="63">
        <f t="shared" si="12"/>
        <v>0</v>
      </c>
      <c r="K436" s="107" t="e">
        <f t="shared" si="13"/>
        <v>#VALUE!</v>
      </c>
      <c r="L436" s="148">
        <f>IFERROR(VLOOKUP($B436,TOLSEN!A:I,8,FALSE),0)</f>
        <v>0</v>
      </c>
      <c r="M436" s="148">
        <f>IFERROR(VLOOKUP($B436,TOLSEN!A:K,9,FALSE),0)</f>
        <v>0</v>
      </c>
      <c r="N436" s="94" t="str">
        <f>IFERROR(VLOOKUP(B436,TOLSEN!A:K,5,FALSE)," ")</f>
        <v xml:space="preserve"> </v>
      </c>
      <c r="O436" s="161" t="str">
        <f>IFERROR(VLOOKUP($B436,TOLSEN!$A:$K,10,FALSE)," ")</f>
        <v xml:space="preserve"> </v>
      </c>
      <c r="P436" s="161" t="str">
        <f>IFERROR(VLOOKUP($B436,TOLSEN!$A:$K,11,FALSE)," ")</f>
        <v xml:space="preserve"> </v>
      </c>
    </row>
    <row r="437" spans="2:16" ht="52.5" customHeight="1">
      <c r="B437" s="26"/>
      <c r="C437" s="137"/>
      <c r="D437" s="94"/>
      <c r="E437" s="94"/>
      <c r="F437" s="60" t="str">
        <f>IFERROR(VLOOKUP(B437,TOLSEN!A:D,3,FALSE),"0")</f>
        <v>0</v>
      </c>
      <c r="G437" s="61" t="str">
        <f>IFERROR(VLOOKUP(B437,TOLSEN!A:D,4,FALSE),"0")</f>
        <v>0</v>
      </c>
      <c r="H437" s="62" t="str">
        <f>IFERROR(VLOOKUP(B437,TOLSEN!A:K,6,FALSE),"0")</f>
        <v>0</v>
      </c>
      <c r="I437" s="62" t="str">
        <f>IFERROR(VLOOKUP(B437,TOLSEN!A:AC,7,FALSE),"0")</f>
        <v>0</v>
      </c>
      <c r="J437" s="63">
        <f t="shared" si="12"/>
        <v>0</v>
      </c>
      <c r="K437" s="107" t="e">
        <f t="shared" si="13"/>
        <v>#VALUE!</v>
      </c>
      <c r="L437" s="148">
        <f>IFERROR(VLOOKUP($B437,TOLSEN!A:I,8,FALSE),0)</f>
        <v>0</v>
      </c>
      <c r="M437" s="148">
        <f>IFERROR(VLOOKUP($B437,TOLSEN!A:K,9,FALSE),0)</f>
        <v>0</v>
      </c>
      <c r="N437" s="94" t="str">
        <f>IFERROR(VLOOKUP(B437,TOLSEN!A:K,5,FALSE)," ")</f>
        <v xml:space="preserve"> </v>
      </c>
      <c r="O437" s="161" t="str">
        <f>IFERROR(VLOOKUP($B437,TOLSEN!$A:$K,10,FALSE)," ")</f>
        <v xml:space="preserve"> </v>
      </c>
      <c r="P437" s="161" t="str">
        <f>IFERROR(VLOOKUP($B437,TOLSEN!$A:$K,11,FALSE)," ")</f>
        <v xml:space="preserve"> </v>
      </c>
    </row>
    <row r="438" spans="2:16" ht="52.5" customHeight="1">
      <c r="B438" s="26"/>
      <c r="C438" s="138"/>
      <c r="D438" s="94"/>
      <c r="E438" s="94"/>
      <c r="F438" s="60" t="str">
        <f>IFERROR(VLOOKUP(B438,TOLSEN!A:D,3,FALSE),"0")</f>
        <v>0</v>
      </c>
      <c r="G438" s="61" t="str">
        <f>IFERROR(VLOOKUP(B438,TOLSEN!A:D,4,FALSE),"0")</f>
        <v>0</v>
      </c>
      <c r="H438" s="62" t="str">
        <f>IFERROR(VLOOKUP(B438,TOLSEN!A:K,6,FALSE),"0")</f>
        <v>0</v>
      </c>
      <c r="I438" s="62" t="str">
        <f>IFERROR(VLOOKUP(B438,TOLSEN!A:AC,7,FALSE),"0")</f>
        <v>0</v>
      </c>
      <c r="J438" s="63">
        <f t="shared" si="12"/>
        <v>0</v>
      </c>
      <c r="K438" s="107" t="e">
        <f t="shared" si="13"/>
        <v>#VALUE!</v>
      </c>
      <c r="L438" s="148">
        <f>IFERROR(VLOOKUP($B438,TOLSEN!A:I,8,FALSE),0)</f>
        <v>0</v>
      </c>
      <c r="M438" s="148">
        <f>IFERROR(VLOOKUP($B438,TOLSEN!A:K,9,FALSE),0)</f>
        <v>0</v>
      </c>
      <c r="N438" s="94" t="str">
        <f>IFERROR(VLOOKUP(B438,TOLSEN!A:K,5,FALSE)," ")</f>
        <v xml:space="preserve"> </v>
      </c>
      <c r="O438" s="161" t="str">
        <f>IFERROR(VLOOKUP($B438,TOLSEN!$A:$K,10,FALSE)," ")</f>
        <v xml:space="preserve"> </v>
      </c>
      <c r="P438" s="161" t="str">
        <f>IFERROR(VLOOKUP($B438,TOLSEN!$A:$K,11,FALSE)," ")</f>
        <v xml:space="preserve"> </v>
      </c>
    </row>
    <row r="439" spans="2:16" ht="52.5" customHeight="1">
      <c r="B439" s="26"/>
      <c r="C439" s="137"/>
      <c r="D439" s="94"/>
      <c r="E439" s="94"/>
      <c r="F439" s="60" t="str">
        <f>IFERROR(VLOOKUP(B439,TOLSEN!A:D,3,FALSE),"0")</f>
        <v>0</v>
      </c>
      <c r="G439" s="61" t="str">
        <f>IFERROR(VLOOKUP(B439,TOLSEN!A:D,4,FALSE),"0")</f>
        <v>0</v>
      </c>
      <c r="H439" s="62" t="str">
        <f>IFERROR(VLOOKUP(B439,TOLSEN!A:K,6,FALSE),"0")</f>
        <v>0</v>
      </c>
      <c r="I439" s="62" t="str">
        <f>IFERROR(VLOOKUP(B439,TOLSEN!A:AC,7,FALSE),"0")</f>
        <v>0</v>
      </c>
      <c r="J439" s="63">
        <f t="shared" si="12"/>
        <v>0</v>
      </c>
      <c r="K439" s="107" t="e">
        <f t="shared" si="13"/>
        <v>#VALUE!</v>
      </c>
      <c r="L439" s="148">
        <f>IFERROR(VLOOKUP($B439,TOLSEN!A:I,8,FALSE),0)</f>
        <v>0</v>
      </c>
      <c r="M439" s="148">
        <f>IFERROR(VLOOKUP($B439,TOLSEN!A:K,9,FALSE),0)</f>
        <v>0</v>
      </c>
      <c r="N439" s="94" t="str">
        <f>IFERROR(VLOOKUP(B439,TOLSEN!A:K,5,FALSE)," ")</f>
        <v xml:space="preserve"> </v>
      </c>
      <c r="O439" s="161" t="str">
        <f>IFERROR(VLOOKUP($B439,TOLSEN!$A:$K,10,FALSE)," ")</f>
        <v xml:space="preserve"> </v>
      </c>
      <c r="P439" s="161" t="str">
        <f>IFERROR(VLOOKUP($B439,TOLSEN!$A:$K,11,FALSE)," ")</f>
        <v xml:space="preserve"> </v>
      </c>
    </row>
    <row r="440" spans="2:16" ht="52.5" customHeight="1">
      <c r="B440" s="26"/>
      <c r="C440" s="138"/>
      <c r="D440" s="94"/>
      <c r="E440" s="94"/>
      <c r="F440" s="60" t="str">
        <f>IFERROR(VLOOKUP(B440,TOLSEN!A:D,3,FALSE),"0")</f>
        <v>0</v>
      </c>
      <c r="G440" s="61" t="str">
        <f>IFERROR(VLOOKUP(B440,TOLSEN!A:D,4,FALSE),"0")</f>
        <v>0</v>
      </c>
      <c r="H440" s="62" t="str">
        <f>IFERROR(VLOOKUP(B440,TOLSEN!A:K,6,FALSE),"0")</f>
        <v>0</v>
      </c>
      <c r="I440" s="62" t="str">
        <f>IFERROR(VLOOKUP(B440,TOLSEN!A:AC,7,FALSE),"0")</f>
        <v>0</v>
      </c>
      <c r="J440" s="63">
        <f t="shared" si="12"/>
        <v>0</v>
      </c>
      <c r="K440" s="107" t="e">
        <f t="shared" si="13"/>
        <v>#VALUE!</v>
      </c>
      <c r="L440" s="148">
        <f>IFERROR(VLOOKUP($B440,TOLSEN!A:I,8,FALSE),0)</f>
        <v>0</v>
      </c>
      <c r="M440" s="148">
        <f>IFERROR(VLOOKUP($B440,TOLSEN!A:K,9,FALSE),0)</f>
        <v>0</v>
      </c>
      <c r="N440" s="94" t="str">
        <f>IFERROR(VLOOKUP(B440,TOLSEN!A:K,5,FALSE)," ")</f>
        <v xml:space="preserve"> </v>
      </c>
      <c r="O440" s="161" t="str">
        <f>IFERROR(VLOOKUP($B440,TOLSEN!$A:$K,10,FALSE)," ")</f>
        <v xml:space="preserve"> </v>
      </c>
      <c r="P440" s="161" t="str">
        <f>IFERROR(VLOOKUP($B440,TOLSEN!$A:$K,11,FALSE)," ")</f>
        <v xml:space="preserve"> </v>
      </c>
    </row>
    <row r="441" spans="2:16" ht="52.5" customHeight="1">
      <c r="B441" s="26"/>
      <c r="C441" s="137"/>
      <c r="D441" s="94"/>
      <c r="E441" s="94"/>
      <c r="F441" s="60" t="str">
        <f>IFERROR(VLOOKUP(B441,TOLSEN!A:D,3,FALSE),"0")</f>
        <v>0</v>
      </c>
      <c r="G441" s="61" t="str">
        <f>IFERROR(VLOOKUP(B441,TOLSEN!A:D,4,FALSE),"0")</f>
        <v>0</v>
      </c>
      <c r="H441" s="62" t="str">
        <f>IFERROR(VLOOKUP(B441,TOLSEN!A:K,6,FALSE),"0")</f>
        <v>0</v>
      </c>
      <c r="I441" s="62" t="str">
        <f>IFERROR(VLOOKUP(B441,TOLSEN!A:AC,7,FALSE),"0")</f>
        <v>0</v>
      </c>
      <c r="J441" s="63">
        <f t="shared" si="12"/>
        <v>0</v>
      </c>
      <c r="K441" s="107" t="e">
        <f t="shared" si="13"/>
        <v>#VALUE!</v>
      </c>
      <c r="L441" s="148">
        <f>IFERROR(VLOOKUP($B441,TOLSEN!A:I,8,FALSE),0)</f>
        <v>0</v>
      </c>
      <c r="M441" s="148">
        <f>IFERROR(VLOOKUP($B441,TOLSEN!A:K,9,FALSE),0)</f>
        <v>0</v>
      </c>
      <c r="N441" s="94" t="str">
        <f>IFERROR(VLOOKUP(B441,TOLSEN!A:K,5,FALSE)," ")</f>
        <v xml:space="preserve"> </v>
      </c>
      <c r="O441" s="161" t="str">
        <f>IFERROR(VLOOKUP($B441,TOLSEN!$A:$K,10,FALSE)," ")</f>
        <v xml:space="preserve"> </v>
      </c>
      <c r="P441" s="161" t="str">
        <f>IFERROR(VLOOKUP($B441,TOLSEN!$A:$K,11,FALSE)," ")</f>
        <v xml:space="preserve"> </v>
      </c>
    </row>
    <row r="442" spans="2:16" ht="52.5" customHeight="1">
      <c r="B442" s="25"/>
      <c r="C442" s="138"/>
      <c r="D442" s="110"/>
      <c r="E442" s="110"/>
      <c r="F442" s="60" t="str">
        <f>IFERROR(VLOOKUP(B442,TOLSEN!A:D,3,FALSE),"0")</f>
        <v>0</v>
      </c>
      <c r="G442" s="61" t="str">
        <f>IFERROR(VLOOKUP(B442,TOLSEN!A:D,4,FALSE),"0")</f>
        <v>0</v>
      </c>
      <c r="H442" s="62" t="str">
        <f>IFERROR(VLOOKUP(B442,TOLSEN!A:K,6,FALSE),"0")</f>
        <v>0</v>
      </c>
      <c r="I442" s="62" t="str">
        <f>IFERROR(VLOOKUP(B442,TOLSEN!A:AC,7,FALSE),"0")</f>
        <v>0</v>
      </c>
      <c r="J442" s="63">
        <f t="shared" si="12"/>
        <v>0</v>
      </c>
      <c r="K442" s="107" t="e">
        <f t="shared" si="13"/>
        <v>#VALUE!</v>
      </c>
      <c r="L442" s="148">
        <f>IFERROR(VLOOKUP($B442,TOLSEN!A:I,8,FALSE),0)</f>
        <v>0</v>
      </c>
      <c r="M442" s="148">
        <f>IFERROR(VLOOKUP($B442,TOLSEN!A:K,9,FALSE),0)</f>
        <v>0</v>
      </c>
      <c r="N442" s="94" t="str">
        <f>IFERROR(VLOOKUP(B442,TOLSEN!A:K,5,FALSE)," ")</f>
        <v xml:space="preserve"> </v>
      </c>
      <c r="O442" s="161" t="str">
        <f>IFERROR(VLOOKUP($B442,TOLSEN!$A:$K,10,FALSE)," ")</f>
        <v xml:space="preserve"> </v>
      </c>
      <c r="P442" s="161" t="str">
        <f>IFERROR(VLOOKUP($B442,TOLSEN!$A:$K,11,FALSE)," ")</f>
        <v xml:space="preserve"> </v>
      </c>
    </row>
    <row r="443" spans="2:16" ht="52.5" customHeight="1">
      <c r="B443" s="26"/>
      <c r="C443" s="137"/>
      <c r="D443" s="94"/>
      <c r="E443" s="94"/>
      <c r="F443" s="60" t="str">
        <f>IFERROR(VLOOKUP(B443,TOLSEN!A:D,3,FALSE),"0")</f>
        <v>0</v>
      </c>
      <c r="G443" s="61" t="str">
        <f>IFERROR(VLOOKUP(B443,TOLSEN!A:D,4,FALSE),"0")</f>
        <v>0</v>
      </c>
      <c r="H443" s="62" t="str">
        <f>IFERROR(VLOOKUP(B443,TOLSEN!A:K,6,FALSE),"0")</f>
        <v>0</v>
      </c>
      <c r="I443" s="62" t="str">
        <f>IFERROR(VLOOKUP(B443,TOLSEN!A:AC,7,FALSE),"0")</f>
        <v>0</v>
      </c>
      <c r="J443" s="63">
        <f t="shared" si="12"/>
        <v>0</v>
      </c>
      <c r="K443" s="107" t="e">
        <f t="shared" si="13"/>
        <v>#VALUE!</v>
      </c>
      <c r="L443" s="148">
        <f>IFERROR(VLOOKUP($B443,TOLSEN!A:I,8,FALSE),0)</f>
        <v>0</v>
      </c>
      <c r="M443" s="148">
        <f>IFERROR(VLOOKUP($B443,TOLSEN!A:K,9,FALSE),0)</f>
        <v>0</v>
      </c>
      <c r="N443" s="94" t="str">
        <f>IFERROR(VLOOKUP(B443,TOLSEN!A:K,5,FALSE)," ")</f>
        <v xml:space="preserve"> </v>
      </c>
      <c r="O443" s="161" t="str">
        <f>IFERROR(VLOOKUP($B443,TOLSEN!$A:$K,10,FALSE)," ")</f>
        <v xml:space="preserve"> </v>
      </c>
      <c r="P443" s="161" t="str">
        <f>IFERROR(VLOOKUP($B443,TOLSEN!$A:$K,11,FALSE)," ")</f>
        <v xml:space="preserve"> </v>
      </c>
    </row>
    <row r="444" spans="2:16" ht="52.5" customHeight="1">
      <c r="B444" s="26"/>
      <c r="C444" s="138"/>
      <c r="D444" s="94"/>
      <c r="E444" s="94"/>
      <c r="F444" s="60" t="str">
        <f>IFERROR(VLOOKUP(B444,TOLSEN!A:D,3,FALSE),"0")</f>
        <v>0</v>
      </c>
      <c r="G444" s="61" t="str">
        <f>IFERROR(VLOOKUP(B444,TOLSEN!A:D,4,FALSE),"0")</f>
        <v>0</v>
      </c>
      <c r="H444" s="62" t="str">
        <f>IFERROR(VLOOKUP(B444,TOLSEN!A:K,6,FALSE),"0")</f>
        <v>0</v>
      </c>
      <c r="I444" s="62" t="str">
        <f>IFERROR(VLOOKUP(B444,TOLSEN!A:AC,7,FALSE),"0")</f>
        <v>0</v>
      </c>
      <c r="J444" s="63">
        <f t="shared" si="12"/>
        <v>0</v>
      </c>
      <c r="K444" s="107" t="e">
        <f t="shared" si="13"/>
        <v>#VALUE!</v>
      </c>
      <c r="L444" s="148">
        <f>IFERROR(VLOOKUP($B444,TOLSEN!A:I,8,FALSE),0)</f>
        <v>0</v>
      </c>
      <c r="M444" s="148">
        <f>IFERROR(VLOOKUP($B444,TOLSEN!A:K,9,FALSE),0)</f>
        <v>0</v>
      </c>
      <c r="N444" s="94" t="str">
        <f>IFERROR(VLOOKUP(B444,TOLSEN!A:K,5,FALSE)," ")</f>
        <v xml:space="preserve"> </v>
      </c>
      <c r="O444" s="161" t="str">
        <f>IFERROR(VLOOKUP($B444,TOLSEN!$A:$K,10,FALSE)," ")</f>
        <v xml:space="preserve"> </v>
      </c>
      <c r="P444" s="161" t="str">
        <f>IFERROR(VLOOKUP($B444,TOLSEN!$A:$K,11,FALSE)," ")</f>
        <v xml:space="preserve"> </v>
      </c>
    </row>
    <row r="445" spans="2:16" ht="52.5" customHeight="1">
      <c r="B445" s="26"/>
      <c r="C445" s="137"/>
      <c r="D445" s="94"/>
      <c r="E445" s="94"/>
      <c r="F445" s="60" t="str">
        <f>IFERROR(VLOOKUP(B445,TOLSEN!A:D,3,FALSE),"0")</f>
        <v>0</v>
      </c>
      <c r="G445" s="61" t="str">
        <f>IFERROR(VLOOKUP(B445,TOLSEN!A:D,4,FALSE),"0")</f>
        <v>0</v>
      </c>
      <c r="H445" s="62" t="str">
        <f>IFERROR(VLOOKUP(B445,TOLSEN!A:K,6,FALSE),"0")</f>
        <v>0</v>
      </c>
      <c r="I445" s="62" t="str">
        <f>IFERROR(VLOOKUP(B445,TOLSEN!A:AC,7,FALSE),"0")</f>
        <v>0</v>
      </c>
      <c r="J445" s="63">
        <f t="shared" si="12"/>
        <v>0</v>
      </c>
      <c r="K445" s="107" t="e">
        <f t="shared" si="13"/>
        <v>#VALUE!</v>
      </c>
      <c r="L445" s="148">
        <f>IFERROR(VLOOKUP($B445,TOLSEN!A:I,8,FALSE),0)</f>
        <v>0</v>
      </c>
      <c r="M445" s="148">
        <f>IFERROR(VLOOKUP($B445,TOLSEN!A:K,9,FALSE),0)</f>
        <v>0</v>
      </c>
      <c r="N445" s="94" t="str">
        <f>IFERROR(VLOOKUP(B445,TOLSEN!A:K,5,FALSE)," ")</f>
        <v xml:space="preserve"> </v>
      </c>
      <c r="O445" s="161" t="str">
        <f>IFERROR(VLOOKUP($B445,TOLSEN!$A:$K,10,FALSE)," ")</f>
        <v xml:space="preserve"> </v>
      </c>
      <c r="P445" s="161" t="str">
        <f>IFERROR(VLOOKUP($B445,TOLSEN!$A:$K,11,FALSE)," ")</f>
        <v xml:space="preserve"> </v>
      </c>
    </row>
    <row r="446" spans="2:16" ht="52.5" customHeight="1">
      <c r="B446" s="26"/>
      <c r="C446" s="138"/>
      <c r="D446" s="94"/>
      <c r="E446" s="94"/>
      <c r="F446" s="60" t="str">
        <f>IFERROR(VLOOKUP(B446,TOLSEN!A:D,3,FALSE),"0")</f>
        <v>0</v>
      </c>
      <c r="G446" s="61" t="str">
        <f>IFERROR(VLOOKUP(B446,TOLSEN!A:D,4,FALSE),"0")</f>
        <v>0</v>
      </c>
      <c r="H446" s="62" t="str">
        <f>IFERROR(VLOOKUP(B446,TOLSEN!A:K,6,FALSE),"0")</f>
        <v>0</v>
      </c>
      <c r="I446" s="62" t="str">
        <f>IFERROR(VLOOKUP(B446,TOLSEN!A:AC,7,FALSE),"0")</f>
        <v>0</v>
      </c>
      <c r="J446" s="63">
        <f t="shared" si="12"/>
        <v>0</v>
      </c>
      <c r="K446" s="107" t="e">
        <f t="shared" si="13"/>
        <v>#VALUE!</v>
      </c>
      <c r="L446" s="148">
        <f>IFERROR(VLOOKUP($B446,TOLSEN!A:I,8,FALSE),0)</f>
        <v>0</v>
      </c>
      <c r="M446" s="148">
        <f>IFERROR(VLOOKUP($B446,TOLSEN!A:K,9,FALSE),0)</f>
        <v>0</v>
      </c>
      <c r="N446" s="94" t="str">
        <f>IFERROR(VLOOKUP(B446,TOLSEN!A:K,5,FALSE)," ")</f>
        <v xml:space="preserve"> </v>
      </c>
      <c r="O446" s="161" t="str">
        <f>IFERROR(VLOOKUP($B446,TOLSEN!$A:$K,10,FALSE)," ")</f>
        <v xml:space="preserve"> </v>
      </c>
      <c r="P446" s="161" t="str">
        <f>IFERROR(VLOOKUP($B446,TOLSEN!$A:$K,11,FALSE)," ")</f>
        <v xml:space="preserve"> </v>
      </c>
    </row>
    <row r="447" spans="2:16" ht="52.5" customHeight="1">
      <c r="B447" s="26"/>
      <c r="C447" s="137"/>
      <c r="D447" s="94"/>
      <c r="E447" s="94"/>
      <c r="F447" s="60" t="str">
        <f>IFERROR(VLOOKUP(B447,TOLSEN!A:D,3,FALSE),"0")</f>
        <v>0</v>
      </c>
      <c r="G447" s="61" t="str">
        <f>IFERROR(VLOOKUP(B447,TOLSEN!A:D,4,FALSE),"0")</f>
        <v>0</v>
      </c>
      <c r="H447" s="62" t="str">
        <f>IFERROR(VLOOKUP(B447,TOLSEN!A:K,6,FALSE),"0")</f>
        <v>0</v>
      </c>
      <c r="I447" s="62" t="str">
        <f>IFERROR(VLOOKUP(B447,TOLSEN!A:AC,7,FALSE),"0")</f>
        <v>0</v>
      </c>
      <c r="J447" s="63">
        <f t="shared" si="12"/>
        <v>0</v>
      </c>
      <c r="K447" s="107" t="e">
        <f t="shared" si="13"/>
        <v>#VALUE!</v>
      </c>
      <c r="L447" s="148">
        <f>IFERROR(VLOOKUP($B447,TOLSEN!A:I,8,FALSE),0)</f>
        <v>0</v>
      </c>
      <c r="M447" s="148">
        <f>IFERROR(VLOOKUP($B447,TOLSEN!A:K,9,FALSE),0)</f>
        <v>0</v>
      </c>
      <c r="N447" s="94" t="str">
        <f>IFERROR(VLOOKUP(B447,TOLSEN!A:K,5,FALSE)," ")</f>
        <v xml:space="preserve"> </v>
      </c>
      <c r="O447" s="161" t="str">
        <f>IFERROR(VLOOKUP($B447,TOLSEN!$A:$K,10,FALSE)," ")</f>
        <v xml:space="preserve"> </v>
      </c>
      <c r="P447" s="161" t="str">
        <f>IFERROR(VLOOKUP($B447,TOLSEN!$A:$K,11,FALSE)," ")</f>
        <v xml:space="preserve"> </v>
      </c>
    </row>
    <row r="448" spans="2:16" ht="52.5" customHeight="1">
      <c r="B448" s="26"/>
      <c r="C448" s="138"/>
      <c r="D448" s="94"/>
      <c r="E448" s="94"/>
      <c r="F448" s="60" t="str">
        <f>IFERROR(VLOOKUP(B448,TOLSEN!A:D,3,FALSE),"0")</f>
        <v>0</v>
      </c>
      <c r="G448" s="61" t="str">
        <f>IFERROR(VLOOKUP(B448,TOLSEN!A:D,4,FALSE),"0")</f>
        <v>0</v>
      </c>
      <c r="H448" s="62" t="str">
        <f>IFERROR(VLOOKUP(B448,TOLSEN!A:K,6,FALSE),"0")</f>
        <v>0</v>
      </c>
      <c r="I448" s="62" t="str">
        <f>IFERROR(VLOOKUP(B448,TOLSEN!A:AC,7,FALSE),"0")</f>
        <v>0</v>
      </c>
      <c r="J448" s="63">
        <f t="shared" si="12"/>
        <v>0</v>
      </c>
      <c r="K448" s="107" t="e">
        <f t="shared" si="13"/>
        <v>#VALUE!</v>
      </c>
      <c r="L448" s="148">
        <f>IFERROR(VLOOKUP($B448,TOLSEN!A:I,8,FALSE),0)</f>
        <v>0</v>
      </c>
      <c r="M448" s="148">
        <f>IFERROR(VLOOKUP($B448,TOLSEN!A:K,9,FALSE),0)</f>
        <v>0</v>
      </c>
      <c r="N448" s="94" t="str">
        <f>IFERROR(VLOOKUP(B448,TOLSEN!A:K,5,FALSE)," ")</f>
        <v xml:space="preserve"> </v>
      </c>
      <c r="O448" s="161" t="str">
        <f>IFERROR(VLOOKUP($B448,TOLSEN!$A:$K,10,FALSE)," ")</f>
        <v xml:space="preserve"> </v>
      </c>
      <c r="P448" s="161" t="str">
        <f>IFERROR(VLOOKUP($B448,TOLSEN!$A:$K,11,FALSE)," ")</f>
        <v xml:space="preserve"> </v>
      </c>
    </row>
    <row r="449" spans="2:16" ht="52.5" customHeight="1">
      <c r="B449" s="26"/>
      <c r="C449" s="137"/>
      <c r="D449" s="94"/>
      <c r="E449" s="94"/>
      <c r="F449" s="60" t="str">
        <f>IFERROR(VLOOKUP(B449,TOLSEN!A:D,3,FALSE),"0")</f>
        <v>0</v>
      </c>
      <c r="G449" s="61" t="str">
        <f>IFERROR(VLOOKUP(B449,TOLSEN!A:D,4,FALSE),"0")</f>
        <v>0</v>
      </c>
      <c r="H449" s="62" t="str">
        <f>IFERROR(VLOOKUP(B449,TOLSEN!A:K,6,FALSE),"0")</f>
        <v>0</v>
      </c>
      <c r="I449" s="62" t="str">
        <f>IFERROR(VLOOKUP(B449,TOLSEN!A:AC,7,FALSE),"0")</f>
        <v>0</v>
      </c>
      <c r="J449" s="63">
        <f t="shared" si="12"/>
        <v>0</v>
      </c>
      <c r="K449" s="107" t="e">
        <f t="shared" si="13"/>
        <v>#VALUE!</v>
      </c>
      <c r="L449" s="148">
        <f>IFERROR(VLOOKUP($B449,TOLSEN!A:I,8,FALSE),0)</f>
        <v>0</v>
      </c>
      <c r="M449" s="148">
        <f>IFERROR(VLOOKUP($B449,TOLSEN!A:K,9,FALSE),0)</f>
        <v>0</v>
      </c>
      <c r="N449" s="94" t="str">
        <f>IFERROR(VLOOKUP(B449,TOLSEN!A:K,5,FALSE)," ")</f>
        <v xml:space="preserve"> </v>
      </c>
      <c r="O449" s="161" t="str">
        <f>IFERROR(VLOOKUP($B449,TOLSEN!$A:$K,10,FALSE)," ")</f>
        <v xml:space="preserve"> </v>
      </c>
      <c r="P449" s="161" t="str">
        <f>IFERROR(VLOOKUP($B449,TOLSEN!$A:$K,11,FALSE)," ")</f>
        <v xml:space="preserve"> </v>
      </c>
    </row>
    <row r="450" spans="2:16" ht="52.5" customHeight="1">
      <c r="B450" s="26"/>
      <c r="C450" s="138"/>
      <c r="D450" s="94"/>
      <c r="E450" s="94"/>
      <c r="F450" s="60" t="str">
        <f>IFERROR(VLOOKUP(B450,TOLSEN!A:D,3,FALSE),"0")</f>
        <v>0</v>
      </c>
      <c r="G450" s="61" t="str">
        <f>IFERROR(VLOOKUP(B450,TOLSEN!A:D,4,FALSE),"0")</f>
        <v>0</v>
      </c>
      <c r="H450" s="62" t="str">
        <f>IFERROR(VLOOKUP(B450,TOLSEN!A:K,6,FALSE),"0")</f>
        <v>0</v>
      </c>
      <c r="I450" s="62" t="str">
        <f>IFERROR(VLOOKUP(B450,TOLSEN!A:AC,7,FALSE),"0")</f>
        <v>0</v>
      </c>
      <c r="J450" s="63">
        <f t="shared" si="12"/>
        <v>0</v>
      </c>
      <c r="K450" s="107" t="e">
        <f t="shared" si="13"/>
        <v>#VALUE!</v>
      </c>
      <c r="L450" s="148">
        <f>IFERROR(VLOOKUP($B450,TOLSEN!A:I,8,FALSE),0)</f>
        <v>0</v>
      </c>
      <c r="M450" s="148">
        <f>IFERROR(VLOOKUP($B450,TOLSEN!A:K,9,FALSE),0)</f>
        <v>0</v>
      </c>
      <c r="N450" s="94" t="str">
        <f>IFERROR(VLOOKUP(B450,TOLSEN!A:K,5,FALSE)," ")</f>
        <v xml:space="preserve"> </v>
      </c>
      <c r="O450" s="161" t="str">
        <f>IFERROR(VLOOKUP($B450,TOLSEN!$A:$K,10,FALSE)," ")</f>
        <v xml:space="preserve"> </v>
      </c>
      <c r="P450" s="161" t="str">
        <f>IFERROR(VLOOKUP($B450,TOLSEN!$A:$K,11,FALSE)," ")</f>
        <v xml:space="preserve"> </v>
      </c>
    </row>
    <row r="451" spans="2:16" ht="52.5" customHeight="1">
      <c r="B451" s="26"/>
      <c r="C451" s="137"/>
      <c r="D451" s="94"/>
      <c r="E451" s="94"/>
      <c r="F451" s="60" t="str">
        <f>IFERROR(VLOOKUP(B451,TOLSEN!A:D,3,FALSE),"0")</f>
        <v>0</v>
      </c>
      <c r="G451" s="61" t="str">
        <f>IFERROR(VLOOKUP(B451,TOLSEN!A:D,4,FALSE),"0")</f>
        <v>0</v>
      </c>
      <c r="H451" s="62" t="str">
        <f>IFERROR(VLOOKUP(B451,TOLSEN!A:K,6,FALSE),"0")</f>
        <v>0</v>
      </c>
      <c r="I451" s="62" t="str">
        <f>IFERROR(VLOOKUP(B451,TOLSEN!A:AC,7,FALSE),"0")</f>
        <v>0</v>
      </c>
      <c r="J451" s="63">
        <f t="shared" si="12"/>
        <v>0</v>
      </c>
      <c r="K451" s="107" t="e">
        <f t="shared" si="13"/>
        <v>#VALUE!</v>
      </c>
      <c r="L451" s="148">
        <f>IFERROR(VLOOKUP($B451,TOLSEN!A:I,8,FALSE),0)</f>
        <v>0</v>
      </c>
      <c r="M451" s="148">
        <f>IFERROR(VLOOKUP($B451,TOLSEN!A:K,9,FALSE),0)</f>
        <v>0</v>
      </c>
      <c r="N451" s="94" t="str">
        <f>IFERROR(VLOOKUP(B451,TOLSEN!A:K,5,FALSE)," ")</f>
        <v xml:space="preserve"> </v>
      </c>
      <c r="O451" s="161" t="str">
        <f>IFERROR(VLOOKUP($B451,TOLSEN!$A:$K,10,FALSE)," ")</f>
        <v xml:space="preserve"> </v>
      </c>
      <c r="P451" s="161" t="str">
        <f>IFERROR(VLOOKUP($B451,TOLSEN!$A:$K,11,FALSE)," ")</f>
        <v xml:space="preserve"> </v>
      </c>
    </row>
    <row r="452" spans="2:16" ht="52.5" customHeight="1">
      <c r="B452" s="26"/>
      <c r="C452" s="139"/>
      <c r="D452" s="94"/>
      <c r="E452" s="94"/>
      <c r="F452" s="60" t="str">
        <f>IFERROR(VLOOKUP(B452,TOLSEN!A:D,3,FALSE),"0")</f>
        <v>0</v>
      </c>
      <c r="G452" s="61" t="str">
        <f>IFERROR(VLOOKUP(B452,TOLSEN!A:D,4,FALSE),"0")</f>
        <v>0</v>
      </c>
      <c r="H452" s="62" t="str">
        <f>IFERROR(VLOOKUP(B452,TOLSEN!A:K,6,FALSE),"0")</f>
        <v>0</v>
      </c>
      <c r="I452" s="62" t="str">
        <f>IFERROR(VLOOKUP(B452,TOLSEN!A:AC,7,FALSE),"0")</f>
        <v>0</v>
      </c>
      <c r="J452" s="63">
        <f t="shared" si="12"/>
        <v>0</v>
      </c>
      <c r="K452" s="107" t="e">
        <f t="shared" si="13"/>
        <v>#VALUE!</v>
      </c>
      <c r="L452" s="148">
        <f>IFERROR(VLOOKUP($B452,TOLSEN!A:I,8,FALSE),0)</f>
        <v>0</v>
      </c>
      <c r="M452" s="148">
        <f>IFERROR(VLOOKUP($B452,TOLSEN!A:K,9,FALSE),0)</f>
        <v>0</v>
      </c>
      <c r="N452" s="94" t="str">
        <f>IFERROR(VLOOKUP(B452,TOLSEN!A:K,5,FALSE)," ")</f>
        <v xml:space="preserve"> </v>
      </c>
      <c r="O452" s="161" t="str">
        <f>IFERROR(VLOOKUP($B452,TOLSEN!$A:$K,10,FALSE)," ")</f>
        <v xml:space="preserve"> </v>
      </c>
      <c r="P452" s="161" t="str">
        <f>IFERROR(VLOOKUP($B452,TOLSEN!$A:$K,11,FALSE)," ")</f>
        <v xml:space="preserve"> </v>
      </c>
    </row>
    <row r="453" spans="2:16" ht="52.5" customHeight="1">
      <c r="B453" s="26"/>
      <c r="C453" s="137"/>
      <c r="D453" s="94"/>
      <c r="E453" s="94"/>
      <c r="F453" s="60" t="str">
        <f>IFERROR(VLOOKUP(B453,TOLSEN!A:D,3,FALSE),"0")</f>
        <v>0</v>
      </c>
      <c r="G453" s="61" t="str">
        <f>IFERROR(VLOOKUP(B453,TOLSEN!A:D,4,FALSE),"0")</f>
        <v>0</v>
      </c>
      <c r="H453" s="62" t="str">
        <f>IFERROR(VLOOKUP(B453,TOLSEN!A:K,6,FALSE),"0")</f>
        <v>0</v>
      </c>
      <c r="I453" s="62" t="str">
        <f>IFERROR(VLOOKUP(B453,TOLSEN!A:AC,7,FALSE),"0")</f>
        <v>0</v>
      </c>
      <c r="J453" s="63">
        <f t="shared" si="12"/>
        <v>0</v>
      </c>
      <c r="K453" s="107" t="e">
        <f t="shared" si="13"/>
        <v>#VALUE!</v>
      </c>
      <c r="L453" s="148">
        <f>IFERROR(VLOOKUP($B453,TOLSEN!A:I,8,FALSE),0)</f>
        <v>0</v>
      </c>
      <c r="M453" s="148">
        <f>IFERROR(VLOOKUP($B453,TOLSEN!A:K,9,FALSE),0)</f>
        <v>0</v>
      </c>
      <c r="N453" s="94" t="str">
        <f>IFERROR(VLOOKUP(B453,TOLSEN!A:K,5,FALSE)," ")</f>
        <v xml:space="preserve"> </v>
      </c>
      <c r="O453" s="161" t="str">
        <f>IFERROR(VLOOKUP($B453,TOLSEN!$A:$K,10,FALSE)," ")</f>
        <v xml:space="preserve"> </v>
      </c>
      <c r="P453" s="161" t="str">
        <f>IFERROR(VLOOKUP($B453,TOLSEN!$A:$K,11,FALSE)," ")</f>
        <v xml:space="preserve"> </v>
      </c>
    </row>
    <row r="454" spans="2:16" ht="52.5" customHeight="1">
      <c r="B454" s="26"/>
      <c r="C454" s="138"/>
      <c r="D454" s="94"/>
      <c r="E454" s="94"/>
      <c r="F454" s="60" t="str">
        <f>IFERROR(VLOOKUP(B454,TOLSEN!A:D,3,FALSE),"0")</f>
        <v>0</v>
      </c>
      <c r="G454" s="61" t="str">
        <f>IFERROR(VLOOKUP(B454,TOLSEN!A:D,4,FALSE),"0")</f>
        <v>0</v>
      </c>
      <c r="H454" s="62" t="str">
        <f>IFERROR(VLOOKUP(B454,TOLSEN!A:K,6,FALSE),"0")</f>
        <v>0</v>
      </c>
      <c r="I454" s="62" t="str">
        <f>IFERROR(VLOOKUP(B454,TOLSEN!A:AC,7,FALSE),"0")</f>
        <v>0</v>
      </c>
      <c r="J454" s="63">
        <f t="shared" si="12"/>
        <v>0</v>
      </c>
      <c r="K454" s="107" t="e">
        <f t="shared" si="13"/>
        <v>#VALUE!</v>
      </c>
      <c r="L454" s="148">
        <f>IFERROR(VLOOKUP($B454,TOLSEN!A:I,8,FALSE),0)</f>
        <v>0</v>
      </c>
      <c r="M454" s="148">
        <f>IFERROR(VLOOKUP($B454,TOLSEN!A:K,9,FALSE),0)</f>
        <v>0</v>
      </c>
      <c r="N454" s="94" t="str">
        <f>IFERROR(VLOOKUP(B454,TOLSEN!A:K,5,FALSE)," ")</f>
        <v xml:space="preserve"> </v>
      </c>
      <c r="O454" s="161" t="str">
        <f>IFERROR(VLOOKUP($B454,TOLSEN!$A:$K,10,FALSE)," ")</f>
        <v xml:space="preserve"> </v>
      </c>
      <c r="P454" s="161" t="str">
        <f>IFERROR(VLOOKUP($B454,TOLSEN!$A:$K,11,FALSE)," ")</f>
        <v xml:space="preserve"> </v>
      </c>
    </row>
    <row r="455" spans="2:16" ht="52.5" customHeight="1">
      <c r="B455" s="26"/>
      <c r="C455" s="137"/>
      <c r="D455" s="94"/>
      <c r="E455" s="94"/>
      <c r="F455" s="60" t="str">
        <f>IFERROR(VLOOKUP(B455,TOLSEN!A:D,3,FALSE),"0")</f>
        <v>0</v>
      </c>
      <c r="G455" s="61" t="str">
        <f>IFERROR(VLOOKUP(B455,TOLSEN!A:D,4,FALSE),"0")</f>
        <v>0</v>
      </c>
      <c r="H455" s="62" t="str">
        <f>IFERROR(VLOOKUP(B455,TOLSEN!A:K,6,FALSE),"0")</f>
        <v>0</v>
      </c>
      <c r="I455" s="62" t="str">
        <f>IFERROR(VLOOKUP(B455,TOLSEN!A:AC,7,FALSE),"0")</f>
        <v>0</v>
      </c>
      <c r="J455" s="63">
        <f t="shared" si="12"/>
        <v>0</v>
      </c>
      <c r="K455" s="107" t="e">
        <f t="shared" si="13"/>
        <v>#VALUE!</v>
      </c>
      <c r="L455" s="148">
        <f>IFERROR(VLOOKUP($B455,TOLSEN!A:I,8,FALSE),0)</f>
        <v>0</v>
      </c>
      <c r="M455" s="148">
        <f>IFERROR(VLOOKUP($B455,TOLSEN!A:K,9,FALSE),0)</f>
        <v>0</v>
      </c>
      <c r="N455" s="94" t="str">
        <f>IFERROR(VLOOKUP(B455,TOLSEN!A:K,5,FALSE)," ")</f>
        <v xml:space="preserve"> </v>
      </c>
      <c r="O455" s="161" t="str">
        <f>IFERROR(VLOOKUP($B455,TOLSEN!$A:$K,10,FALSE)," ")</f>
        <v xml:space="preserve"> </v>
      </c>
      <c r="P455" s="161" t="str">
        <f>IFERROR(VLOOKUP($B455,TOLSEN!$A:$K,11,FALSE)," ")</f>
        <v xml:space="preserve"> </v>
      </c>
    </row>
    <row r="456" spans="2:16" ht="52.5" customHeight="1">
      <c r="B456" s="26"/>
      <c r="C456" s="138"/>
      <c r="D456" s="94"/>
      <c r="E456" s="94"/>
      <c r="F456" s="60" t="str">
        <f>IFERROR(VLOOKUP(B456,TOLSEN!A:D,3,FALSE),"0")</f>
        <v>0</v>
      </c>
      <c r="G456" s="61" t="str">
        <f>IFERROR(VLOOKUP(B456,TOLSEN!A:D,4,FALSE),"0")</f>
        <v>0</v>
      </c>
      <c r="H456" s="62" t="str">
        <f>IFERROR(VLOOKUP(B456,TOLSEN!A:K,6,FALSE),"0")</f>
        <v>0</v>
      </c>
      <c r="I456" s="62" t="str">
        <f>IFERROR(VLOOKUP(B456,TOLSEN!A:AC,7,FALSE),"0")</f>
        <v>0</v>
      </c>
      <c r="J456" s="63">
        <f t="shared" si="12"/>
        <v>0</v>
      </c>
      <c r="K456" s="107" t="e">
        <f t="shared" si="13"/>
        <v>#VALUE!</v>
      </c>
      <c r="L456" s="148">
        <f>IFERROR(VLOOKUP($B456,TOLSEN!A:I,8,FALSE),0)</f>
        <v>0</v>
      </c>
      <c r="M456" s="148">
        <f>IFERROR(VLOOKUP($B456,TOLSEN!A:K,9,FALSE),0)</f>
        <v>0</v>
      </c>
      <c r="N456" s="94" t="str">
        <f>IFERROR(VLOOKUP(B456,TOLSEN!A:K,5,FALSE)," ")</f>
        <v xml:space="preserve"> </v>
      </c>
      <c r="O456" s="161" t="str">
        <f>IFERROR(VLOOKUP($B456,TOLSEN!$A:$K,10,FALSE)," ")</f>
        <v xml:space="preserve"> </v>
      </c>
      <c r="P456" s="161" t="str">
        <f>IFERROR(VLOOKUP($B456,TOLSEN!$A:$K,11,FALSE)," ")</f>
        <v xml:space="preserve"> </v>
      </c>
    </row>
    <row r="457" spans="2:16" ht="52.5" customHeight="1">
      <c r="B457" s="26"/>
      <c r="C457" s="137"/>
      <c r="D457" s="94"/>
      <c r="E457" s="94"/>
      <c r="F457" s="60" t="str">
        <f>IFERROR(VLOOKUP(B457,TOLSEN!A:D,3,FALSE),"0")</f>
        <v>0</v>
      </c>
      <c r="G457" s="61" t="str">
        <f>IFERROR(VLOOKUP(B457,TOLSEN!A:D,4,FALSE),"0")</f>
        <v>0</v>
      </c>
      <c r="H457" s="62" t="str">
        <f>IFERROR(VLOOKUP(B457,TOLSEN!A:K,6,FALSE),"0")</f>
        <v>0</v>
      </c>
      <c r="I457" s="62" t="str">
        <f>IFERROR(VLOOKUP(B457,TOLSEN!A:AC,7,FALSE),"0")</f>
        <v>0</v>
      </c>
      <c r="J457" s="63">
        <f t="shared" si="12"/>
        <v>0</v>
      </c>
      <c r="K457" s="107" t="e">
        <f t="shared" si="13"/>
        <v>#VALUE!</v>
      </c>
      <c r="L457" s="148">
        <f>IFERROR(VLOOKUP($B457,TOLSEN!A:I,8,FALSE),0)</f>
        <v>0</v>
      </c>
      <c r="M457" s="148">
        <f>IFERROR(VLOOKUP($B457,TOLSEN!A:K,9,FALSE),0)</f>
        <v>0</v>
      </c>
      <c r="N457" s="94" t="str">
        <f>IFERROR(VLOOKUP(B457,TOLSEN!A:K,5,FALSE)," ")</f>
        <v xml:space="preserve"> </v>
      </c>
      <c r="O457" s="161" t="str">
        <f>IFERROR(VLOOKUP($B457,TOLSEN!$A:$K,10,FALSE)," ")</f>
        <v xml:space="preserve"> </v>
      </c>
      <c r="P457" s="161" t="str">
        <f>IFERROR(VLOOKUP($B457,TOLSEN!$A:$K,11,FALSE)," ")</f>
        <v xml:space="preserve"> </v>
      </c>
    </row>
    <row r="458" spans="2:16" ht="52.5" customHeight="1">
      <c r="B458" s="26"/>
      <c r="C458" s="138"/>
      <c r="D458" s="94"/>
      <c r="E458" s="94"/>
      <c r="F458" s="60" t="str">
        <f>IFERROR(VLOOKUP(B458,TOLSEN!A:D,3,FALSE),"0")</f>
        <v>0</v>
      </c>
      <c r="G458" s="61" t="str">
        <f>IFERROR(VLOOKUP(B458,TOLSEN!A:D,4,FALSE),"0")</f>
        <v>0</v>
      </c>
      <c r="H458" s="62" t="str">
        <f>IFERROR(VLOOKUP(B458,TOLSEN!A:K,6,FALSE),"0")</f>
        <v>0</v>
      </c>
      <c r="I458" s="62" t="str">
        <f>IFERROR(VLOOKUP(B458,TOLSEN!A:AC,7,FALSE),"0")</f>
        <v>0</v>
      </c>
      <c r="J458" s="63">
        <f t="shared" si="12"/>
        <v>0</v>
      </c>
      <c r="K458" s="107" t="e">
        <f t="shared" si="13"/>
        <v>#VALUE!</v>
      </c>
      <c r="L458" s="148">
        <f>IFERROR(VLOOKUP($B458,TOLSEN!A:I,8,FALSE),0)</f>
        <v>0</v>
      </c>
      <c r="M458" s="148">
        <f>IFERROR(VLOOKUP($B458,TOLSEN!A:K,9,FALSE),0)</f>
        <v>0</v>
      </c>
      <c r="N458" s="94" t="str">
        <f>IFERROR(VLOOKUP(B458,TOLSEN!A:K,5,FALSE)," ")</f>
        <v xml:space="preserve"> </v>
      </c>
      <c r="O458" s="161" t="str">
        <f>IFERROR(VLOOKUP($B458,TOLSEN!$A:$K,10,FALSE)," ")</f>
        <v xml:space="preserve"> </v>
      </c>
      <c r="P458" s="161" t="str">
        <f>IFERROR(VLOOKUP($B458,TOLSEN!$A:$K,11,FALSE)," ")</f>
        <v xml:space="preserve"> </v>
      </c>
    </row>
    <row r="459" spans="2:16" ht="52.5" customHeight="1">
      <c r="B459" s="26"/>
      <c r="C459" s="137"/>
      <c r="D459" s="94"/>
      <c r="E459" s="94"/>
      <c r="F459" s="60" t="str">
        <f>IFERROR(VLOOKUP(B459,TOLSEN!A:D,3,FALSE),"0")</f>
        <v>0</v>
      </c>
      <c r="G459" s="61" t="str">
        <f>IFERROR(VLOOKUP(B459,TOLSEN!A:D,4,FALSE),"0")</f>
        <v>0</v>
      </c>
      <c r="H459" s="62" t="str">
        <f>IFERROR(VLOOKUP(B459,TOLSEN!A:K,6,FALSE),"0")</f>
        <v>0</v>
      </c>
      <c r="I459" s="62" t="str">
        <f>IFERROR(VLOOKUP(B459,TOLSEN!A:AC,7,FALSE),"0")</f>
        <v>0</v>
      </c>
      <c r="J459" s="63">
        <f t="shared" si="12"/>
        <v>0</v>
      </c>
      <c r="K459" s="107" t="e">
        <f t="shared" si="13"/>
        <v>#VALUE!</v>
      </c>
      <c r="L459" s="148">
        <f>IFERROR(VLOOKUP($B459,TOLSEN!A:I,8,FALSE),0)</f>
        <v>0</v>
      </c>
      <c r="M459" s="148">
        <f>IFERROR(VLOOKUP($B459,TOLSEN!A:K,9,FALSE),0)</f>
        <v>0</v>
      </c>
      <c r="N459" s="94" t="str">
        <f>IFERROR(VLOOKUP(B459,TOLSEN!A:K,5,FALSE)," ")</f>
        <v xml:space="preserve"> </v>
      </c>
      <c r="O459" s="161" t="str">
        <f>IFERROR(VLOOKUP($B459,TOLSEN!$A:$K,10,FALSE)," ")</f>
        <v xml:space="preserve"> </v>
      </c>
      <c r="P459" s="161" t="str">
        <f>IFERROR(VLOOKUP($B459,TOLSEN!$A:$K,11,FALSE)," ")</f>
        <v xml:space="preserve"> </v>
      </c>
    </row>
    <row r="460" spans="2:16" ht="52.5" customHeight="1">
      <c r="B460" s="26"/>
      <c r="C460" s="138"/>
      <c r="D460" s="94"/>
      <c r="E460" s="94"/>
      <c r="F460" s="60" t="str">
        <f>IFERROR(VLOOKUP(B460,TOLSEN!A:D,3,FALSE),"0")</f>
        <v>0</v>
      </c>
      <c r="G460" s="61" t="str">
        <f>IFERROR(VLOOKUP(B460,TOLSEN!A:D,4,FALSE),"0")</f>
        <v>0</v>
      </c>
      <c r="H460" s="62" t="str">
        <f>IFERROR(VLOOKUP(B460,TOLSEN!A:K,6,FALSE),"0")</f>
        <v>0</v>
      </c>
      <c r="I460" s="62" t="str">
        <f>IFERROR(VLOOKUP(B460,TOLSEN!A:AC,7,FALSE),"0")</f>
        <v>0</v>
      </c>
      <c r="J460" s="63">
        <f t="shared" si="12"/>
        <v>0</v>
      </c>
      <c r="K460" s="107" t="e">
        <f t="shared" si="13"/>
        <v>#VALUE!</v>
      </c>
      <c r="L460" s="148">
        <f>IFERROR(VLOOKUP($B460,TOLSEN!A:I,8,FALSE),0)</f>
        <v>0</v>
      </c>
      <c r="M460" s="148">
        <f>IFERROR(VLOOKUP($B460,TOLSEN!A:K,9,FALSE),0)</f>
        <v>0</v>
      </c>
      <c r="N460" s="94" t="str">
        <f>IFERROR(VLOOKUP(B460,TOLSEN!A:K,5,FALSE)," ")</f>
        <v xml:space="preserve"> </v>
      </c>
      <c r="O460" s="161" t="str">
        <f>IFERROR(VLOOKUP($B460,TOLSEN!$A:$K,10,FALSE)," ")</f>
        <v xml:space="preserve"> </v>
      </c>
      <c r="P460" s="161" t="str">
        <f>IFERROR(VLOOKUP($B460,TOLSEN!$A:$K,11,FALSE)," ")</f>
        <v xml:space="preserve"> </v>
      </c>
    </row>
    <row r="461" spans="2:16" ht="52.5" customHeight="1">
      <c r="B461" s="26"/>
      <c r="C461" s="137"/>
      <c r="D461" s="94"/>
      <c r="E461" s="94"/>
      <c r="F461" s="60" t="str">
        <f>IFERROR(VLOOKUP(B461,TOLSEN!A:D,3,FALSE),"0")</f>
        <v>0</v>
      </c>
      <c r="G461" s="61" t="str">
        <f>IFERROR(VLOOKUP(B461,TOLSEN!A:D,4,FALSE),"0")</f>
        <v>0</v>
      </c>
      <c r="H461" s="62" t="str">
        <f>IFERROR(VLOOKUP(B461,TOLSEN!A:K,6,FALSE),"0")</f>
        <v>0</v>
      </c>
      <c r="I461" s="62" t="str">
        <f>IFERROR(VLOOKUP(B461,TOLSEN!A:AC,7,FALSE),"0")</f>
        <v>0</v>
      </c>
      <c r="J461" s="63">
        <f t="shared" si="12"/>
        <v>0</v>
      </c>
      <c r="K461" s="107" t="e">
        <f t="shared" si="13"/>
        <v>#VALUE!</v>
      </c>
      <c r="L461" s="148">
        <f>IFERROR(VLOOKUP($B461,TOLSEN!A:I,8,FALSE),0)</f>
        <v>0</v>
      </c>
      <c r="M461" s="148">
        <f>IFERROR(VLOOKUP($B461,TOLSEN!A:K,9,FALSE),0)</f>
        <v>0</v>
      </c>
      <c r="N461" s="94" t="str">
        <f>IFERROR(VLOOKUP(B461,TOLSEN!A:K,5,FALSE)," ")</f>
        <v xml:space="preserve"> </v>
      </c>
      <c r="O461" s="161" t="str">
        <f>IFERROR(VLOOKUP($B461,TOLSEN!$A:$K,10,FALSE)," ")</f>
        <v xml:space="preserve"> </v>
      </c>
      <c r="P461" s="161" t="str">
        <f>IFERROR(VLOOKUP($B461,TOLSEN!$A:$K,11,FALSE)," ")</f>
        <v xml:space="preserve"> </v>
      </c>
    </row>
    <row r="462" spans="2:16" ht="52.5" customHeight="1">
      <c r="B462" s="26"/>
      <c r="C462" s="138"/>
      <c r="D462" s="94"/>
      <c r="E462" s="94"/>
      <c r="F462" s="60" t="str">
        <f>IFERROR(VLOOKUP(B462,TOLSEN!A:D,3,FALSE),"0")</f>
        <v>0</v>
      </c>
      <c r="G462" s="61" t="str">
        <f>IFERROR(VLOOKUP(B462,TOLSEN!A:D,4,FALSE),"0")</f>
        <v>0</v>
      </c>
      <c r="H462" s="62" t="str">
        <f>IFERROR(VLOOKUP(B462,TOLSEN!A:K,6,FALSE),"0")</f>
        <v>0</v>
      </c>
      <c r="I462" s="62" t="str">
        <f>IFERROR(VLOOKUP(B462,TOLSEN!A:AC,7,FALSE),"0")</f>
        <v>0</v>
      </c>
      <c r="J462" s="63">
        <f t="shared" si="12"/>
        <v>0</v>
      </c>
      <c r="K462" s="107" t="e">
        <f t="shared" si="13"/>
        <v>#VALUE!</v>
      </c>
      <c r="L462" s="148">
        <f>IFERROR(VLOOKUP($B462,TOLSEN!A:I,8,FALSE),0)</f>
        <v>0</v>
      </c>
      <c r="M462" s="148">
        <f>IFERROR(VLOOKUP($B462,TOLSEN!A:K,9,FALSE),0)</f>
        <v>0</v>
      </c>
      <c r="N462" s="94" t="str">
        <f>IFERROR(VLOOKUP(B462,TOLSEN!A:K,5,FALSE)," ")</f>
        <v xml:space="preserve"> </v>
      </c>
      <c r="O462" s="161" t="str">
        <f>IFERROR(VLOOKUP($B462,TOLSEN!$A:$K,10,FALSE)," ")</f>
        <v xml:space="preserve"> </v>
      </c>
      <c r="P462" s="161" t="str">
        <f>IFERROR(VLOOKUP($B462,TOLSEN!$A:$K,11,FALSE)," ")</f>
        <v xml:space="preserve"> </v>
      </c>
    </row>
    <row r="463" spans="2:16" ht="52.5" customHeight="1">
      <c r="B463" s="26"/>
      <c r="C463" s="137"/>
      <c r="D463" s="94"/>
      <c r="E463" s="94"/>
      <c r="F463" s="60" t="str">
        <f>IFERROR(VLOOKUP(B463,TOLSEN!A:D,3,FALSE),"0")</f>
        <v>0</v>
      </c>
      <c r="G463" s="61" t="str">
        <f>IFERROR(VLOOKUP(B463,TOLSEN!A:D,4,FALSE),"0")</f>
        <v>0</v>
      </c>
      <c r="H463" s="62" t="str">
        <f>IFERROR(VLOOKUP(B463,TOLSEN!A:K,6,FALSE),"0")</f>
        <v>0</v>
      </c>
      <c r="I463" s="62" t="str">
        <f>IFERROR(VLOOKUP(B463,TOLSEN!A:AC,7,FALSE),"0")</f>
        <v>0</v>
      </c>
      <c r="J463" s="63">
        <f t="shared" si="12"/>
        <v>0</v>
      </c>
      <c r="K463" s="107" t="e">
        <f t="shared" si="13"/>
        <v>#VALUE!</v>
      </c>
      <c r="L463" s="148">
        <f>IFERROR(VLOOKUP($B463,TOLSEN!A:I,8,FALSE),0)</f>
        <v>0</v>
      </c>
      <c r="M463" s="148">
        <f>IFERROR(VLOOKUP($B463,TOLSEN!A:K,9,FALSE),0)</f>
        <v>0</v>
      </c>
      <c r="N463" s="94" t="str">
        <f>IFERROR(VLOOKUP(B463,TOLSEN!A:K,5,FALSE)," ")</f>
        <v xml:space="preserve"> </v>
      </c>
      <c r="O463" s="161" t="str">
        <f>IFERROR(VLOOKUP($B463,TOLSEN!$A:$K,10,FALSE)," ")</f>
        <v xml:space="preserve"> </v>
      </c>
      <c r="P463" s="161" t="str">
        <f>IFERROR(VLOOKUP($B463,TOLSEN!$A:$K,11,FALSE)," ")</f>
        <v xml:space="preserve"> </v>
      </c>
    </row>
    <row r="464" spans="2:16" ht="52.5" customHeight="1">
      <c r="B464" s="26"/>
      <c r="C464" s="138"/>
      <c r="D464" s="94"/>
      <c r="E464" s="94"/>
      <c r="F464" s="60" t="str">
        <f>IFERROR(VLOOKUP(B464,TOLSEN!A:D,3,FALSE),"0")</f>
        <v>0</v>
      </c>
      <c r="G464" s="61" t="str">
        <f>IFERROR(VLOOKUP(B464,TOLSEN!A:D,4,FALSE),"0")</f>
        <v>0</v>
      </c>
      <c r="H464" s="62" t="str">
        <f>IFERROR(VLOOKUP(B464,TOLSEN!A:K,6,FALSE),"0")</f>
        <v>0</v>
      </c>
      <c r="I464" s="62" t="str">
        <f>IFERROR(VLOOKUP(B464,TOLSEN!A:AC,7,FALSE),"0")</f>
        <v>0</v>
      </c>
      <c r="J464" s="63">
        <f t="shared" si="12"/>
        <v>0</v>
      </c>
      <c r="K464" s="107" t="e">
        <f t="shared" si="13"/>
        <v>#VALUE!</v>
      </c>
      <c r="L464" s="148">
        <f>IFERROR(VLOOKUP($B464,TOLSEN!A:I,8,FALSE),0)</f>
        <v>0</v>
      </c>
      <c r="M464" s="148">
        <f>IFERROR(VLOOKUP($B464,TOLSEN!A:K,9,FALSE),0)</f>
        <v>0</v>
      </c>
      <c r="N464" s="94" t="str">
        <f>IFERROR(VLOOKUP(B464,TOLSEN!A:K,5,FALSE)," ")</f>
        <v xml:space="preserve"> </v>
      </c>
      <c r="O464" s="161" t="str">
        <f>IFERROR(VLOOKUP($B464,TOLSEN!$A:$K,10,FALSE)," ")</f>
        <v xml:space="preserve"> </v>
      </c>
      <c r="P464" s="161" t="str">
        <f>IFERROR(VLOOKUP($B464,TOLSEN!$A:$K,11,FALSE)," ")</f>
        <v xml:space="preserve"> </v>
      </c>
    </row>
    <row r="465" spans="2:16" ht="52.5" customHeight="1">
      <c r="B465" s="26"/>
      <c r="C465" s="137"/>
      <c r="D465" s="94"/>
      <c r="E465" s="94"/>
      <c r="F465" s="60" t="str">
        <f>IFERROR(VLOOKUP(B465,TOLSEN!A:D,3,FALSE),"0")</f>
        <v>0</v>
      </c>
      <c r="G465" s="61" t="str">
        <f>IFERROR(VLOOKUP(B465,TOLSEN!A:D,4,FALSE),"0")</f>
        <v>0</v>
      </c>
      <c r="H465" s="62" t="str">
        <f>IFERROR(VLOOKUP(B465,TOLSEN!A:K,6,FALSE),"0")</f>
        <v>0</v>
      </c>
      <c r="I465" s="62" t="str">
        <f>IFERROR(VLOOKUP(B465,TOLSEN!A:AC,7,FALSE),"0")</f>
        <v>0</v>
      </c>
      <c r="J465" s="63">
        <f t="shared" si="12"/>
        <v>0</v>
      </c>
      <c r="K465" s="107" t="e">
        <f t="shared" si="13"/>
        <v>#VALUE!</v>
      </c>
      <c r="L465" s="148">
        <f>IFERROR(VLOOKUP($B465,TOLSEN!A:I,8,FALSE),0)</f>
        <v>0</v>
      </c>
      <c r="M465" s="148">
        <f>IFERROR(VLOOKUP($B465,TOLSEN!A:K,9,FALSE),0)</f>
        <v>0</v>
      </c>
      <c r="N465" s="94" t="str">
        <f>IFERROR(VLOOKUP(B465,TOLSEN!A:K,5,FALSE)," ")</f>
        <v xml:space="preserve"> </v>
      </c>
      <c r="O465" s="161" t="str">
        <f>IFERROR(VLOOKUP($B465,TOLSEN!$A:$K,10,FALSE)," ")</f>
        <v xml:space="preserve"> </v>
      </c>
      <c r="P465" s="161" t="str">
        <f>IFERROR(VLOOKUP($B465,TOLSEN!$A:$K,11,FALSE)," ")</f>
        <v xml:space="preserve"> </v>
      </c>
    </row>
    <row r="466" spans="2:16" ht="52.5" customHeight="1">
      <c r="B466" s="26"/>
      <c r="C466" s="138"/>
      <c r="D466" s="94"/>
      <c r="E466" s="94"/>
      <c r="F466" s="60" t="str">
        <f>IFERROR(VLOOKUP(B466,TOLSEN!A:D,3,FALSE),"0")</f>
        <v>0</v>
      </c>
      <c r="G466" s="61" t="str">
        <f>IFERROR(VLOOKUP(B466,TOLSEN!A:D,4,FALSE),"0")</f>
        <v>0</v>
      </c>
      <c r="H466" s="62" t="str">
        <f>IFERROR(VLOOKUP(B466,TOLSEN!A:K,6,FALSE),"0")</f>
        <v>0</v>
      </c>
      <c r="I466" s="62" t="str">
        <f>IFERROR(VLOOKUP(B466,TOLSEN!A:AC,7,FALSE),"0")</f>
        <v>0</v>
      </c>
      <c r="J466" s="63">
        <f t="shared" si="12"/>
        <v>0</v>
      </c>
      <c r="K466" s="107" t="e">
        <f t="shared" si="13"/>
        <v>#VALUE!</v>
      </c>
      <c r="L466" s="148">
        <f>IFERROR(VLOOKUP($B466,TOLSEN!A:I,8,FALSE),0)</f>
        <v>0</v>
      </c>
      <c r="M466" s="148">
        <f>IFERROR(VLOOKUP($B466,TOLSEN!A:K,9,FALSE),0)</f>
        <v>0</v>
      </c>
      <c r="N466" s="94" t="str">
        <f>IFERROR(VLOOKUP(B466,TOLSEN!A:K,5,FALSE)," ")</f>
        <v xml:space="preserve"> </v>
      </c>
      <c r="O466" s="161" t="str">
        <f>IFERROR(VLOOKUP($B466,TOLSEN!$A:$K,10,FALSE)," ")</f>
        <v xml:space="preserve"> </v>
      </c>
      <c r="P466" s="161" t="str">
        <f>IFERROR(VLOOKUP($B466,TOLSEN!$A:$K,11,FALSE)," ")</f>
        <v xml:space="preserve"> </v>
      </c>
    </row>
    <row r="467" spans="2:16" ht="52.5" customHeight="1">
      <c r="B467" s="26"/>
      <c r="C467" s="137"/>
      <c r="D467" s="94"/>
      <c r="E467" s="94"/>
      <c r="F467" s="60" t="str">
        <f>IFERROR(VLOOKUP(B467,TOLSEN!A:D,3,FALSE),"0")</f>
        <v>0</v>
      </c>
      <c r="G467" s="61" t="str">
        <f>IFERROR(VLOOKUP(B467,TOLSEN!A:D,4,FALSE),"0")</f>
        <v>0</v>
      </c>
      <c r="H467" s="62" t="str">
        <f>IFERROR(VLOOKUP(B467,TOLSEN!A:K,6,FALSE),"0")</f>
        <v>0</v>
      </c>
      <c r="I467" s="62" t="str">
        <f>IFERROR(VLOOKUP(B467,TOLSEN!A:AC,7,FALSE),"0")</f>
        <v>0</v>
      </c>
      <c r="J467" s="63">
        <f t="shared" si="12"/>
        <v>0</v>
      </c>
      <c r="K467" s="107" t="e">
        <f t="shared" si="13"/>
        <v>#VALUE!</v>
      </c>
      <c r="L467" s="148">
        <f>IFERROR(VLOOKUP($B467,TOLSEN!A:I,8,FALSE),0)</f>
        <v>0</v>
      </c>
      <c r="M467" s="148">
        <f>IFERROR(VLOOKUP($B467,TOLSEN!A:K,9,FALSE),0)</f>
        <v>0</v>
      </c>
      <c r="N467" s="94" t="str">
        <f>IFERROR(VLOOKUP(B467,TOLSEN!A:K,5,FALSE)," ")</f>
        <v xml:space="preserve"> </v>
      </c>
      <c r="O467" s="161" t="str">
        <f>IFERROR(VLOOKUP($B467,TOLSEN!$A:$K,10,FALSE)," ")</f>
        <v xml:space="preserve"> </v>
      </c>
      <c r="P467" s="161" t="str">
        <f>IFERROR(VLOOKUP($B467,TOLSEN!$A:$K,11,FALSE)," ")</f>
        <v xml:space="preserve"> </v>
      </c>
    </row>
    <row r="468" spans="2:16" ht="52.5" customHeight="1">
      <c r="B468" s="26"/>
      <c r="C468" s="138"/>
      <c r="D468" s="94"/>
      <c r="E468" s="94"/>
      <c r="F468" s="60" t="str">
        <f>IFERROR(VLOOKUP(B468,TOLSEN!A:D,3,FALSE),"0")</f>
        <v>0</v>
      </c>
      <c r="G468" s="61" t="str">
        <f>IFERROR(VLOOKUP(B468,TOLSEN!A:D,4,FALSE),"0")</f>
        <v>0</v>
      </c>
      <c r="H468" s="62" t="str">
        <f>IFERROR(VLOOKUP(B468,TOLSEN!A:K,6,FALSE),"0")</f>
        <v>0</v>
      </c>
      <c r="I468" s="62" t="str">
        <f>IFERROR(VLOOKUP(B468,TOLSEN!A:AC,7,FALSE),"0")</f>
        <v>0</v>
      </c>
      <c r="J468" s="63">
        <f t="shared" si="12"/>
        <v>0</v>
      </c>
      <c r="K468" s="107" t="e">
        <f t="shared" si="13"/>
        <v>#VALUE!</v>
      </c>
      <c r="L468" s="148">
        <f>IFERROR(VLOOKUP($B468,TOLSEN!A:I,8,FALSE),0)</f>
        <v>0</v>
      </c>
      <c r="M468" s="148">
        <f>IFERROR(VLOOKUP($B468,TOLSEN!A:K,9,FALSE),0)</f>
        <v>0</v>
      </c>
      <c r="N468" s="94" t="str">
        <f>IFERROR(VLOOKUP(B468,TOLSEN!A:K,5,FALSE)," ")</f>
        <v xml:space="preserve"> </v>
      </c>
      <c r="O468" s="161" t="str">
        <f>IFERROR(VLOOKUP($B468,TOLSEN!$A:$K,10,FALSE)," ")</f>
        <v xml:space="preserve"> </v>
      </c>
      <c r="P468" s="161" t="str">
        <f>IFERROR(VLOOKUP($B468,TOLSEN!$A:$K,11,FALSE)," ")</f>
        <v xml:space="preserve"> </v>
      </c>
    </row>
    <row r="469" spans="2:16" ht="52.5" customHeight="1">
      <c r="B469" s="26"/>
      <c r="C469" s="137"/>
      <c r="D469" s="94"/>
      <c r="E469" s="94"/>
      <c r="F469" s="60" t="str">
        <f>IFERROR(VLOOKUP(B469,TOLSEN!A:D,3,FALSE),"0")</f>
        <v>0</v>
      </c>
      <c r="G469" s="61" t="str">
        <f>IFERROR(VLOOKUP(B469,TOLSEN!A:D,4,FALSE),"0")</f>
        <v>0</v>
      </c>
      <c r="H469" s="62" t="str">
        <f>IFERROR(VLOOKUP(B469,TOLSEN!A:K,6,FALSE),"0")</f>
        <v>0</v>
      </c>
      <c r="I469" s="62" t="str">
        <f>IFERROR(VLOOKUP(B469,TOLSEN!A:AC,7,FALSE),"0")</f>
        <v>0</v>
      </c>
      <c r="J469" s="63">
        <f t="shared" si="12"/>
        <v>0</v>
      </c>
      <c r="K469" s="107" t="e">
        <f t="shared" si="13"/>
        <v>#VALUE!</v>
      </c>
      <c r="L469" s="148">
        <f>IFERROR(VLOOKUP($B469,TOLSEN!A:I,8,FALSE),0)</f>
        <v>0</v>
      </c>
      <c r="M469" s="148">
        <f>IFERROR(VLOOKUP($B469,TOLSEN!A:K,9,FALSE),0)</f>
        <v>0</v>
      </c>
      <c r="N469" s="94" t="str">
        <f>IFERROR(VLOOKUP(B469,TOLSEN!A:K,5,FALSE)," ")</f>
        <v xml:space="preserve"> </v>
      </c>
      <c r="O469" s="161" t="str">
        <f>IFERROR(VLOOKUP($B469,TOLSEN!$A:$K,10,FALSE)," ")</f>
        <v xml:space="preserve"> </v>
      </c>
      <c r="P469" s="161" t="str">
        <f>IFERROR(VLOOKUP($B469,TOLSEN!$A:$K,11,FALSE)," ")</f>
        <v xml:space="preserve"> </v>
      </c>
    </row>
    <row r="470" spans="2:16" ht="52.5" customHeight="1">
      <c r="B470" s="26"/>
      <c r="C470" s="138"/>
      <c r="D470" s="94"/>
      <c r="E470" s="94"/>
      <c r="F470" s="60" t="str">
        <f>IFERROR(VLOOKUP(B470,TOLSEN!A:D,3,FALSE),"0")</f>
        <v>0</v>
      </c>
      <c r="G470" s="61" t="str">
        <f>IFERROR(VLOOKUP(B470,TOLSEN!A:D,4,FALSE),"0")</f>
        <v>0</v>
      </c>
      <c r="H470" s="62" t="str">
        <f>IFERROR(VLOOKUP(B470,TOLSEN!A:K,6,FALSE),"0")</f>
        <v>0</v>
      </c>
      <c r="I470" s="62" t="str">
        <f>IFERROR(VLOOKUP(B470,TOLSEN!A:AC,7,FALSE),"0")</f>
        <v>0</v>
      </c>
      <c r="J470" s="63">
        <f t="shared" si="12"/>
        <v>0</v>
      </c>
      <c r="K470" s="107" t="e">
        <f t="shared" si="13"/>
        <v>#VALUE!</v>
      </c>
      <c r="L470" s="148">
        <f>IFERROR(VLOOKUP($B470,TOLSEN!A:I,8,FALSE),0)</f>
        <v>0</v>
      </c>
      <c r="M470" s="148">
        <f>IFERROR(VLOOKUP($B470,TOLSEN!A:K,9,FALSE),0)</f>
        <v>0</v>
      </c>
      <c r="N470" s="94" t="str">
        <f>IFERROR(VLOOKUP(B470,TOLSEN!A:K,5,FALSE)," ")</f>
        <v xml:space="preserve"> </v>
      </c>
      <c r="O470" s="161" t="str">
        <f>IFERROR(VLOOKUP($B470,TOLSEN!$A:$K,10,FALSE)," ")</f>
        <v xml:space="preserve"> </v>
      </c>
      <c r="P470" s="161" t="str">
        <f>IFERROR(VLOOKUP($B470,TOLSEN!$A:$K,11,FALSE)," ")</f>
        <v xml:space="preserve"> </v>
      </c>
    </row>
    <row r="471" spans="2:16" ht="52.5" customHeight="1">
      <c r="B471" s="26"/>
      <c r="C471" s="137"/>
      <c r="D471" s="94"/>
      <c r="E471" s="94"/>
      <c r="F471" s="60" t="str">
        <f>IFERROR(VLOOKUP(B471,TOLSEN!A:D,3,FALSE),"0")</f>
        <v>0</v>
      </c>
      <c r="G471" s="61" t="str">
        <f>IFERROR(VLOOKUP(B471,TOLSEN!A:D,4,FALSE),"0")</f>
        <v>0</v>
      </c>
      <c r="H471" s="62" t="str">
        <f>IFERROR(VLOOKUP(B471,TOLSEN!A:K,6,FALSE),"0")</f>
        <v>0</v>
      </c>
      <c r="I471" s="62" t="str">
        <f>IFERROR(VLOOKUP(B471,TOLSEN!A:AC,7,FALSE),"0")</f>
        <v>0</v>
      </c>
      <c r="J471" s="63">
        <f t="shared" si="12"/>
        <v>0</v>
      </c>
      <c r="K471" s="107" t="e">
        <f t="shared" si="13"/>
        <v>#VALUE!</v>
      </c>
      <c r="L471" s="148">
        <f>IFERROR(VLOOKUP($B471,TOLSEN!A:I,8,FALSE),0)</f>
        <v>0</v>
      </c>
      <c r="M471" s="148">
        <f>IFERROR(VLOOKUP($B471,TOLSEN!A:K,9,FALSE),0)</f>
        <v>0</v>
      </c>
      <c r="N471" s="94" t="str">
        <f>IFERROR(VLOOKUP(B471,TOLSEN!A:K,5,FALSE)," ")</f>
        <v xml:space="preserve"> </v>
      </c>
      <c r="O471" s="161" t="str">
        <f>IFERROR(VLOOKUP($B471,TOLSEN!$A:$K,10,FALSE)," ")</f>
        <v xml:space="preserve"> </v>
      </c>
      <c r="P471" s="161" t="str">
        <f>IFERROR(VLOOKUP($B471,TOLSEN!$A:$K,11,FALSE)," ")</f>
        <v xml:space="preserve"> </v>
      </c>
    </row>
    <row r="472" spans="2:16" ht="52.5" customHeight="1">
      <c r="B472" s="26"/>
      <c r="C472" s="138"/>
      <c r="D472" s="94"/>
      <c r="E472" s="94"/>
      <c r="F472" s="60" t="str">
        <f>IFERROR(VLOOKUP(B472,TOLSEN!A:D,3,FALSE),"0")</f>
        <v>0</v>
      </c>
      <c r="G472" s="61" t="str">
        <f>IFERROR(VLOOKUP(B472,TOLSEN!A:D,4,FALSE),"0")</f>
        <v>0</v>
      </c>
      <c r="H472" s="62" t="str">
        <f>IFERROR(VLOOKUP(B472,TOLSEN!A:K,6,FALSE),"0")</f>
        <v>0</v>
      </c>
      <c r="I472" s="62" t="str">
        <f>IFERROR(VLOOKUP(B472,TOLSEN!A:AC,7,FALSE),"0")</f>
        <v>0</v>
      </c>
      <c r="J472" s="63">
        <f t="shared" ref="J472:J501" si="14">(I472*C472)</f>
        <v>0</v>
      </c>
      <c r="K472" s="107" t="e">
        <f t="shared" ref="K472:K501" si="15">(J472*(1+N472))</f>
        <v>#VALUE!</v>
      </c>
      <c r="L472" s="148">
        <f>IFERROR(VLOOKUP($B472,TOLSEN!A:I,8,FALSE),0)</f>
        <v>0</v>
      </c>
      <c r="M472" s="148">
        <f>IFERROR(VLOOKUP($B472,TOLSEN!A:K,9,FALSE),0)</f>
        <v>0</v>
      </c>
      <c r="N472" s="94" t="str">
        <f>IFERROR(VLOOKUP(B472,TOLSEN!A:K,5,FALSE)," ")</f>
        <v xml:space="preserve"> </v>
      </c>
      <c r="O472" s="161" t="str">
        <f>IFERROR(VLOOKUP($B472,TOLSEN!$A:$K,10,FALSE)," ")</f>
        <v xml:space="preserve"> </v>
      </c>
      <c r="P472" s="161" t="str">
        <f>IFERROR(VLOOKUP($B472,TOLSEN!$A:$K,11,FALSE)," ")</f>
        <v xml:space="preserve"> </v>
      </c>
    </row>
    <row r="473" spans="2:16" ht="52.5" customHeight="1">
      <c r="B473" s="26"/>
      <c r="C473" s="137"/>
      <c r="D473" s="94"/>
      <c r="E473" s="94"/>
      <c r="F473" s="60" t="str">
        <f>IFERROR(VLOOKUP(B473,TOLSEN!A:D,3,FALSE),"0")</f>
        <v>0</v>
      </c>
      <c r="G473" s="61" t="str">
        <f>IFERROR(VLOOKUP(B473,TOLSEN!A:D,4,FALSE),"0")</f>
        <v>0</v>
      </c>
      <c r="H473" s="62" t="str">
        <f>IFERROR(VLOOKUP(B473,TOLSEN!A:K,6,FALSE),"0")</f>
        <v>0</v>
      </c>
      <c r="I473" s="62" t="str">
        <f>IFERROR(VLOOKUP(B473,TOLSEN!A:AC,7,FALSE),"0")</f>
        <v>0</v>
      </c>
      <c r="J473" s="63">
        <f t="shared" si="14"/>
        <v>0</v>
      </c>
      <c r="K473" s="107" t="e">
        <f t="shared" si="15"/>
        <v>#VALUE!</v>
      </c>
      <c r="L473" s="148">
        <f>IFERROR(VLOOKUP($B473,TOLSEN!A:I,8,FALSE),0)</f>
        <v>0</v>
      </c>
      <c r="M473" s="148">
        <f>IFERROR(VLOOKUP($B473,TOLSEN!A:K,9,FALSE),0)</f>
        <v>0</v>
      </c>
      <c r="N473" s="94" t="str">
        <f>IFERROR(VLOOKUP(B473,TOLSEN!A:K,5,FALSE)," ")</f>
        <v xml:space="preserve"> </v>
      </c>
      <c r="O473" s="161" t="str">
        <f>IFERROR(VLOOKUP($B473,TOLSEN!$A:$K,10,FALSE)," ")</f>
        <v xml:space="preserve"> </v>
      </c>
      <c r="P473" s="161" t="str">
        <f>IFERROR(VLOOKUP($B473,TOLSEN!$A:$K,11,FALSE)," ")</f>
        <v xml:space="preserve"> </v>
      </c>
    </row>
    <row r="474" spans="2:16" ht="52.5" customHeight="1">
      <c r="B474" s="26"/>
      <c r="C474" s="139"/>
      <c r="D474" s="94"/>
      <c r="E474" s="94"/>
      <c r="F474" s="60" t="str">
        <f>IFERROR(VLOOKUP(B474,TOLSEN!A:D,3,FALSE),"0")</f>
        <v>0</v>
      </c>
      <c r="G474" s="61" t="str">
        <f>IFERROR(VLOOKUP(B474,TOLSEN!A:D,4,FALSE),"0")</f>
        <v>0</v>
      </c>
      <c r="H474" s="62" t="str">
        <f>IFERROR(VLOOKUP(B474,TOLSEN!A:K,6,FALSE),"0")</f>
        <v>0</v>
      </c>
      <c r="I474" s="62" t="str">
        <f>IFERROR(VLOOKUP(B474,TOLSEN!A:AC,7,FALSE),"0")</f>
        <v>0</v>
      </c>
      <c r="J474" s="63">
        <f t="shared" si="14"/>
        <v>0</v>
      </c>
      <c r="K474" s="107" t="e">
        <f t="shared" si="15"/>
        <v>#VALUE!</v>
      </c>
      <c r="L474" s="148">
        <f>IFERROR(VLOOKUP($B474,TOLSEN!A:I,8,FALSE),0)</f>
        <v>0</v>
      </c>
      <c r="M474" s="148">
        <f>IFERROR(VLOOKUP($B474,TOLSEN!A:K,9,FALSE),0)</f>
        <v>0</v>
      </c>
      <c r="N474" s="94" t="str">
        <f>IFERROR(VLOOKUP(B474,TOLSEN!A:K,5,FALSE)," ")</f>
        <v xml:space="preserve"> </v>
      </c>
      <c r="O474" s="161" t="str">
        <f>IFERROR(VLOOKUP($B474,TOLSEN!$A:$K,10,FALSE)," ")</f>
        <v xml:space="preserve"> </v>
      </c>
      <c r="P474" s="161" t="str">
        <f>IFERROR(VLOOKUP($B474,TOLSEN!$A:$K,11,FALSE)," ")</f>
        <v xml:space="preserve"> </v>
      </c>
    </row>
    <row r="475" spans="2:16" ht="52.5" customHeight="1">
      <c r="B475" s="26"/>
      <c r="C475" s="137"/>
      <c r="D475" s="94"/>
      <c r="E475" s="94"/>
      <c r="F475" s="60" t="str">
        <f>IFERROR(VLOOKUP(B475,TOLSEN!A:D,3,FALSE),"0")</f>
        <v>0</v>
      </c>
      <c r="G475" s="61" t="str">
        <f>IFERROR(VLOOKUP(B475,TOLSEN!A:D,4,FALSE),"0")</f>
        <v>0</v>
      </c>
      <c r="H475" s="62" t="str">
        <f>IFERROR(VLOOKUP(B475,TOLSEN!A:K,6,FALSE),"0")</f>
        <v>0</v>
      </c>
      <c r="I475" s="62" t="str">
        <f>IFERROR(VLOOKUP(B475,TOLSEN!A:AC,7,FALSE),"0")</f>
        <v>0</v>
      </c>
      <c r="J475" s="63">
        <f t="shared" si="14"/>
        <v>0</v>
      </c>
      <c r="K475" s="107" t="e">
        <f t="shared" si="15"/>
        <v>#VALUE!</v>
      </c>
      <c r="L475" s="148">
        <f>IFERROR(VLOOKUP($B475,TOLSEN!A:I,8,FALSE),0)</f>
        <v>0</v>
      </c>
      <c r="M475" s="148">
        <f>IFERROR(VLOOKUP($B475,TOLSEN!A:K,9,FALSE),0)</f>
        <v>0</v>
      </c>
      <c r="N475" s="94" t="str">
        <f>IFERROR(VLOOKUP(B475,TOLSEN!A:K,5,FALSE)," ")</f>
        <v xml:space="preserve"> </v>
      </c>
      <c r="O475" s="161" t="str">
        <f>IFERROR(VLOOKUP($B475,TOLSEN!$A:$K,10,FALSE)," ")</f>
        <v xml:space="preserve"> </v>
      </c>
      <c r="P475" s="161" t="str">
        <f>IFERROR(VLOOKUP($B475,TOLSEN!$A:$K,11,FALSE)," ")</f>
        <v xml:space="preserve"> </v>
      </c>
    </row>
    <row r="476" spans="2:16" ht="52.5" customHeight="1">
      <c r="B476" s="26"/>
      <c r="C476" s="138"/>
      <c r="D476" s="94"/>
      <c r="E476" s="94"/>
      <c r="F476" s="60" t="str">
        <f>IFERROR(VLOOKUP(B476,TOLSEN!A:D,3,FALSE),"0")</f>
        <v>0</v>
      </c>
      <c r="G476" s="61" t="str">
        <f>IFERROR(VLOOKUP(B476,TOLSEN!A:D,4,FALSE),"0")</f>
        <v>0</v>
      </c>
      <c r="H476" s="62" t="str">
        <f>IFERROR(VLOOKUP(B476,TOLSEN!A:K,6,FALSE),"0")</f>
        <v>0</v>
      </c>
      <c r="I476" s="62" t="str">
        <f>IFERROR(VLOOKUP(B476,TOLSEN!A:AC,7,FALSE),"0")</f>
        <v>0</v>
      </c>
      <c r="J476" s="63">
        <f t="shared" si="14"/>
        <v>0</v>
      </c>
      <c r="K476" s="107" t="e">
        <f t="shared" si="15"/>
        <v>#VALUE!</v>
      </c>
      <c r="L476" s="148">
        <f>IFERROR(VLOOKUP($B476,TOLSEN!A:I,8,FALSE),0)</f>
        <v>0</v>
      </c>
      <c r="M476" s="148">
        <f>IFERROR(VLOOKUP($B476,TOLSEN!A:K,9,FALSE),0)</f>
        <v>0</v>
      </c>
      <c r="N476" s="94" t="str">
        <f>IFERROR(VLOOKUP(B476,TOLSEN!A:K,5,FALSE)," ")</f>
        <v xml:space="preserve"> </v>
      </c>
      <c r="O476" s="161" t="str">
        <f>IFERROR(VLOOKUP($B476,TOLSEN!$A:$K,10,FALSE)," ")</f>
        <v xml:space="preserve"> </v>
      </c>
      <c r="P476" s="161" t="str">
        <f>IFERROR(VLOOKUP($B476,TOLSEN!$A:$K,11,FALSE)," ")</f>
        <v xml:space="preserve"> </v>
      </c>
    </row>
    <row r="477" spans="2:16" ht="52.5" customHeight="1">
      <c r="B477" s="26"/>
      <c r="C477" s="137"/>
      <c r="D477" s="94"/>
      <c r="E477" s="94"/>
      <c r="F477" s="60" t="str">
        <f>IFERROR(VLOOKUP(B477,TOLSEN!A:D,3,FALSE),"0")</f>
        <v>0</v>
      </c>
      <c r="G477" s="61" t="str">
        <f>IFERROR(VLOOKUP(B477,TOLSEN!A:D,4,FALSE),"0")</f>
        <v>0</v>
      </c>
      <c r="H477" s="62" t="str">
        <f>IFERROR(VLOOKUP(B477,TOLSEN!A:K,6,FALSE),"0")</f>
        <v>0</v>
      </c>
      <c r="I477" s="62" t="str">
        <f>IFERROR(VLOOKUP(B477,TOLSEN!A:AC,7,FALSE),"0")</f>
        <v>0</v>
      </c>
      <c r="J477" s="63">
        <f t="shared" si="14"/>
        <v>0</v>
      </c>
      <c r="K477" s="107" t="e">
        <f t="shared" si="15"/>
        <v>#VALUE!</v>
      </c>
      <c r="L477" s="148">
        <f>IFERROR(VLOOKUP($B477,TOLSEN!A:I,8,FALSE),0)</f>
        <v>0</v>
      </c>
      <c r="M477" s="148">
        <f>IFERROR(VLOOKUP($B477,TOLSEN!A:K,9,FALSE),0)</f>
        <v>0</v>
      </c>
      <c r="N477" s="94" t="str">
        <f>IFERROR(VLOOKUP(B477,TOLSEN!A:K,5,FALSE)," ")</f>
        <v xml:space="preserve"> </v>
      </c>
      <c r="O477" s="161" t="str">
        <f>IFERROR(VLOOKUP($B477,TOLSEN!$A:$K,10,FALSE)," ")</f>
        <v xml:space="preserve"> </v>
      </c>
      <c r="P477" s="161" t="str">
        <f>IFERROR(VLOOKUP($B477,TOLSEN!$A:$K,11,FALSE)," ")</f>
        <v xml:space="preserve"> </v>
      </c>
    </row>
    <row r="478" spans="2:16" ht="52.5" customHeight="1">
      <c r="B478" s="26"/>
      <c r="C478" s="138"/>
      <c r="D478" s="94"/>
      <c r="E478" s="94"/>
      <c r="F478" s="60" t="str">
        <f>IFERROR(VLOOKUP(B478,TOLSEN!A:D,3,FALSE),"0")</f>
        <v>0</v>
      </c>
      <c r="G478" s="61" t="str">
        <f>IFERROR(VLOOKUP(B478,TOLSEN!A:D,4,FALSE),"0")</f>
        <v>0</v>
      </c>
      <c r="H478" s="62" t="str">
        <f>IFERROR(VLOOKUP(B478,TOLSEN!A:K,6,FALSE),"0")</f>
        <v>0</v>
      </c>
      <c r="I478" s="62" t="str">
        <f>IFERROR(VLOOKUP(B478,TOLSEN!A:AC,7,FALSE),"0")</f>
        <v>0</v>
      </c>
      <c r="J478" s="63">
        <f t="shared" si="14"/>
        <v>0</v>
      </c>
      <c r="K478" s="107" t="e">
        <f t="shared" si="15"/>
        <v>#VALUE!</v>
      </c>
      <c r="L478" s="148">
        <f>IFERROR(VLOOKUP($B478,TOLSEN!A:I,8,FALSE),0)</f>
        <v>0</v>
      </c>
      <c r="M478" s="148">
        <f>IFERROR(VLOOKUP($B478,TOLSEN!A:K,9,FALSE),0)</f>
        <v>0</v>
      </c>
      <c r="N478" s="94" t="str">
        <f>IFERROR(VLOOKUP(B478,TOLSEN!A:K,5,FALSE)," ")</f>
        <v xml:space="preserve"> </v>
      </c>
      <c r="O478" s="161" t="str">
        <f>IFERROR(VLOOKUP($B478,TOLSEN!$A:$K,10,FALSE)," ")</f>
        <v xml:space="preserve"> </v>
      </c>
      <c r="P478" s="161" t="str">
        <f>IFERROR(VLOOKUP($B478,TOLSEN!$A:$K,11,FALSE)," ")</f>
        <v xml:space="preserve"> </v>
      </c>
    </row>
    <row r="479" spans="2:16" ht="52.5" customHeight="1">
      <c r="B479" s="26"/>
      <c r="C479" s="137"/>
      <c r="D479" s="94"/>
      <c r="E479" s="94"/>
      <c r="F479" s="60" t="str">
        <f>IFERROR(VLOOKUP(B479,TOLSEN!A:D,3,FALSE),"0")</f>
        <v>0</v>
      </c>
      <c r="G479" s="61" t="str">
        <f>IFERROR(VLOOKUP(B479,TOLSEN!A:D,4,FALSE),"0")</f>
        <v>0</v>
      </c>
      <c r="H479" s="62" t="str">
        <f>IFERROR(VLOOKUP(B479,TOLSEN!A:K,6,FALSE),"0")</f>
        <v>0</v>
      </c>
      <c r="I479" s="62" t="str">
        <f>IFERROR(VLOOKUP(B479,TOLSEN!A:AC,7,FALSE),"0")</f>
        <v>0</v>
      </c>
      <c r="J479" s="63">
        <f t="shared" si="14"/>
        <v>0</v>
      </c>
      <c r="K479" s="107" t="e">
        <f t="shared" si="15"/>
        <v>#VALUE!</v>
      </c>
      <c r="L479" s="148">
        <f>IFERROR(VLOOKUP($B479,TOLSEN!A:I,8,FALSE),0)</f>
        <v>0</v>
      </c>
      <c r="M479" s="148">
        <f>IFERROR(VLOOKUP($B479,TOLSEN!A:K,9,FALSE),0)</f>
        <v>0</v>
      </c>
      <c r="N479" s="94" t="str">
        <f>IFERROR(VLOOKUP(B479,TOLSEN!A:K,5,FALSE)," ")</f>
        <v xml:space="preserve"> </v>
      </c>
      <c r="O479" s="161" t="str">
        <f>IFERROR(VLOOKUP($B479,TOLSEN!$A:$K,10,FALSE)," ")</f>
        <v xml:space="preserve"> </v>
      </c>
      <c r="P479" s="161" t="str">
        <f>IFERROR(VLOOKUP($B479,TOLSEN!$A:$K,11,FALSE)," ")</f>
        <v xml:space="preserve"> </v>
      </c>
    </row>
    <row r="480" spans="2:16" ht="52.5" customHeight="1">
      <c r="B480" s="26"/>
      <c r="C480" s="138"/>
      <c r="D480" s="94"/>
      <c r="E480" s="94"/>
      <c r="F480" s="60" t="str">
        <f>IFERROR(VLOOKUP(B480,TOLSEN!A:D,3,FALSE),"0")</f>
        <v>0</v>
      </c>
      <c r="G480" s="61" t="str">
        <f>IFERROR(VLOOKUP(B480,TOLSEN!A:D,4,FALSE),"0")</f>
        <v>0</v>
      </c>
      <c r="H480" s="62" t="str">
        <f>IFERROR(VLOOKUP(B480,TOLSEN!A:K,6,FALSE),"0")</f>
        <v>0</v>
      </c>
      <c r="I480" s="62" t="str">
        <f>IFERROR(VLOOKUP(B480,TOLSEN!A:AC,7,FALSE),"0")</f>
        <v>0</v>
      </c>
      <c r="J480" s="63">
        <f t="shared" si="14"/>
        <v>0</v>
      </c>
      <c r="K480" s="107" t="e">
        <f t="shared" si="15"/>
        <v>#VALUE!</v>
      </c>
      <c r="L480" s="148">
        <f>IFERROR(VLOOKUP($B480,TOLSEN!A:I,8,FALSE),0)</f>
        <v>0</v>
      </c>
      <c r="M480" s="148">
        <f>IFERROR(VLOOKUP($B480,TOLSEN!A:K,9,FALSE),0)</f>
        <v>0</v>
      </c>
      <c r="N480" s="94" t="str">
        <f>IFERROR(VLOOKUP(B480,TOLSEN!A:K,5,FALSE)," ")</f>
        <v xml:space="preserve"> </v>
      </c>
      <c r="O480" s="161" t="str">
        <f>IFERROR(VLOOKUP($B480,TOLSEN!$A:$K,10,FALSE)," ")</f>
        <v xml:space="preserve"> </v>
      </c>
      <c r="P480" s="161" t="str">
        <f>IFERROR(VLOOKUP($B480,TOLSEN!$A:$K,11,FALSE)," ")</f>
        <v xml:space="preserve"> </v>
      </c>
    </row>
    <row r="481" spans="2:16" ht="52.5" customHeight="1">
      <c r="B481" s="26"/>
      <c r="C481" s="137"/>
      <c r="D481" s="94"/>
      <c r="E481" s="94"/>
      <c r="F481" s="60" t="str">
        <f>IFERROR(VLOOKUP(B481,TOLSEN!A:D,3,FALSE),"0")</f>
        <v>0</v>
      </c>
      <c r="G481" s="61" t="str">
        <f>IFERROR(VLOOKUP(B481,TOLSEN!A:D,4,FALSE),"0")</f>
        <v>0</v>
      </c>
      <c r="H481" s="62" t="str">
        <f>IFERROR(VLOOKUP(B481,TOLSEN!A:K,6,FALSE),"0")</f>
        <v>0</v>
      </c>
      <c r="I481" s="62" t="str">
        <f>IFERROR(VLOOKUP(B481,TOLSEN!A:AC,7,FALSE),"0")</f>
        <v>0</v>
      </c>
      <c r="J481" s="63">
        <f t="shared" si="14"/>
        <v>0</v>
      </c>
      <c r="K481" s="107" t="e">
        <f t="shared" si="15"/>
        <v>#VALUE!</v>
      </c>
      <c r="L481" s="148">
        <f>IFERROR(VLOOKUP($B481,TOLSEN!A:I,8,FALSE),0)</f>
        <v>0</v>
      </c>
      <c r="M481" s="148">
        <f>IFERROR(VLOOKUP($B481,TOLSEN!A:K,9,FALSE),0)</f>
        <v>0</v>
      </c>
      <c r="N481" s="94" t="str">
        <f>IFERROR(VLOOKUP(B481,TOLSEN!A:K,5,FALSE)," ")</f>
        <v xml:space="preserve"> </v>
      </c>
      <c r="O481" s="161" t="str">
        <f>IFERROR(VLOOKUP($B481,TOLSEN!$A:$K,10,FALSE)," ")</f>
        <v xml:space="preserve"> </v>
      </c>
      <c r="P481" s="161" t="str">
        <f>IFERROR(VLOOKUP($B481,TOLSEN!$A:$K,11,FALSE)," ")</f>
        <v xml:space="preserve"> </v>
      </c>
    </row>
    <row r="482" spans="2:16" ht="52.5" customHeight="1">
      <c r="B482" s="26"/>
      <c r="C482" s="138"/>
      <c r="D482" s="94"/>
      <c r="E482" s="94"/>
      <c r="F482" s="60" t="str">
        <f>IFERROR(VLOOKUP(B482,TOLSEN!A:D,3,FALSE),"0")</f>
        <v>0</v>
      </c>
      <c r="G482" s="61" t="str">
        <f>IFERROR(VLOOKUP(B482,TOLSEN!A:D,4,FALSE),"0")</f>
        <v>0</v>
      </c>
      <c r="H482" s="62" t="str">
        <f>IFERROR(VLOOKUP(B482,TOLSEN!A:K,6,FALSE),"0")</f>
        <v>0</v>
      </c>
      <c r="I482" s="62" t="str">
        <f>IFERROR(VLOOKUP(B482,TOLSEN!A:AC,7,FALSE),"0")</f>
        <v>0</v>
      </c>
      <c r="J482" s="63">
        <f t="shared" si="14"/>
        <v>0</v>
      </c>
      <c r="K482" s="107" t="e">
        <f t="shared" si="15"/>
        <v>#VALUE!</v>
      </c>
      <c r="L482" s="148">
        <f>IFERROR(VLOOKUP($B482,TOLSEN!A:I,8,FALSE),0)</f>
        <v>0</v>
      </c>
      <c r="M482" s="148">
        <f>IFERROR(VLOOKUP($B482,TOLSEN!A:K,9,FALSE),0)</f>
        <v>0</v>
      </c>
      <c r="N482" s="94" t="str">
        <f>IFERROR(VLOOKUP(B482,TOLSEN!A:K,5,FALSE)," ")</f>
        <v xml:space="preserve"> </v>
      </c>
      <c r="O482" s="161" t="str">
        <f>IFERROR(VLOOKUP($B482,TOLSEN!$A:$K,10,FALSE)," ")</f>
        <v xml:space="preserve"> </v>
      </c>
      <c r="P482" s="161" t="str">
        <f>IFERROR(VLOOKUP($B482,TOLSEN!$A:$K,11,FALSE)," ")</f>
        <v xml:space="preserve"> </v>
      </c>
    </row>
    <row r="483" spans="2:16" ht="52.5" customHeight="1">
      <c r="B483" s="26"/>
      <c r="C483" s="137"/>
      <c r="D483" s="94"/>
      <c r="E483" s="94"/>
      <c r="F483" s="60" t="str">
        <f>IFERROR(VLOOKUP(B483,TOLSEN!A:D,3,FALSE),"0")</f>
        <v>0</v>
      </c>
      <c r="G483" s="61" t="str">
        <f>IFERROR(VLOOKUP(B483,TOLSEN!A:D,4,FALSE),"0")</f>
        <v>0</v>
      </c>
      <c r="H483" s="62" t="str">
        <f>IFERROR(VLOOKUP(B483,TOLSEN!A:K,6,FALSE),"0")</f>
        <v>0</v>
      </c>
      <c r="I483" s="62" t="str">
        <f>IFERROR(VLOOKUP(B483,TOLSEN!A:AC,7,FALSE),"0")</f>
        <v>0</v>
      </c>
      <c r="J483" s="63">
        <f t="shared" si="14"/>
        <v>0</v>
      </c>
      <c r="K483" s="107" t="e">
        <f t="shared" si="15"/>
        <v>#VALUE!</v>
      </c>
      <c r="L483" s="148">
        <f>IFERROR(VLOOKUP($B483,TOLSEN!A:I,8,FALSE),0)</f>
        <v>0</v>
      </c>
      <c r="M483" s="148">
        <f>IFERROR(VLOOKUP($B483,TOLSEN!A:K,9,FALSE),0)</f>
        <v>0</v>
      </c>
      <c r="N483" s="94" t="str">
        <f>IFERROR(VLOOKUP(B483,TOLSEN!A:K,5,FALSE)," ")</f>
        <v xml:space="preserve"> </v>
      </c>
      <c r="O483" s="161" t="str">
        <f>IFERROR(VLOOKUP($B483,TOLSEN!$A:$K,10,FALSE)," ")</f>
        <v xml:space="preserve"> </v>
      </c>
      <c r="P483" s="161" t="str">
        <f>IFERROR(VLOOKUP($B483,TOLSEN!$A:$K,11,FALSE)," ")</f>
        <v xml:space="preserve"> </v>
      </c>
    </row>
    <row r="484" spans="2:16" ht="52.5" customHeight="1">
      <c r="B484" s="26"/>
      <c r="C484" s="138"/>
      <c r="D484" s="94"/>
      <c r="E484" s="94"/>
      <c r="F484" s="60" t="str">
        <f>IFERROR(VLOOKUP(B484,TOLSEN!A:D,3,FALSE),"0")</f>
        <v>0</v>
      </c>
      <c r="G484" s="61" t="str">
        <f>IFERROR(VLOOKUP(B484,TOLSEN!A:D,4,FALSE),"0")</f>
        <v>0</v>
      </c>
      <c r="H484" s="62" t="str">
        <f>IFERROR(VLOOKUP(B484,TOLSEN!A:K,6,FALSE),"0")</f>
        <v>0</v>
      </c>
      <c r="I484" s="62" t="str">
        <f>IFERROR(VLOOKUP(B484,TOLSEN!A:AC,7,FALSE),"0")</f>
        <v>0</v>
      </c>
      <c r="J484" s="63">
        <f t="shared" si="14"/>
        <v>0</v>
      </c>
      <c r="K484" s="107" t="e">
        <f t="shared" si="15"/>
        <v>#VALUE!</v>
      </c>
      <c r="L484" s="148">
        <f>IFERROR(VLOOKUP($B484,TOLSEN!A:I,8,FALSE),0)</f>
        <v>0</v>
      </c>
      <c r="M484" s="148">
        <f>IFERROR(VLOOKUP($B484,TOLSEN!A:K,9,FALSE),0)</f>
        <v>0</v>
      </c>
      <c r="N484" s="94" t="str">
        <f>IFERROR(VLOOKUP(B484,TOLSEN!A:K,5,FALSE)," ")</f>
        <v xml:space="preserve"> </v>
      </c>
      <c r="O484" s="161" t="str">
        <f>IFERROR(VLOOKUP($B484,TOLSEN!$A:$K,10,FALSE)," ")</f>
        <v xml:space="preserve"> </v>
      </c>
      <c r="P484" s="161" t="str">
        <f>IFERROR(VLOOKUP($B484,TOLSEN!$A:$K,11,FALSE)," ")</f>
        <v xml:space="preserve"> </v>
      </c>
    </row>
    <row r="485" spans="2:16" ht="52.5" customHeight="1">
      <c r="B485" s="26"/>
      <c r="C485" s="137"/>
      <c r="D485" s="94"/>
      <c r="E485" s="94"/>
      <c r="F485" s="60" t="str">
        <f>IFERROR(VLOOKUP(B485,TOLSEN!A:D,3,FALSE),"0")</f>
        <v>0</v>
      </c>
      <c r="G485" s="61" t="str">
        <f>IFERROR(VLOOKUP(B485,TOLSEN!A:D,4,FALSE),"0")</f>
        <v>0</v>
      </c>
      <c r="H485" s="62" t="str">
        <f>IFERROR(VLOOKUP(B485,TOLSEN!A:K,6,FALSE),"0")</f>
        <v>0</v>
      </c>
      <c r="I485" s="62" t="str">
        <f>IFERROR(VLOOKUP(B485,TOLSEN!A:AC,7,FALSE),"0")</f>
        <v>0</v>
      </c>
      <c r="J485" s="63">
        <f t="shared" si="14"/>
        <v>0</v>
      </c>
      <c r="K485" s="107" t="e">
        <f t="shared" si="15"/>
        <v>#VALUE!</v>
      </c>
      <c r="L485" s="148">
        <f>IFERROR(VLOOKUP($B485,TOLSEN!A:I,8,FALSE),0)</f>
        <v>0</v>
      </c>
      <c r="M485" s="148">
        <f>IFERROR(VLOOKUP($B485,TOLSEN!A:K,9,FALSE),0)</f>
        <v>0</v>
      </c>
      <c r="N485" s="94" t="str">
        <f>IFERROR(VLOOKUP(B485,TOLSEN!A:K,5,FALSE)," ")</f>
        <v xml:space="preserve"> </v>
      </c>
      <c r="O485" s="161" t="str">
        <f>IFERROR(VLOOKUP($B485,TOLSEN!$A:$K,10,FALSE)," ")</f>
        <v xml:space="preserve"> </v>
      </c>
      <c r="P485" s="161" t="str">
        <f>IFERROR(VLOOKUP($B485,TOLSEN!$A:$K,11,FALSE)," ")</f>
        <v xml:space="preserve"> </v>
      </c>
    </row>
    <row r="486" spans="2:16" ht="52.5" customHeight="1">
      <c r="B486" s="26"/>
      <c r="C486" s="138"/>
      <c r="D486" s="94"/>
      <c r="E486" s="94"/>
      <c r="F486" s="60" t="str">
        <f>IFERROR(VLOOKUP(B486,TOLSEN!A:D,3,FALSE),"0")</f>
        <v>0</v>
      </c>
      <c r="G486" s="61" t="str">
        <f>IFERROR(VLOOKUP(B486,TOLSEN!A:D,4,FALSE),"0")</f>
        <v>0</v>
      </c>
      <c r="H486" s="62" t="str">
        <f>IFERROR(VLOOKUP(B486,TOLSEN!A:K,6,FALSE),"0")</f>
        <v>0</v>
      </c>
      <c r="I486" s="62" t="str">
        <f>IFERROR(VLOOKUP(B486,TOLSEN!A:AC,7,FALSE),"0")</f>
        <v>0</v>
      </c>
      <c r="J486" s="63">
        <f t="shared" si="14"/>
        <v>0</v>
      </c>
      <c r="K486" s="107" t="e">
        <f t="shared" si="15"/>
        <v>#VALUE!</v>
      </c>
      <c r="L486" s="148">
        <f>IFERROR(VLOOKUP($B486,TOLSEN!A:I,8,FALSE),0)</f>
        <v>0</v>
      </c>
      <c r="M486" s="148">
        <f>IFERROR(VLOOKUP($B486,TOLSEN!A:K,9,FALSE),0)</f>
        <v>0</v>
      </c>
      <c r="N486" s="94" t="str">
        <f>IFERROR(VLOOKUP(B486,TOLSEN!A:K,5,FALSE)," ")</f>
        <v xml:space="preserve"> </v>
      </c>
      <c r="O486" s="161" t="str">
        <f>IFERROR(VLOOKUP($B486,TOLSEN!$A:$K,10,FALSE)," ")</f>
        <v xml:space="preserve"> </v>
      </c>
      <c r="P486" s="161" t="str">
        <f>IFERROR(VLOOKUP($B486,TOLSEN!$A:$K,11,FALSE)," ")</f>
        <v xml:space="preserve"> </v>
      </c>
    </row>
    <row r="487" spans="2:16" ht="52.5" customHeight="1">
      <c r="B487" s="26"/>
      <c r="C487" s="137"/>
      <c r="D487" s="94"/>
      <c r="E487" s="94"/>
      <c r="F487" s="60" t="str">
        <f>IFERROR(VLOOKUP(B487,TOLSEN!A:D,3,FALSE),"0")</f>
        <v>0</v>
      </c>
      <c r="G487" s="61" t="str">
        <f>IFERROR(VLOOKUP(B487,TOLSEN!A:D,4,FALSE),"0")</f>
        <v>0</v>
      </c>
      <c r="H487" s="62" t="str">
        <f>IFERROR(VLOOKUP(B487,TOLSEN!A:K,6,FALSE),"0")</f>
        <v>0</v>
      </c>
      <c r="I487" s="62" t="str">
        <f>IFERROR(VLOOKUP(B487,TOLSEN!A:AC,7,FALSE),"0")</f>
        <v>0</v>
      </c>
      <c r="J487" s="63">
        <f t="shared" si="14"/>
        <v>0</v>
      </c>
      <c r="K487" s="107" t="e">
        <f t="shared" si="15"/>
        <v>#VALUE!</v>
      </c>
      <c r="L487" s="148">
        <f>IFERROR(VLOOKUP($B487,TOLSEN!A:I,8,FALSE),0)</f>
        <v>0</v>
      </c>
      <c r="M487" s="148">
        <f>IFERROR(VLOOKUP($B487,TOLSEN!A:K,9,FALSE),0)</f>
        <v>0</v>
      </c>
      <c r="N487" s="94" t="str">
        <f>IFERROR(VLOOKUP(B487,TOLSEN!A:K,5,FALSE)," ")</f>
        <v xml:space="preserve"> </v>
      </c>
      <c r="O487" s="161" t="str">
        <f>IFERROR(VLOOKUP($B487,TOLSEN!$A:$K,10,FALSE)," ")</f>
        <v xml:space="preserve"> </v>
      </c>
      <c r="P487" s="161" t="str">
        <f>IFERROR(VLOOKUP($B487,TOLSEN!$A:$K,11,FALSE)," ")</f>
        <v xml:space="preserve"> </v>
      </c>
    </row>
    <row r="488" spans="2:16" ht="52.5" customHeight="1">
      <c r="B488" s="26"/>
      <c r="C488" s="138"/>
      <c r="D488" s="94"/>
      <c r="E488" s="94"/>
      <c r="F488" s="60" t="str">
        <f>IFERROR(VLOOKUP(B488,TOLSEN!A:D,3,FALSE),"0")</f>
        <v>0</v>
      </c>
      <c r="G488" s="61" t="str">
        <f>IFERROR(VLOOKUP(B488,TOLSEN!A:D,4,FALSE),"0")</f>
        <v>0</v>
      </c>
      <c r="H488" s="62" t="str">
        <f>IFERROR(VLOOKUP(B488,TOLSEN!A:K,6,FALSE),"0")</f>
        <v>0</v>
      </c>
      <c r="I488" s="62" t="str">
        <f>IFERROR(VLOOKUP(B488,TOLSEN!A:AC,7,FALSE),"0")</f>
        <v>0</v>
      </c>
      <c r="J488" s="63">
        <f t="shared" si="14"/>
        <v>0</v>
      </c>
      <c r="K488" s="107" t="e">
        <f t="shared" si="15"/>
        <v>#VALUE!</v>
      </c>
      <c r="L488" s="148">
        <f>IFERROR(VLOOKUP($B488,TOLSEN!A:I,8,FALSE),0)</f>
        <v>0</v>
      </c>
      <c r="M488" s="148">
        <f>IFERROR(VLOOKUP($B488,TOLSEN!A:K,9,FALSE),0)</f>
        <v>0</v>
      </c>
      <c r="N488" s="94" t="str">
        <f>IFERROR(VLOOKUP(B488,TOLSEN!A:K,5,FALSE)," ")</f>
        <v xml:space="preserve"> </v>
      </c>
      <c r="O488" s="161" t="str">
        <f>IFERROR(VLOOKUP($B488,TOLSEN!$A:$K,10,FALSE)," ")</f>
        <v xml:space="preserve"> </v>
      </c>
      <c r="P488" s="161" t="str">
        <f>IFERROR(VLOOKUP($B488,TOLSEN!$A:$K,11,FALSE)," ")</f>
        <v xml:space="preserve"> </v>
      </c>
    </row>
    <row r="489" spans="2:16" ht="52.5" customHeight="1">
      <c r="B489" s="26"/>
      <c r="C489" s="137"/>
      <c r="D489" s="94"/>
      <c r="E489" s="94"/>
      <c r="F489" s="60" t="str">
        <f>IFERROR(VLOOKUP(B489,TOLSEN!A:D,3,FALSE),"0")</f>
        <v>0</v>
      </c>
      <c r="G489" s="61" t="str">
        <f>IFERROR(VLOOKUP(B489,TOLSEN!A:D,4,FALSE),"0")</f>
        <v>0</v>
      </c>
      <c r="H489" s="62" t="str">
        <f>IFERROR(VLOOKUP(B489,TOLSEN!A:K,6,FALSE),"0")</f>
        <v>0</v>
      </c>
      <c r="I489" s="62" t="str">
        <f>IFERROR(VLOOKUP(B489,TOLSEN!A:AC,7,FALSE),"0")</f>
        <v>0</v>
      </c>
      <c r="J489" s="63">
        <f t="shared" si="14"/>
        <v>0</v>
      </c>
      <c r="K489" s="107" t="e">
        <f t="shared" si="15"/>
        <v>#VALUE!</v>
      </c>
      <c r="L489" s="148">
        <f>IFERROR(VLOOKUP($B489,TOLSEN!A:I,8,FALSE),0)</f>
        <v>0</v>
      </c>
      <c r="M489" s="148">
        <f>IFERROR(VLOOKUP($B489,TOLSEN!A:K,9,FALSE),0)</f>
        <v>0</v>
      </c>
      <c r="N489" s="94" t="str">
        <f>IFERROR(VLOOKUP(B489,TOLSEN!A:K,5,FALSE)," ")</f>
        <v xml:space="preserve"> </v>
      </c>
      <c r="O489" s="161" t="str">
        <f>IFERROR(VLOOKUP($B489,TOLSEN!$A:$K,10,FALSE)," ")</f>
        <v xml:space="preserve"> </v>
      </c>
      <c r="P489" s="161" t="str">
        <f>IFERROR(VLOOKUP($B489,TOLSEN!$A:$K,11,FALSE)," ")</f>
        <v xml:space="preserve"> </v>
      </c>
    </row>
    <row r="490" spans="2:16" ht="52.5" customHeight="1">
      <c r="B490" s="26"/>
      <c r="C490" s="138"/>
      <c r="D490" s="94"/>
      <c r="E490" s="94"/>
      <c r="F490" s="60" t="str">
        <f>IFERROR(VLOOKUP(B490,TOLSEN!A:D,3,FALSE),"0")</f>
        <v>0</v>
      </c>
      <c r="G490" s="61" t="str">
        <f>IFERROR(VLOOKUP(B490,TOLSEN!A:D,4,FALSE),"0")</f>
        <v>0</v>
      </c>
      <c r="H490" s="62" t="str">
        <f>IFERROR(VLOOKUP(B490,TOLSEN!A:K,6,FALSE),"0")</f>
        <v>0</v>
      </c>
      <c r="I490" s="62" t="str">
        <f>IFERROR(VLOOKUP(B490,TOLSEN!A:AC,7,FALSE),"0")</f>
        <v>0</v>
      </c>
      <c r="J490" s="63">
        <f t="shared" si="14"/>
        <v>0</v>
      </c>
      <c r="K490" s="107" t="e">
        <f t="shared" si="15"/>
        <v>#VALUE!</v>
      </c>
      <c r="L490" s="148">
        <f>IFERROR(VLOOKUP($B490,TOLSEN!A:I,8,FALSE),0)</f>
        <v>0</v>
      </c>
      <c r="M490" s="148">
        <f>IFERROR(VLOOKUP($B490,TOLSEN!A:K,9,FALSE),0)</f>
        <v>0</v>
      </c>
      <c r="N490" s="94" t="str">
        <f>IFERROR(VLOOKUP(B490,TOLSEN!A:K,5,FALSE)," ")</f>
        <v xml:space="preserve"> </v>
      </c>
      <c r="O490" s="161" t="str">
        <f>IFERROR(VLOOKUP($B490,TOLSEN!$A:$K,10,FALSE)," ")</f>
        <v xml:space="preserve"> </v>
      </c>
      <c r="P490" s="161" t="str">
        <f>IFERROR(VLOOKUP($B490,TOLSEN!$A:$K,11,FALSE)," ")</f>
        <v xml:space="preserve"> </v>
      </c>
    </row>
    <row r="491" spans="2:16" ht="52.5" customHeight="1">
      <c r="B491" s="26"/>
      <c r="C491" s="137"/>
      <c r="D491" s="94"/>
      <c r="E491" s="94"/>
      <c r="F491" s="60" t="str">
        <f>IFERROR(VLOOKUP(B491,TOLSEN!A:D,3,FALSE),"0")</f>
        <v>0</v>
      </c>
      <c r="G491" s="61" t="str">
        <f>IFERROR(VLOOKUP(B491,TOLSEN!A:D,4,FALSE),"0")</f>
        <v>0</v>
      </c>
      <c r="H491" s="62" t="str">
        <f>IFERROR(VLOOKUP(B491,TOLSEN!A:K,6,FALSE),"0")</f>
        <v>0</v>
      </c>
      <c r="I491" s="62" t="str">
        <f>IFERROR(VLOOKUP(B491,TOLSEN!A:AC,7,FALSE),"0")</f>
        <v>0</v>
      </c>
      <c r="J491" s="63">
        <f t="shared" si="14"/>
        <v>0</v>
      </c>
      <c r="K491" s="107" t="e">
        <f t="shared" si="15"/>
        <v>#VALUE!</v>
      </c>
      <c r="L491" s="148">
        <f>IFERROR(VLOOKUP($B491,TOLSEN!A:I,8,FALSE),0)</f>
        <v>0</v>
      </c>
      <c r="M491" s="148">
        <f>IFERROR(VLOOKUP($B491,TOLSEN!A:K,9,FALSE),0)</f>
        <v>0</v>
      </c>
      <c r="N491" s="94" t="str">
        <f>IFERROR(VLOOKUP(B491,TOLSEN!A:K,5,FALSE)," ")</f>
        <v xml:space="preserve"> </v>
      </c>
      <c r="O491" s="161" t="str">
        <f>IFERROR(VLOOKUP($B491,TOLSEN!$A:$K,10,FALSE)," ")</f>
        <v xml:space="preserve"> </v>
      </c>
      <c r="P491" s="161" t="str">
        <f>IFERROR(VLOOKUP($B491,TOLSEN!$A:$K,11,FALSE)," ")</f>
        <v xml:space="preserve"> </v>
      </c>
    </row>
    <row r="492" spans="2:16" ht="52.5" customHeight="1">
      <c r="B492" s="26"/>
      <c r="C492" s="138"/>
      <c r="D492" s="94"/>
      <c r="E492" s="94"/>
      <c r="F492" s="60" t="str">
        <f>IFERROR(VLOOKUP(B492,TOLSEN!A:D,3,FALSE),"0")</f>
        <v>0</v>
      </c>
      <c r="G492" s="61" t="str">
        <f>IFERROR(VLOOKUP(B492,TOLSEN!A:D,4,FALSE),"0")</f>
        <v>0</v>
      </c>
      <c r="H492" s="62" t="str">
        <f>IFERROR(VLOOKUP(B492,TOLSEN!A:K,6,FALSE),"0")</f>
        <v>0</v>
      </c>
      <c r="I492" s="62" t="str">
        <f>IFERROR(VLOOKUP(B492,TOLSEN!A:AC,7,FALSE),"0")</f>
        <v>0</v>
      </c>
      <c r="J492" s="63">
        <f t="shared" si="14"/>
        <v>0</v>
      </c>
      <c r="K492" s="107" t="e">
        <f t="shared" si="15"/>
        <v>#VALUE!</v>
      </c>
      <c r="L492" s="148">
        <f>IFERROR(VLOOKUP($B492,TOLSEN!A:I,8,FALSE),0)</f>
        <v>0</v>
      </c>
      <c r="M492" s="148">
        <f>IFERROR(VLOOKUP($B492,TOLSEN!A:K,9,FALSE),0)</f>
        <v>0</v>
      </c>
      <c r="N492" s="94" t="str">
        <f>IFERROR(VLOOKUP(B492,TOLSEN!A:K,5,FALSE)," ")</f>
        <v xml:space="preserve"> </v>
      </c>
      <c r="O492" s="161" t="str">
        <f>IFERROR(VLOOKUP($B492,TOLSEN!$A:$K,10,FALSE)," ")</f>
        <v xml:space="preserve"> </v>
      </c>
      <c r="P492" s="161" t="str">
        <f>IFERROR(VLOOKUP($B492,TOLSEN!$A:$K,11,FALSE)," ")</f>
        <v xml:space="preserve"> </v>
      </c>
    </row>
    <row r="493" spans="2:16" ht="52.5" customHeight="1">
      <c r="B493" s="26"/>
      <c r="C493" s="137"/>
      <c r="D493" s="94"/>
      <c r="E493" s="94"/>
      <c r="F493" s="60" t="str">
        <f>IFERROR(VLOOKUP(B493,TOLSEN!A:D,3,FALSE),"0")</f>
        <v>0</v>
      </c>
      <c r="G493" s="61" t="str">
        <f>IFERROR(VLOOKUP(B493,TOLSEN!A:D,4,FALSE),"0")</f>
        <v>0</v>
      </c>
      <c r="H493" s="62" t="str">
        <f>IFERROR(VLOOKUP(B493,TOLSEN!A:K,6,FALSE),"0")</f>
        <v>0</v>
      </c>
      <c r="I493" s="62" t="str">
        <f>IFERROR(VLOOKUP(B493,TOLSEN!A:AC,7,FALSE),"0")</f>
        <v>0</v>
      </c>
      <c r="J493" s="63">
        <f t="shared" si="14"/>
        <v>0</v>
      </c>
      <c r="K493" s="107" t="e">
        <f t="shared" si="15"/>
        <v>#VALUE!</v>
      </c>
      <c r="L493" s="148">
        <f>IFERROR(VLOOKUP($B493,TOLSEN!A:I,8,FALSE),0)</f>
        <v>0</v>
      </c>
      <c r="M493" s="148">
        <f>IFERROR(VLOOKUP($B493,TOLSEN!A:K,9,FALSE),0)</f>
        <v>0</v>
      </c>
      <c r="N493" s="94" t="str">
        <f>IFERROR(VLOOKUP(B493,TOLSEN!A:K,5,FALSE)," ")</f>
        <v xml:space="preserve"> </v>
      </c>
      <c r="O493" s="161" t="str">
        <f>IFERROR(VLOOKUP($B493,TOLSEN!$A:$K,10,FALSE)," ")</f>
        <v xml:space="preserve"> </v>
      </c>
      <c r="P493" s="161" t="str">
        <f>IFERROR(VLOOKUP($B493,TOLSEN!$A:$K,11,FALSE)," ")</f>
        <v xml:space="preserve"> </v>
      </c>
    </row>
    <row r="494" spans="2:16" ht="52.5" customHeight="1">
      <c r="B494" s="26"/>
      <c r="C494" s="138"/>
      <c r="D494" s="94"/>
      <c r="E494" s="94"/>
      <c r="F494" s="60" t="str">
        <f>IFERROR(VLOOKUP(B494,TOLSEN!A:D,3,FALSE),"0")</f>
        <v>0</v>
      </c>
      <c r="G494" s="61" t="str">
        <f>IFERROR(VLOOKUP(B494,TOLSEN!A:D,4,FALSE),"0")</f>
        <v>0</v>
      </c>
      <c r="H494" s="62" t="str">
        <f>IFERROR(VLOOKUP(B494,TOLSEN!A:K,6,FALSE),"0")</f>
        <v>0</v>
      </c>
      <c r="I494" s="62" t="str">
        <f>IFERROR(VLOOKUP(B494,TOLSEN!A:AC,7,FALSE),"0")</f>
        <v>0</v>
      </c>
      <c r="J494" s="63">
        <f t="shared" si="14"/>
        <v>0</v>
      </c>
      <c r="K494" s="107" t="e">
        <f t="shared" si="15"/>
        <v>#VALUE!</v>
      </c>
      <c r="L494" s="148">
        <f>IFERROR(VLOOKUP($B494,TOLSEN!A:I,8,FALSE),0)</f>
        <v>0</v>
      </c>
      <c r="M494" s="148">
        <f>IFERROR(VLOOKUP($B494,TOLSEN!A:K,9,FALSE),0)</f>
        <v>0</v>
      </c>
      <c r="N494" s="94" t="str">
        <f>IFERROR(VLOOKUP(B494,TOLSEN!A:K,5,FALSE)," ")</f>
        <v xml:space="preserve"> </v>
      </c>
      <c r="O494" s="161" t="str">
        <f>IFERROR(VLOOKUP($B494,TOLSEN!$A:$K,10,FALSE)," ")</f>
        <v xml:space="preserve"> </v>
      </c>
      <c r="P494" s="161" t="str">
        <f>IFERROR(VLOOKUP($B494,TOLSEN!$A:$K,11,FALSE)," ")</f>
        <v xml:space="preserve"> </v>
      </c>
    </row>
    <row r="495" spans="2:16" ht="52.5" customHeight="1">
      <c r="B495" s="25"/>
      <c r="C495" s="137"/>
      <c r="D495" s="110"/>
      <c r="E495" s="110"/>
      <c r="F495" s="60" t="str">
        <f>IFERROR(VLOOKUP(B495,TOLSEN!A:D,3,FALSE),"0")</f>
        <v>0</v>
      </c>
      <c r="G495" s="61" t="str">
        <f>IFERROR(VLOOKUP(B495,TOLSEN!A:D,4,FALSE),"0")</f>
        <v>0</v>
      </c>
      <c r="H495" s="62" t="str">
        <f>IFERROR(VLOOKUP(B495,TOLSEN!A:K,6,FALSE),"0")</f>
        <v>0</v>
      </c>
      <c r="I495" s="62" t="str">
        <f>IFERROR(VLOOKUP(B495,TOLSEN!A:AC,7,FALSE),"0")</f>
        <v>0</v>
      </c>
      <c r="J495" s="63">
        <f t="shared" si="14"/>
        <v>0</v>
      </c>
      <c r="K495" s="107" t="e">
        <f t="shared" si="15"/>
        <v>#VALUE!</v>
      </c>
      <c r="L495" s="148">
        <f>IFERROR(VLOOKUP($B495,TOLSEN!A:I,8,FALSE),0)</f>
        <v>0</v>
      </c>
      <c r="M495" s="148">
        <f>IFERROR(VLOOKUP($B495,TOLSEN!A:K,9,FALSE),0)</f>
        <v>0</v>
      </c>
      <c r="N495" s="94" t="str">
        <f>IFERROR(VLOOKUP(B495,TOLSEN!A:K,5,FALSE)," ")</f>
        <v xml:space="preserve"> </v>
      </c>
      <c r="O495" s="161" t="str">
        <f>IFERROR(VLOOKUP($B495,TOLSEN!$A:$K,10,FALSE)," ")</f>
        <v xml:space="preserve"> </v>
      </c>
      <c r="P495" s="161" t="str">
        <f>IFERROR(VLOOKUP($B495,TOLSEN!$A:$K,11,FALSE)," ")</f>
        <v xml:space="preserve"> </v>
      </c>
    </row>
    <row r="496" spans="2:16" ht="52.5" customHeight="1">
      <c r="B496" s="25"/>
      <c r="C496" s="138"/>
      <c r="D496" s="110"/>
      <c r="E496" s="110"/>
      <c r="F496" s="60" t="str">
        <f>IFERROR(VLOOKUP(B496,TOLSEN!A:D,3,FALSE),"0")</f>
        <v>0</v>
      </c>
      <c r="G496" s="61" t="str">
        <f>IFERROR(VLOOKUP(B496,TOLSEN!A:D,4,FALSE),"0")</f>
        <v>0</v>
      </c>
      <c r="H496" s="62" t="str">
        <f>IFERROR(VLOOKUP(B496,TOLSEN!A:K,6,FALSE),"0")</f>
        <v>0</v>
      </c>
      <c r="I496" s="62" t="str">
        <f>IFERROR(VLOOKUP(B496,TOLSEN!A:AC,7,FALSE),"0")</f>
        <v>0</v>
      </c>
      <c r="J496" s="63">
        <f t="shared" si="14"/>
        <v>0</v>
      </c>
      <c r="K496" s="107" t="e">
        <f t="shared" si="15"/>
        <v>#VALUE!</v>
      </c>
      <c r="L496" s="148">
        <f>IFERROR(VLOOKUP($B496,TOLSEN!A:I,8,FALSE),0)</f>
        <v>0</v>
      </c>
      <c r="M496" s="148">
        <f>IFERROR(VLOOKUP($B496,TOLSEN!A:K,9,FALSE),0)</f>
        <v>0</v>
      </c>
      <c r="N496" s="94" t="str">
        <f>IFERROR(VLOOKUP(B496,TOLSEN!A:K,5,FALSE)," ")</f>
        <v xml:space="preserve"> </v>
      </c>
      <c r="O496" s="161" t="str">
        <f>IFERROR(VLOOKUP($B496,TOLSEN!$A:$K,10,FALSE)," ")</f>
        <v xml:space="preserve"> </v>
      </c>
      <c r="P496" s="161" t="str">
        <f>IFERROR(VLOOKUP($B496,TOLSEN!$A:$K,11,FALSE)," ")</f>
        <v xml:space="preserve"> </v>
      </c>
    </row>
    <row r="497" spans="2:16" ht="52.5" customHeight="1">
      <c r="B497" s="26"/>
      <c r="C497" s="137"/>
      <c r="D497" s="110"/>
      <c r="E497" s="110"/>
      <c r="F497" s="60" t="str">
        <f>IFERROR(VLOOKUP(B497,TOLSEN!A:D,3,FALSE),"0")</f>
        <v>0</v>
      </c>
      <c r="G497" s="61" t="str">
        <f>IFERROR(VLOOKUP(B497,TOLSEN!A:D,4,FALSE),"0")</f>
        <v>0</v>
      </c>
      <c r="H497" s="62" t="str">
        <f>IFERROR(VLOOKUP(B497,TOLSEN!A:K,6,FALSE),"0")</f>
        <v>0</v>
      </c>
      <c r="I497" s="62" t="str">
        <f>IFERROR(VLOOKUP(B497,TOLSEN!A:AC,7,FALSE),"0")</f>
        <v>0</v>
      </c>
      <c r="J497" s="63">
        <f t="shared" si="14"/>
        <v>0</v>
      </c>
      <c r="K497" s="107" t="e">
        <f t="shared" si="15"/>
        <v>#VALUE!</v>
      </c>
      <c r="L497" s="148">
        <f>IFERROR(VLOOKUP($B497,TOLSEN!A:I,8,FALSE),0)</f>
        <v>0</v>
      </c>
      <c r="M497" s="148">
        <f>IFERROR(VLOOKUP($B497,TOLSEN!A:K,9,FALSE),0)</f>
        <v>0</v>
      </c>
      <c r="N497" s="94" t="str">
        <f>IFERROR(VLOOKUP(B497,TOLSEN!A:K,5,FALSE)," ")</f>
        <v xml:space="preserve"> </v>
      </c>
      <c r="O497" s="161" t="str">
        <f>IFERROR(VLOOKUP($B497,TOLSEN!$A:$K,10,FALSE)," ")</f>
        <v xml:space="preserve"> </v>
      </c>
      <c r="P497" s="161" t="str">
        <f>IFERROR(VLOOKUP($B497,TOLSEN!$A:$K,11,FALSE)," ")</f>
        <v xml:space="preserve"> </v>
      </c>
    </row>
    <row r="498" spans="2:16" ht="55.5" customHeight="1">
      <c r="B498" s="26"/>
      <c r="C498" s="138"/>
      <c r="D498" s="110"/>
      <c r="E498" s="110"/>
      <c r="F498" s="60" t="str">
        <f>IFERROR(VLOOKUP(B498,TOLSEN!A:D,3,FALSE),"0")</f>
        <v>0</v>
      </c>
      <c r="G498" s="61" t="str">
        <f>IFERROR(VLOOKUP(B498,TOLSEN!A:D,4,FALSE),"0")</f>
        <v>0</v>
      </c>
      <c r="H498" s="62" t="str">
        <f>IFERROR(VLOOKUP(B498,TOLSEN!A:K,6,FALSE),"0")</f>
        <v>0</v>
      </c>
      <c r="I498" s="62" t="str">
        <f>IFERROR(VLOOKUP(B498,TOLSEN!A:AC,7,FALSE),"0")</f>
        <v>0</v>
      </c>
      <c r="J498" s="63">
        <f t="shared" si="14"/>
        <v>0</v>
      </c>
      <c r="K498" s="107" t="e">
        <f t="shared" si="15"/>
        <v>#VALUE!</v>
      </c>
      <c r="L498" s="148">
        <f>IFERROR(VLOOKUP($B498,TOLSEN!A:I,8,FALSE),0)</f>
        <v>0</v>
      </c>
      <c r="M498" s="148">
        <f>IFERROR(VLOOKUP($B498,TOLSEN!A:K,9,FALSE),0)</f>
        <v>0</v>
      </c>
      <c r="N498" s="94" t="str">
        <f>IFERROR(VLOOKUP(B498,TOLSEN!A:K,5,FALSE)," ")</f>
        <v xml:space="preserve"> </v>
      </c>
      <c r="O498" s="161" t="str">
        <f>IFERROR(VLOOKUP($B498,TOLSEN!$A:$K,10,FALSE)," ")</f>
        <v xml:space="preserve"> </v>
      </c>
      <c r="P498" s="161" t="str">
        <f>IFERROR(VLOOKUP($B498,TOLSEN!$A:$K,11,FALSE)," ")</f>
        <v xml:space="preserve"> </v>
      </c>
    </row>
    <row r="499" spans="2:16" ht="55.5" customHeight="1">
      <c r="B499" s="26"/>
      <c r="C499" s="137"/>
      <c r="D499" s="110"/>
      <c r="E499" s="110"/>
      <c r="F499" s="60" t="str">
        <f>IFERROR(VLOOKUP(B499,TOLSEN!A:D,3,FALSE),"0")</f>
        <v>0</v>
      </c>
      <c r="G499" s="61" t="str">
        <f>IFERROR(VLOOKUP(B499,TOLSEN!A:D,4,FALSE),"0")</f>
        <v>0</v>
      </c>
      <c r="H499" s="62" t="str">
        <f>IFERROR(VLOOKUP(B499,TOLSEN!A:K,6,FALSE),"0")</f>
        <v>0</v>
      </c>
      <c r="I499" s="62" t="str">
        <f>IFERROR(VLOOKUP(B499,TOLSEN!A:AC,7,FALSE),"0")</f>
        <v>0</v>
      </c>
      <c r="J499" s="63">
        <f t="shared" si="14"/>
        <v>0</v>
      </c>
      <c r="K499" s="107" t="e">
        <f t="shared" si="15"/>
        <v>#VALUE!</v>
      </c>
      <c r="L499" s="148">
        <f>IFERROR(VLOOKUP($B499,TOLSEN!A:I,8,FALSE),0)</f>
        <v>0</v>
      </c>
      <c r="M499" s="148">
        <f>IFERROR(VLOOKUP($B499,TOLSEN!A:K,9,FALSE),0)</f>
        <v>0</v>
      </c>
      <c r="N499" s="94" t="str">
        <f>IFERROR(VLOOKUP(B499,TOLSEN!A:K,5,FALSE)," ")</f>
        <v xml:space="preserve"> </v>
      </c>
      <c r="O499" s="161" t="str">
        <f>IFERROR(VLOOKUP($B499,TOLSEN!$A:$K,10,FALSE)," ")</f>
        <v xml:space="preserve"> </v>
      </c>
      <c r="P499" s="161" t="str">
        <f>IFERROR(VLOOKUP($B499,TOLSEN!$A:$K,11,FALSE)," ")</f>
        <v xml:space="preserve"> </v>
      </c>
    </row>
    <row r="500" spans="2:16" ht="55.5" customHeight="1">
      <c r="B500" s="26"/>
      <c r="C500" s="138"/>
      <c r="D500" s="110"/>
      <c r="E500" s="110"/>
      <c r="F500" s="60" t="str">
        <f>IFERROR(VLOOKUP(B500,TOLSEN!A:D,3,FALSE),"0")</f>
        <v>0</v>
      </c>
      <c r="G500" s="61" t="str">
        <f>IFERROR(VLOOKUP(B500,TOLSEN!A:D,4,FALSE),"0")</f>
        <v>0</v>
      </c>
      <c r="H500" s="62" t="str">
        <f>IFERROR(VLOOKUP(B500,TOLSEN!A:K,6,FALSE),"0")</f>
        <v>0</v>
      </c>
      <c r="I500" s="62" t="str">
        <f>IFERROR(VLOOKUP(B500,TOLSEN!A:AC,7,FALSE),"0")</f>
        <v>0</v>
      </c>
      <c r="J500" s="63">
        <f t="shared" si="14"/>
        <v>0</v>
      </c>
      <c r="K500" s="107" t="e">
        <f t="shared" si="15"/>
        <v>#VALUE!</v>
      </c>
      <c r="L500" s="148">
        <f>IFERROR(VLOOKUP($B500,TOLSEN!A:I,8,FALSE),0)</f>
        <v>0</v>
      </c>
      <c r="M500" s="148">
        <f>IFERROR(VLOOKUP($B500,TOLSEN!A:K,9,FALSE),0)</f>
        <v>0</v>
      </c>
      <c r="N500" s="94" t="str">
        <f>IFERROR(VLOOKUP(B500,TOLSEN!A:K,5,FALSE)," ")</f>
        <v xml:space="preserve"> </v>
      </c>
      <c r="O500" s="161" t="str">
        <f>IFERROR(VLOOKUP($B500,TOLSEN!$A:$K,10,FALSE)," ")</f>
        <v xml:space="preserve"> </v>
      </c>
      <c r="P500" s="161" t="str">
        <f>IFERROR(VLOOKUP($B500,TOLSEN!$A:$K,11,FALSE)," ")</f>
        <v xml:space="preserve"> </v>
      </c>
    </row>
    <row r="501" spans="2:16" ht="55.5" customHeight="1">
      <c r="B501" s="26"/>
      <c r="C501" s="137"/>
      <c r="D501" s="110"/>
      <c r="E501" s="110"/>
      <c r="F501" s="60" t="str">
        <f>IFERROR(VLOOKUP(B501,TOLSEN!A:D,3,FALSE),"0")</f>
        <v>0</v>
      </c>
      <c r="G501" s="61" t="str">
        <f>IFERROR(VLOOKUP(B501,TOLSEN!A:D,4,FALSE),"0")</f>
        <v>0</v>
      </c>
      <c r="H501" s="62" t="str">
        <f>IFERROR(VLOOKUP(B501,TOLSEN!A:K,6,FALSE),"0")</f>
        <v>0</v>
      </c>
      <c r="I501" s="62" t="str">
        <f>IFERROR(VLOOKUP(B501,TOLSEN!A:AC,7,FALSE),"0")</f>
        <v>0</v>
      </c>
      <c r="J501" s="63">
        <f t="shared" si="14"/>
        <v>0</v>
      </c>
      <c r="K501" s="107" t="e">
        <f t="shared" si="15"/>
        <v>#VALUE!</v>
      </c>
      <c r="L501" s="148">
        <f>IFERROR(VLOOKUP($B501,TOLSEN!A:I,8,FALSE),0)</f>
        <v>0</v>
      </c>
      <c r="M501" s="148">
        <f>IFERROR(VLOOKUP($B501,TOLSEN!A:K,9,FALSE),0)</f>
        <v>0</v>
      </c>
      <c r="N501" s="94" t="str">
        <f>IFERROR(VLOOKUP(B501,TOLSEN!A:K,5,FALSE)," ")</f>
        <v xml:space="preserve"> </v>
      </c>
      <c r="O501" s="161" t="str">
        <f>IFERROR(VLOOKUP($B501,TOLSEN!$A:$K,10,FALSE)," ")</f>
        <v xml:space="preserve"> </v>
      </c>
      <c r="P501" s="161" t="str">
        <f>IFERROR(VLOOKUP($B501,TOLSEN!$A:$K,11,FALSE)," ")</f>
        <v xml:space="preserve"> </v>
      </c>
    </row>
    <row r="1048575" ht="45" customHeight="1"/>
  </sheetData>
  <sheetProtection selectLockedCells="1"/>
  <autoFilter ref="A23:P501" xr:uid="{00000000-0001-0000-0000-000000000000}">
    <filterColumn colId="2" showButton="0"/>
    <filterColumn colId="3" showButton="0"/>
  </autoFilter>
  <mergeCells count="5">
    <mergeCell ref="C23:E23"/>
    <mergeCell ref="H5:J5"/>
    <mergeCell ref="H2:J2"/>
    <mergeCell ref="H8:I8"/>
    <mergeCell ref="D9:E9"/>
  </mergeCells>
  <conditionalFormatting sqref="B90:B1048576">
    <cfRule type="duplicateValues" dxfId="19" priority="4"/>
  </conditionalFormatting>
  <conditionalFormatting sqref="B65:B89">
    <cfRule type="duplicateValues" dxfId="18" priority="3"/>
  </conditionalFormatting>
  <conditionalFormatting sqref="B12">
    <cfRule type="duplicateValues" dxfId="17" priority="1"/>
  </conditionalFormatting>
  <conditionalFormatting sqref="B13 B16:B1048576 B1:B11">
    <cfRule type="duplicateValues" dxfId="16" priority="12"/>
  </conditionalFormatting>
  <hyperlinks>
    <hyperlink ref="E8" r:id="rId1" xr:uid="{00000000-0004-0000-0000-000000000000}"/>
  </hyperlinks>
  <pageMargins left="0" right="0" top="0" bottom="0" header="0.51181102362204722" footer="0.51181102362204722"/>
  <pageSetup paperSize="9" scale="45" fitToHeight="0" orientation="portrait" r:id="rId2"/>
  <headerFooter alignWithMargins="0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>
    <pageSetUpPr fitToPage="1"/>
  </sheetPr>
  <dimension ref="A1:K1799"/>
  <sheetViews>
    <sheetView windowProtection="1" view="pageBreakPreview" topLeftCell="C43" zoomScale="80" zoomScaleNormal="100" zoomScaleSheetLayoutView="80" workbookViewId="0">
      <selection activeCell="H47" sqref="H47"/>
    </sheetView>
  </sheetViews>
  <sheetFormatPr baseColWidth="10" defaultColWidth="10" defaultRowHeight="12.75"/>
  <cols>
    <col min="1" max="1" width="8" style="35" customWidth="1"/>
    <col min="2" max="2" width="36.25" style="12" bestFit="1" customWidth="1"/>
    <col min="3" max="3" width="38.25" style="36" customWidth="1"/>
    <col min="4" max="4" width="30.875" style="36" customWidth="1"/>
    <col min="5" max="5" width="4.25" style="36" customWidth="1"/>
    <col min="6" max="6" width="12.5" style="136" customWidth="1"/>
    <col min="7" max="9" width="12.5" style="12" customWidth="1"/>
    <col min="10" max="11" width="18.875" style="12" customWidth="1"/>
    <col min="12" max="16384" width="10" style="29"/>
  </cols>
  <sheetData>
    <row r="1" spans="1:11" ht="17.25" customHeight="1">
      <c r="A1" s="28"/>
      <c r="B1" s="11"/>
      <c r="C1" s="20"/>
      <c r="D1" s="20"/>
      <c r="E1" s="20"/>
      <c r="F1" s="130"/>
      <c r="G1" s="11"/>
      <c r="H1" s="11"/>
      <c r="I1" s="11"/>
      <c r="J1" s="11"/>
      <c r="K1" s="11"/>
    </row>
    <row r="2" spans="1:11" ht="17.25" customHeight="1">
      <c r="A2" s="28"/>
      <c r="B2" s="11"/>
      <c r="C2" s="20"/>
      <c r="D2" s="20"/>
      <c r="E2" s="20"/>
      <c r="F2" s="130"/>
      <c r="G2" s="13" t="str">
        <f>'nota de pedido'!H20</f>
        <v/>
      </c>
      <c r="H2" s="11"/>
      <c r="I2" s="11"/>
      <c r="J2" s="11"/>
      <c r="K2" s="11"/>
    </row>
    <row r="3" spans="1:11" ht="17.25" customHeight="1">
      <c r="A3" s="28"/>
      <c r="B3" s="11"/>
      <c r="C3" s="20"/>
      <c r="D3" s="20"/>
      <c r="E3" s="20"/>
      <c r="F3" s="130"/>
      <c r="G3" s="37">
        <f>'nota de pedido'!I20</f>
        <v>18</v>
      </c>
      <c r="H3" s="11"/>
      <c r="I3" s="11"/>
      <c r="J3" s="11"/>
      <c r="K3" s="11"/>
    </row>
    <row r="4" spans="1:11" ht="17.25" customHeight="1">
      <c r="A4" s="28"/>
      <c r="B4"/>
      <c r="C4" s="20"/>
      <c r="D4" s="20"/>
      <c r="E4" s="20"/>
      <c r="F4" s="130"/>
      <c r="G4" s="13">
        <f>'nota de pedido'!H21</f>
        <v>0</v>
      </c>
      <c r="H4" s="11"/>
      <c r="I4" s="11"/>
      <c r="J4" s="11"/>
      <c r="K4" s="11"/>
    </row>
    <row r="5" spans="1:11" ht="17.25" customHeight="1">
      <c r="A5" s="28"/>
      <c r="B5" s="11"/>
      <c r="C5" s="20"/>
      <c r="D5" s="20"/>
      <c r="E5" s="20"/>
      <c r="F5" s="130"/>
      <c r="G5" s="38">
        <f>'nota de pedido'!I21</f>
        <v>0</v>
      </c>
      <c r="H5" s="11"/>
      <c r="I5" s="11"/>
      <c r="J5" s="11"/>
      <c r="K5" s="11"/>
    </row>
    <row r="6" spans="1:11" ht="17.25" customHeight="1">
      <c r="A6" s="28"/>
      <c r="B6" s="14"/>
      <c r="C6" s="18" t="s">
        <v>4197</v>
      </c>
      <c r="D6" s="88"/>
      <c r="E6" s="88"/>
      <c r="F6" s="130"/>
      <c r="G6" s="19" t="e">
        <f>((100*(1-G2/100))*(1-G3/100)*(1-G4/100)*(1-G5/100))/100</f>
        <v>#VALUE!</v>
      </c>
      <c r="H6" s="11"/>
      <c r="I6" s="11"/>
      <c r="J6" s="11"/>
      <c r="K6" s="11"/>
    </row>
    <row r="7" spans="1:11" ht="30" customHeight="1">
      <c r="A7" s="30" t="s">
        <v>5</v>
      </c>
      <c r="B7" s="16" t="s">
        <v>6</v>
      </c>
      <c r="C7" s="15" t="s">
        <v>7</v>
      </c>
      <c r="D7" s="15" t="s">
        <v>8</v>
      </c>
      <c r="E7" s="15" t="s">
        <v>3554</v>
      </c>
      <c r="F7" s="131" t="s">
        <v>2485</v>
      </c>
      <c r="G7" s="21"/>
      <c r="H7" s="21" t="s">
        <v>4296</v>
      </c>
      <c r="I7" s="21" t="s">
        <v>4297</v>
      </c>
      <c r="J7" s="151" t="s">
        <v>4300</v>
      </c>
      <c r="K7" s="152" t="s">
        <v>4301</v>
      </c>
    </row>
    <row r="8" spans="1:11" ht="30" customHeight="1">
      <c r="A8" s="31">
        <v>79005</v>
      </c>
      <c r="B8" s="16" t="s">
        <v>2891</v>
      </c>
      <c r="C8" s="15" t="s">
        <v>2609</v>
      </c>
      <c r="D8" s="15" t="s">
        <v>2610</v>
      </c>
      <c r="E8" s="15">
        <v>0.21</v>
      </c>
      <c r="F8" s="131">
        <v>147053.72972997476</v>
      </c>
      <c r="G8" s="17" t="e">
        <f t="shared" ref="G8:G71" si="0">(F8*$G$6)</f>
        <v>#VALUE!</v>
      </c>
      <c r="H8" s="141">
        <v>55</v>
      </c>
      <c r="I8" s="141">
        <v>0</v>
      </c>
      <c r="J8" s="149">
        <v>0</v>
      </c>
      <c r="K8" s="150">
        <v>12</v>
      </c>
    </row>
    <row r="9" spans="1:11" ht="30" customHeight="1">
      <c r="A9" s="30">
        <v>85350</v>
      </c>
      <c r="B9" s="16" t="s">
        <v>2892</v>
      </c>
      <c r="C9" s="15" t="s">
        <v>1939</v>
      </c>
      <c r="D9" s="15" t="s">
        <v>3031</v>
      </c>
      <c r="E9" s="15">
        <v>0.21</v>
      </c>
      <c r="F9" s="131">
        <v>188822.45003379052</v>
      </c>
      <c r="G9" s="17" t="e">
        <f t="shared" si="0"/>
        <v>#VALUE!</v>
      </c>
      <c r="H9" s="141">
        <v>161</v>
      </c>
      <c r="I9" s="141">
        <v>0</v>
      </c>
      <c r="J9" s="149">
        <v>0</v>
      </c>
      <c r="K9" s="150">
        <v>4</v>
      </c>
    </row>
    <row r="10" spans="1:11" ht="30" customHeight="1">
      <c r="A10" s="30">
        <v>85352</v>
      </c>
      <c r="B10" s="16" t="s">
        <v>2892</v>
      </c>
      <c r="C10" s="15" t="s">
        <v>1940</v>
      </c>
      <c r="D10" s="15" t="s">
        <v>3032</v>
      </c>
      <c r="E10" s="15">
        <v>0.21</v>
      </c>
      <c r="F10" s="131">
        <v>218342.79620000001</v>
      </c>
      <c r="G10" s="17" t="e">
        <f t="shared" si="0"/>
        <v>#VALUE!</v>
      </c>
      <c r="H10" s="141">
        <v>125</v>
      </c>
      <c r="I10" s="141">
        <v>0</v>
      </c>
      <c r="J10" s="149">
        <v>0</v>
      </c>
      <c r="K10" s="150">
        <v>4</v>
      </c>
    </row>
    <row r="11" spans="1:11" ht="30" customHeight="1">
      <c r="A11" s="31">
        <v>85354</v>
      </c>
      <c r="B11" s="16" t="s">
        <v>2892</v>
      </c>
      <c r="C11" s="15" t="s">
        <v>3066</v>
      </c>
      <c r="D11" s="15" t="s">
        <v>2576</v>
      </c>
      <c r="E11" s="15">
        <v>0.21</v>
      </c>
      <c r="F11" s="131">
        <v>560208.04082317126</v>
      </c>
      <c r="G11" s="17" t="e">
        <f t="shared" si="0"/>
        <v>#VALUE!</v>
      </c>
      <c r="H11" s="141">
        <v>75</v>
      </c>
      <c r="I11" s="141">
        <v>0</v>
      </c>
      <c r="J11" s="149">
        <v>0</v>
      </c>
      <c r="K11" s="150">
        <v>2</v>
      </c>
    </row>
    <row r="12" spans="1:11" ht="30" customHeight="1">
      <c r="A12" s="31">
        <v>85355</v>
      </c>
      <c r="B12" s="16" t="s">
        <v>2892</v>
      </c>
      <c r="C12" s="15" t="s">
        <v>3067</v>
      </c>
      <c r="D12" s="15" t="s">
        <v>2577</v>
      </c>
      <c r="E12" s="15">
        <v>0.21</v>
      </c>
      <c r="F12" s="131">
        <v>705533.97609947529</v>
      </c>
      <c r="G12" s="17" t="e">
        <f t="shared" si="0"/>
        <v>#VALUE!</v>
      </c>
      <c r="H12" s="141">
        <v>106</v>
      </c>
      <c r="I12" s="141">
        <v>20</v>
      </c>
      <c r="J12" s="149">
        <v>0</v>
      </c>
      <c r="K12" s="150">
        <v>2</v>
      </c>
    </row>
    <row r="13" spans="1:11" ht="30" customHeight="1">
      <c r="A13" s="31">
        <v>85401</v>
      </c>
      <c r="B13" s="16" t="s">
        <v>2892</v>
      </c>
      <c r="C13" s="15" t="s">
        <v>3068</v>
      </c>
      <c r="D13" s="15" t="s">
        <v>3033</v>
      </c>
      <c r="E13" s="15">
        <v>0.21</v>
      </c>
      <c r="F13" s="131">
        <v>698223.96100000001</v>
      </c>
      <c r="G13" s="17" t="e">
        <f t="shared" si="0"/>
        <v>#VALUE!</v>
      </c>
      <c r="H13" s="141">
        <v>46</v>
      </c>
      <c r="I13" s="141">
        <v>5</v>
      </c>
      <c r="J13" s="149">
        <v>0</v>
      </c>
      <c r="K13" s="150">
        <v>1</v>
      </c>
    </row>
    <row r="14" spans="1:11" ht="30" customHeight="1">
      <c r="A14" s="30">
        <v>15145</v>
      </c>
      <c r="B14" s="16" t="s">
        <v>2892</v>
      </c>
      <c r="C14" s="15" t="s">
        <v>4198</v>
      </c>
      <c r="D14" s="15" t="s">
        <v>3034</v>
      </c>
      <c r="E14" s="15">
        <v>0.21</v>
      </c>
      <c r="F14" s="131">
        <v>314700.81210544269</v>
      </c>
      <c r="G14" s="17" t="e">
        <f t="shared" si="0"/>
        <v>#VALUE!</v>
      </c>
      <c r="H14" s="141">
        <v>153</v>
      </c>
      <c r="I14" s="141">
        <v>15</v>
      </c>
      <c r="J14" s="149">
        <v>0</v>
      </c>
      <c r="K14" s="150">
        <v>3</v>
      </c>
    </row>
    <row r="15" spans="1:11" ht="30" customHeight="1">
      <c r="A15" s="30">
        <v>15146</v>
      </c>
      <c r="B15" s="16" t="s">
        <v>2892</v>
      </c>
      <c r="C15" s="15" t="s">
        <v>1937</v>
      </c>
      <c r="D15" s="15" t="s">
        <v>3035</v>
      </c>
      <c r="E15" s="15">
        <v>0.21</v>
      </c>
      <c r="F15" s="131">
        <v>509153.46938982996</v>
      </c>
      <c r="G15" s="17" t="e">
        <f t="shared" si="0"/>
        <v>#VALUE!</v>
      </c>
      <c r="H15" s="141">
        <v>51</v>
      </c>
      <c r="I15" s="141">
        <v>8</v>
      </c>
      <c r="J15" s="149">
        <v>0</v>
      </c>
      <c r="K15" s="150">
        <v>2</v>
      </c>
    </row>
    <row r="16" spans="1:11" ht="30" customHeight="1">
      <c r="A16" s="30">
        <v>15147</v>
      </c>
      <c r="B16" s="16" t="s">
        <v>2892</v>
      </c>
      <c r="C16" s="15" t="s">
        <v>1938</v>
      </c>
      <c r="D16" s="15" t="s">
        <v>3036</v>
      </c>
      <c r="E16" s="15">
        <v>0.21</v>
      </c>
      <c r="F16" s="131">
        <v>618120.60061918024</v>
      </c>
      <c r="G16" s="17" t="e">
        <f t="shared" si="0"/>
        <v>#VALUE!</v>
      </c>
      <c r="H16" s="141">
        <v>396</v>
      </c>
      <c r="I16" s="141">
        <v>100</v>
      </c>
      <c r="J16" s="149">
        <v>0</v>
      </c>
      <c r="K16" s="150">
        <v>2</v>
      </c>
    </row>
    <row r="17" spans="1:11" ht="30" customHeight="1">
      <c r="A17" s="31">
        <v>15142</v>
      </c>
      <c r="B17" s="16" t="s">
        <v>2892</v>
      </c>
      <c r="C17" s="15" t="s">
        <v>3069</v>
      </c>
      <c r="D17" s="15" t="s">
        <v>2208</v>
      </c>
      <c r="E17" s="15">
        <v>0.21</v>
      </c>
      <c r="F17" s="131">
        <v>246338.49343992001</v>
      </c>
      <c r="G17" s="17" t="e">
        <f t="shared" si="0"/>
        <v>#VALUE!</v>
      </c>
      <c r="H17" s="141">
        <v>54</v>
      </c>
      <c r="I17" s="141">
        <v>0</v>
      </c>
      <c r="J17" s="149">
        <v>0</v>
      </c>
      <c r="K17" s="150">
        <v>4</v>
      </c>
    </row>
    <row r="18" spans="1:11" ht="30" customHeight="1">
      <c r="A18" s="30">
        <v>15139</v>
      </c>
      <c r="B18" s="16" t="s">
        <v>2892</v>
      </c>
      <c r="C18" s="15" t="s">
        <v>114</v>
      </c>
      <c r="D18" s="15" t="s">
        <v>98</v>
      </c>
      <c r="E18" s="15">
        <v>0.21</v>
      </c>
      <c r="F18" s="131">
        <v>180288.32379164454</v>
      </c>
      <c r="G18" s="17" t="e">
        <f t="shared" si="0"/>
        <v>#VALUE!</v>
      </c>
      <c r="H18" s="141">
        <v>393</v>
      </c>
      <c r="I18" s="141">
        <v>20</v>
      </c>
      <c r="J18" s="149">
        <v>0</v>
      </c>
      <c r="K18" s="150">
        <v>4</v>
      </c>
    </row>
    <row r="19" spans="1:11" ht="30" customHeight="1">
      <c r="A19" s="30">
        <v>15395</v>
      </c>
      <c r="B19" s="16" t="s">
        <v>2892</v>
      </c>
      <c r="C19" s="15" t="s">
        <v>143</v>
      </c>
      <c r="D19" s="15" t="s">
        <v>144</v>
      </c>
      <c r="E19" s="15">
        <v>0.21</v>
      </c>
      <c r="F19" s="131">
        <v>231378.25916881504</v>
      </c>
      <c r="G19" s="17" t="e">
        <f t="shared" si="0"/>
        <v>#VALUE!</v>
      </c>
      <c r="H19" s="141">
        <v>80</v>
      </c>
      <c r="I19" s="141">
        <v>0</v>
      </c>
      <c r="J19" s="149">
        <v>0</v>
      </c>
      <c r="K19" s="150">
        <v>4</v>
      </c>
    </row>
    <row r="20" spans="1:11" ht="30" customHeight="1">
      <c r="A20" s="30">
        <v>15138</v>
      </c>
      <c r="B20" s="16" t="s">
        <v>2892</v>
      </c>
      <c r="C20" s="15" t="s">
        <v>113</v>
      </c>
      <c r="D20" s="15" t="s">
        <v>96</v>
      </c>
      <c r="E20" s="15">
        <v>0.21</v>
      </c>
      <c r="F20" s="131">
        <v>95292.082721532483</v>
      </c>
      <c r="G20" s="17" t="e">
        <f t="shared" si="0"/>
        <v>#VALUE!</v>
      </c>
      <c r="H20" s="141">
        <v>336</v>
      </c>
      <c r="I20" s="141">
        <v>20</v>
      </c>
      <c r="J20" s="149">
        <v>0</v>
      </c>
      <c r="K20" s="150">
        <v>10</v>
      </c>
    </row>
    <row r="21" spans="1:11" ht="30" customHeight="1">
      <c r="A21" s="31">
        <v>15143</v>
      </c>
      <c r="B21" s="16" t="s">
        <v>2892</v>
      </c>
      <c r="C21" s="15" t="s">
        <v>3070</v>
      </c>
      <c r="D21" s="15" t="s">
        <v>2574</v>
      </c>
      <c r="E21" s="15">
        <v>0.21</v>
      </c>
      <c r="F21" s="131">
        <v>354461.34112000978</v>
      </c>
      <c r="G21" s="17" t="e">
        <f t="shared" si="0"/>
        <v>#VALUE!</v>
      </c>
      <c r="H21" s="141">
        <v>50</v>
      </c>
      <c r="I21" s="141">
        <v>0</v>
      </c>
      <c r="J21" s="149">
        <v>0</v>
      </c>
      <c r="K21" s="150">
        <v>3</v>
      </c>
    </row>
    <row r="22" spans="1:11" ht="30" customHeight="1">
      <c r="A22" s="31">
        <v>15144</v>
      </c>
      <c r="B22" s="16" t="s">
        <v>2892</v>
      </c>
      <c r="C22" s="15" t="s">
        <v>3071</v>
      </c>
      <c r="D22" s="15" t="s">
        <v>2575</v>
      </c>
      <c r="E22" s="15">
        <v>0.21</v>
      </c>
      <c r="F22" s="131">
        <v>379213.62945094152</v>
      </c>
      <c r="G22" s="17" t="e">
        <f t="shared" si="0"/>
        <v>#VALUE!</v>
      </c>
      <c r="H22" s="141">
        <v>51</v>
      </c>
      <c r="I22" s="141">
        <v>0</v>
      </c>
      <c r="J22" s="149">
        <v>0</v>
      </c>
      <c r="K22" s="150">
        <v>3</v>
      </c>
    </row>
    <row r="23" spans="1:11" ht="30" customHeight="1">
      <c r="A23" s="31">
        <v>85310</v>
      </c>
      <c r="B23" s="16" t="s">
        <v>2892</v>
      </c>
      <c r="C23" s="15" t="s">
        <v>3072</v>
      </c>
      <c r="D23" s="15" t="s">
        <v>3037</v>
      </c>
      <c r="E23" s="15">
        <v>0.21</v>
      </c>
      <c r="F23" s="131">
        <v>443223.55486598186</v>
      </c>
      <c r="G23" s="17" t="e">
        <f t="shared" si="0"/>
        <v>#VALUE!</v>
      </c>
      <c r="H23" s="141">
        <v>49</v>
      </c>
      <c r="I23" s="141">
        <v>0</v>
      </c>
      <c r="J23" s="149">
        <v>0</v>
      </c>
      <c r="K23" s="150">
        <v>3</v>
      </c>
    </row>
    <row r="24" spans="1:11" ht="30" customHeight="1">
      <c r="A24" s="30">
        <v>10305</v>
      </c>
      <c r="B24" s="16" t="s">
        <v>702</v>
      </c>
      <c r="C24" s="15" t="s">
        <v>68</v>
      </c>
      <c r="D24" s="15" t="s">
        <v>69</v>
      </c>
      <c r="E24" s="15">
        <v>0.21</v>
      </c>
      <c r="F24" s="131">
        <v>63269.280000000006</v>
      </c>
      <c r="G24" s="17" t="e">
        <f t="shared" si="0"/>
        <v>#VALUE!</v>
      </c>
      <c r="H24" s="141">
        <v>308</v>
      </c>
      <c r="I24" s="141">
        <v>0</v>
      </c>
      <c r="J24" s="149">
        <v>5</v>
      </c>
      <c r="K24" s="150">
        <v>30</v>
      </c>
    </row>
    <row r="25" spans="1:11" ht="30" customHeight="1">
      <c r="A25" s="30">
        <v>10015</v>
      </c>
      <c r="B25" s="16" t="s">
        <v>702</v>
      </c>
      <c r="C25" s="15" t="s">
        <v>9</v>
      </c>
      <c r="D25" s="15" t="s">
        <v>10</v>
      </c>
      <c r="E25" s="15">
        <v>0.21</v>
      </c>
      <c r="F25" s="131">
        <v>18465.745098001033</v>
      </c>
      <c r="G25" s="17" t="e">
        <f t="shared" si="0"/>
        <v>#VALUE!</v>
      </c>
      <c r="H25" s="141">
        <v>2899</v>
      </c>
      <c r="I25" s="141">
        <v>180</v>
      </c>
      <c r="J25" s="149">
        <v>6</v>
      </c>
      <c r="K25" s="150">
        <v>36</v>
      </c>
    </row>
    <row r="26" spans="1:11" ht="30" customHeight="1">
      <c r="A26" s="30">
        <v>10016</v>
      </c>
      <c r="B26" s="16" t="s">
        <v>702</v>
      </c>
      <c r="C26" s="15" t="s">
        <v>9</v>
      </c>
      <c r="D26" s="15" t="s">
        <v>11</v>
      </c>
      <c r="E26" s="15">
        <v>0.21</v>
      </c>
      <c r="F26" s="131">
        <v>20459.206216535302</v>
      </c>
      <c r="G26" s="17" t="e">
        <f t="shared" si="0"/>
        <v>#VALUE!</v>
      </c>
      <c r="H26" s="141">
        <v>3371</v>
      </c>
      <c r="I26" s="141">
        <v>360</v>
      </c>
      <c r="J26" s="149">
        <v>6</v>
      </c>
      <c r="K26" s="150">
        <v>36</v>
      </c>
    </row>
    <row r="27" spans="1:11" ht="30" customHeight="1">
      <c r="A27" s="30">
        <v>10017</v>
      </c>
      <c r="B27" s="16" t="s">
        <v>702</v>
      </c>
      <c r="C27" s="15" t="s">
        <v>9</v>
      </c>
      <c r="D27" s="15" t="s">
        <v>12</v>
      </c>
      <c r="E27" s="15">
        <v>0.21</v>
      </c>
      <c r="F27" s="131">
        <v>22767.424353785438</v>
      </c>
      <c r="G27" s="17" t="e">
        <f t="shared" si="0"/>
        <v>#VALUE!</v>
      </c>
      <c r="H27" s="141">
        <v>2565</v>
      </c>
      <c r="I27" s="141">
        <v>288</v>
      </c>
      <c r="J27" s="149">
        <v>6</v>
      </c>
      <c r="K27" s="150">
        <v>36</v>
      </c>
    </row>
    <row r="28" spans="1:11" ht="30" customHeight="1">
      <c r="A28" s="30">
        <v>10018</v>
      </c>
      <c r="B28" s="16" t="s">
        <v>702</v>
      </c>
      <c r="C28" s="15" t="s">
        <v>13</v>
      </c>
      <c r="D28" s="15" t="s">
        <v>10</v>
      </c>
      <c r="E28" s="15">
        <v>0.21</v>
      </c>
      <c r="F28" s="131">
        <v>18571.2</v>
      </c>
      <c r="G28" s="17" t="e">
        <f t="shared" si="0"/>
        <v>#VALUE!</v>
      </c>
      <c r="H28" s="141">
        <v>5094</v>
      </c>
      <c r="I28" s="141">
        <v>540</v>
      </c>
      <c r="J28" s="149">
        <v>6</v>
      </c>
      <c r="K28" s="150">
        <v>36</v>
      </c>
    </row>
    <row r="29" spans="1:11" ht="30" customHeight="1">
      <c r="A29" s="30">
        <v>10019</v>
      </c>
      <c r="B29" s="16" t="s">
        <v>702</v>
      </c>
      <c r="C29" s="15" t="s">
        <v>13</v>
      </c>
      <c r="D29" s="15" t="s">
        <v>11</v>
      </c>
      <c r="E29" s="15">
        <v>0.21</v>
      </c>
      <c r="F29" s="131">
        <v>20459.060000000001</v>
      </c>
      <c r="G29" s="17" t="e">
        <f t="shared" si="0"/>
        <v>#VALUE!</v>
      </c>
      <c r="H29" s="141">
        <v>2857</v>
      </c>
      <c r="I29" s="141">
        <v>252</v>
      </c>
      <c r="J29" s="149">
        <v>6</v>
      </c>
      <c r="K29" s="150">
        <v>36</v>
      </c>
    </row>
    <row r="30" spans="1:11" ht="30" customHeight="1">
      <c r="A30" s="30">
        <v>10021</v>
      </c>
      <c r="B30" s="16" t="s">
        <v>702</v>
      </c>
      <c r="C30" s="15" t="s">
        <v>14</v>
      </c>
      <c r="D30" s="15" t="s">
        <v>10</v>
      </c>
      <c r="E30" s="15">
        <v>0.21</v>
      </c>
      <c r="F30" s="131">
        <v>17102.04</v>
      </c>
      <c r="G30" s="17" t="e">
        <f t="shared" si="0"/>
        <v>#VALUE!</v>
      </c>
      <c r="H30" s="141">
        <v>3022</v>
      </c>
      <c r="I30" s="141">
        <v>180</v>
      </c>
      <c r="J30" s="149">
        <v>6</v>
      </c>
      <c r="K30" s="150">
        <v>36</v>
      </c>
    </row>
    <row r="31" spans="1:11" ht="30" customHeight="1">
      <c r="A31" s="30">
        <v>10022</v>
      </c>
      <c r="B31" s="16" t="s">
        <v>702</v>
      </c>
      <c r="C31" s="15" t="s">
        <v>14</v>
      </c>
      <c r="D31" s="15" t="s">
        <v>12</v>
      </c>
      <c r="E31" s="15">
        <v>0.21</v>
      </c>
      <c r="F31" s="131">
        <v>20564</v>
      </c>
      <c r="G31" s="17" t="e">
        <f t="shared" si="0"/>
        <v>#VALUE!</v>
      </c>
      <c r="H31" s="141">
        <v>1632</v>
      </c>
      <c r="I31" s="141">
        <v>252</v>
      </c>
      <c r="J31" s="149">
        <v>6</v>
      </c>
      <c r="K31" s="150">
        <v>36</v>
      </c>
    </row>
    <row r="32" spans="1:11" ht="30" customHeight="1">
      <c r="A32" s="30">
        <v>10023</v>
      </c>
      <c r="B32" s="16" t="s">
        <v>702</v>
      </c>
      <c r="C32" s="15" t="s">
        <v>15</v>
      </c>
      <c r="D32" s="15" t="s">
        <v>10</v>
      </c>
      <c r="E32" s="15">
        <v>0.21</v>
      </c>
      <c r="F32" s="131">
        <v>17731.68</v>
      </c>
      <c r="G32" s="17" t="e">
        <f t="shared" si="0"/>
        <v>#VALUE!</v>
      </c>
      <c r="H32" s="141">
        <v>880</v>
      </c>
      <c r="I32" s="141">
        <v>0</v>
      </c>
      <c r="J32" s="149">
        <v>6</v>
      </c>
      <c r="K32" s="150">
        <v>36</v>
      </c>
    </row>
    <row r="33" spans="1:11" ht="30" customHeight="1">
      <c r="A33" s="30">
        <v>10028</v>
      </c>
      <c r="B33" s="16" t="s">
        <v>702</v>
      </c>
      <c r="C33" s="15" t="s">
        <v>16</v>
      </c>
      <c r="D33" s="15" t="s">
        <v>10</v>
      </c>
      <c r="E33" s="15">
        <v>0.21</v>
      </c>
      <c r="F33" s="131">
        <v>20541.740000000002</v>
      </c>
      <c r="G33" s="17" t="e">
        <f t="shared" si="0"/>
        <v>#VALUE!</v>
      </c>
      <c r="H33" s="141">
        <v>186</v>
      </c>
      <c r="I33" s="141">
        <v>0</v>
      </c>
      <c r="J33" s="149">
        <v>6</v>
      </c>
      <c r="K33" s="150">
        <v>36</v>
      </c>
    </row>
    <row r="34" spans="1:11" ht="30" customHeight="1">
      <c r="A34" s="30">
        <v>10029</v>
      </c>
      <c r="B34" s="16" t="s">
        <v>702</v>
      </c>
      <c r="C34" s="15" t="s">
        <v>1913</v>
      </c>
      <c r="D34" s="15" t="s">
        <v>17</v>
      </c>
      <c r="E34" s="15">
        <v>0.21</v>
      </c>
      <c r="F34" s="131">
        <v>26191.54</v>
      </c>
      <c r="G34" s="17" t="e">
        <f t="shared" si="0"/>
        <v>#VALUE!</v>
      </c>
      <c r="H34" s="141">
        <v>5879</v>
      </c>
      <c r="I34" s="141">
        <v>540</v>
      </c>
      <c r="J34" s="149">
        <v>6</v>
      </c>
      <c r="K34" s="150">
        <v>36</v>
      </c>
    </row>
    <row r="35" spans="1:11" ht="30" customHeight="1">
      <c r="A35" s="30">
        <v>10329</v>
      </c>
      <c r="B35" s="16" t="s">
        <v>702</v>
      </c>
      <c r="C35" s="15" t="s">
        <v>71</v>
      </c>
      <c r="D35" s="15" t="s">
        <v>72</v>
      </c>
      <c r="E35" s="15">
        <v>0.21</v>
      </c>
      <c r="F35" s="131">
        <v>43569.68396369469</v>
      </c>
      <c r="G35" s="17" t="e">
        <f t="shared" si="0"/>
        <v>#VALUE!</v>
      </c>
      <c r="H35" s="141">
        <v>539</v>
      </c>
      <c r="I35" s="141">
        <v>36</v>
      </c>
      <c r="J35" s="149">
        <v>6</v>
      </c>
      <c r="K35" s="150">
        <v>36</v>
      </c>
    </row>
    <row r="36" spans="1:11" ht="30" customHeight="1">
      <c r="A36" s="30">
        <v>10330</v>
      </c>
      <c r="B36" s="16" t="s">
        <v>702</v>
      </c>
      <c r="C36" s="15" t="s">
        <v>71</v>
      </c>
      <c r="D36" s="15" t="s">
        <v>73</v>
      </c>
      <c r="E36" s="15">
        <v>0.21</v>
      </c>
      <c r="F36" s="131">
        <v>56120.849267956939</v>
      </c>
      <c r="G36" s="17" t="e">
        <f t="shared" si="0"/>
        <v>#VALUE!</v>
      </c>
      <c r="H36" s="141">
        <v>622</v>
      </c>
      <c r="I36" s="141">
        <v>72</v>
      </c>
      <c r="J36" s="149">
        <v>6</v>
      </c>
      <c r="K36" s="150">
        <v>36</v>
      </c>
    </row>
    <row r="37" spans="1:11" ht="30" customHeight="1">
      <c r="A37" s="31">
        <v>10315</v>
      </c>
      <c r="B37" s="16" t="s">
        <v>702</v>
      </c>
      <c r="C37" s="15" t="s">
        <v>3073</v>
      </c>
      <c r="D37" s="15" t="s">
        <v>2486</v>
      </c>
      <c r="E37" s="15">
        <v>0.21</v>
      </c>
      <c r="F37" s="131">
        <v>14358.470287207167</v>
      </c>
      <c r="G37" s="17" t="e">
        <f t="shared" si="0"/>
        <v>#VALUE!</v>
      </c>
      <c r="H37" s="141">
        <v>275</v>
      </c>
      <c r="I37" s="141">
        <v>0</v>
      </c>
      <c r="J37" s="149">
        <v>6</v>
      </c>
      <c r="K37" s="150">
        <v>48</v>
      </c>
    </row>
    <row r="38" spans="1:11" ht="30" customHeight="1">
      <c r="A38" s="31">
        <v>10316</v>
      </c>
      <c r="B38" s="16" t="s">
        <v>702</v>
      </c>
      <c r="C38" s="15" t="s">
        <v>3073</v>
      </c>
      <c r="D38" s="15" t="s">
        <v>2487</v>
      </c>
      <c r="E38" s="15">
        <v>0.21</v>
      </c>
      <c r="F38" s="131">
        <v>16715.831080629239</v>
      </c>
      <c r="G38" s="17" t="e">
        <f t="shared" si="0"/>
        <v>#VALUE!</v>
      </c>
      <c r="H38" s="141">
        <v>282</v>
      </c>
      <c r="I38" s="141">
        <v>0</v>
      </c>
      <c r="J38" s="149">
        <v>6</v>
      </c>
      <c r="K38" s="150">
        <v>48</v>
      </c>
    </row>
    <row r="39" spans="1:11" ht="30" customHeight="1">
      <c r="A39" s="31">
        <v>10321</v>
      </c>
      <c r="B39" s="16" t="s">
        <v>702</v>
      </c>
      <c r="C39" s="15" t="s">
        <v>3074</v>
      </c>
      <c r="D39" s="15" t="s">
        <v>2488</v>
      </c>
      <c r="E39" s="15">
        <v>0.21</v>
      </c>
      <c r="F39" s="131">
        <v>27569.513067010033</v>
      </c>
      <c r="G39" s="17" t="e">
        <f t="shared" si="0"/>
        <v>#VALUE!</v>
      </c>
      <c r="H39" s="141">
        <v>420</v>
      </c>
      <c r="I39" s="141">
        <v>0</v>
      </c>
      <c r="J39" s="149">
        <v>6</v>
      </c>
      <c r="K39" s="150">
        <v>36</v>
      </c>
    </row>
    <row r="40" spans="1:11" ht="30" customHeight="1">
      <c r="A40" s="31">
        <v>10322</v>
      </c>
      <c r="B40" s="16" t="s">
        <v>702</v>
      </c>
      <c r="C40" s="15" t="s">
        <v>3074</v>
      </c>
      <c r="D40" s="15" t="s">
        <v>2489</v>
      </c>
      <c r="E40" s="15">
        <v>0.21</v>
      </c>
      <c r="F40" s="131">
        <v>34378.17823740522</v>
      </c>
      <c r="G40" s="17" t="e">
        <f t="shared" si="0"/>
        <v>#VALUE!</v>
      </c>
      <c r="H40" s="141">
        <v>480</v>
      </c>
      <c r="I40" s="141">
        <v>0</v>
      </c>
      <c r="J40" s="149">
        <v>6</v>
      </c>
      <c r="K40" s="150">
        <v>24</v>
      </c>
    </row>
    <row r="41" spans="1:11" ht="30" customHeight="1">
      <c r="A41" s="31">
        <v>10290</v>
      </c>
      <c r="B41" s="16" t="s">
        <v>702</v>
      </c>
      <c r="C41" s="15" t="s">
        <v>3075</v>
      </c>
      <c r="D41" s="15" t="s">
        <v>2358</v>
      </c>
      <c r="E41" s="15">
        <v>0.21</v>
      </c>
      <c r="F41" s="131">
        <v>18965.292043826317</v>
      </c>
      <c r="G41" s="17" t="e">
        <f t="shared" si="0"/>
        <v>#VALUE!</v>
      </c>
      <c r="H41" s="141">
        <v>458</v>
      </c>
      <c r="I41" s="141">
        <v>0</v>
      </c>
      <c r="J41" s="149">
        <v>6</v>
      </c>
      <c r="K41" s="150">
        <v>48</v>
      </c>
    </row>
    <row r="42" spans="1:11" ht="30" customHeight="1">
      <c r="A42" s="31">
        <v>10291</v>
      </c>
      <c r="B42" s="16" t="s">
        <v>702</v>
      </c>
      <c r="C42" s="15" t="s">
        <v>3076</v>
      </c>
      <c r="D42" s="15" t="s">
        <v>2358</v>
      </c>
      <c r="E42" s="15">
        <v>0.21</v>
      </c>
      <c r="F42" s="131">
        <v>19619.26763154447</v>
      </c>
      <c r="G42" s="17" t="e">
        <f t="shared" si="0"/>
        <v>#VALUE!</v>
      </c>
      <c r="H42" s="141">
        <v>269</v>
      </c>
      <c r="I42" s="141">
        <v>0</v>
      </c>
      <c r="J42" s="149">
        <v>6</v>
      </c>
      <c r="K42" s="150">
        <v>48</v>
      </c>
    </row>
    <row r="43" spans="1:11" ht="30" customHeight="1">
      <c r="A43" s="31">
        <v>10292</v>
      </c>
      <c r="B43" s="16" t="s">
        <v>702</v>
      </c>
      <c r="C43" s="15" t="s">
        <v>3077</v>
      </c>
      <c r="D43" s="15" t="s">
        <v>2358</v>
      </c>
      <c r="E43" s="15">
        <v>0.21</v>
      </c>
      <c r="F43" s="131">
        <v>20491.235081835326</v>
      </c>
      <c r="G43" s="17" t="e">
        <f t="shared" si="0"/>
        <v>#VALUE!</v>
      </c>
      <c r="H43" s="141">
        <v>296</v>
      </c>
      <c r="I43" s="141">
        <v>0</v>
      </c>
      <c r="J43" s="149">
        <v>6</v>
      </c>
      <c r="K43" s="150">
        <v>48</v>
      </c>
    </row>
    <row r="44" spans="1:11" ht="30" customHeight="1">
      <c r="A44" s="31">
        <v>10350</v>
      </c>
      <c r="B44" s="16" t="s">
        <v>702</v>
      </c>
      <c r="C44" s="15" t="s">
        <v>3078</v>
      </c>
      <c r="D44" s="15" t="s">
        <v>2490</v>
      </c>
      <c r="E44" s="15">
        <v>0.21</v>
      </c>
      <c r="F44" s="131">
        <v>11548.686715249545</v>
      </c>
      <c r="G44" s="17" t="e">
        <f t="shared" si="0"/>
        <v>#VALUE!</v>
      </c>
      <c r="H44" s="141">
        <v>259</v>
      </c>
      <c r="I44" s="141">
        <v>0</v>
      </c>
      <c r="J44" s="149">
        <v>6</v>
      </c>
      <c r="K44" s="150">
        <v>72</v>
      </c>
    </row>
    <row r="45" spans="1:11" ht="30" customHeight="1">
      <c r="A45" s="31">
        <v>10351</v>
      </c>
      <c r="B45" s="16" t="s">
        <v>702</v>
      </c>
      <c r="C45" s="15" t="s">
        <v>2893</v>
      </c>
      <c r="D45" s="15" t="s">
        <v>2490</v>
      </c>
      <c r="E45" s="15">
        <v>0.21</v>
      </c>
      <c r="F45" s="131">
        <v>11632.821600000001</v>
      </c>
      <c r="G45" s="17" t="e">
        <f t="shared" si="0"/>
        <v>#VALUE!</v>
      </c>
      <c r="H45" s="141">
        <v>325</v>
      </c>
      <c r="I45" s="141">
        <v>0</v>
      </c>
      <c r="J45" s="149">
        <v>6</v>
      </c>
      <c r="K45" s="150">
        <v>72</v>
      </c>
    </row>
    <row r="46" spans="1:11" ht="30" customHeight="1">
      <c r="A46" s="31">
        <v>10352</v>
      </c>
      <c r="B46" s="16" t="s">
        <v>702</v>
      </c>
      <c r="C46" s="15" t="s">
        <v>3079</v>
      </c>
      <c r="D46" s="15" t="s">
        <v>2490</v>
      </c>
      <c r="E46" s="15">
        <v>0.21</v>
      </c>
      <c r="F46" s="131">
        <v>11548.686715249545</v>
      </c>
      <c r="G46" s="17" t="e">
        <f t="shared" si="0"/>
        <v>#VALUE!</v>
      </c>
      <c r="H46" s="141">
        <v>192</v>
      </c>
      <c r="I46" s="141">
        <v>0</v>
      </c>
      <c r="J46" s="149">
        <v>6</v>
      </c>
      <c r="K46" s="150">
        <v>72</v>
      </c>
    </row>
    <row r="47" spans="1:11" ht="30" customHeight="1">
      <c r="A47" s="31">
        <v>10353</v>
      </c>
      <c r="B47" s="16" t="s">
        <v>702</v>
      </c>
      <c r="C47" s="15" t="s">
        <v>3080</v>
      </c>
      <c r="D47" s="15" t="s">
        <v>2490</v>
      </c>
      <c r="E47" s="15">
        <v>0.21</v>
      </c>
      <c r="F47" s="131">
        <v>11548.686715249545</v>
      </c>
      <c r="G47" s="17" t="e">
        <f t="shared" si="0"/>
        <v>#VALUE!</v>
      </c>
      <c r="H47" s="141">
        <v>289</v>
      </c>
      <c r="I47" s="141">
        <v>0</v>
      </c>
      <c r="J47" s="149">
        <v>6</v>
      </c>
      <c r="K47" s="150">
        <v>72</v>
      </c>
    </row>
    <row r="48" spans="1:11" ht="30" customHeight="1">
      <c r="A48" s="31">
        <v>10354</v>
      </c>
      <c r="B48" s="16" t="s">
        <v>702</v>
      </c>
      <c r="C48" s="15" t="s">
        <v>3081</v>
      </c>
      <c r="D48" s="15" t="s">
        <v>2490</v>
      </c>
      <c r="E48" s="15">
        <v>0.21</v>
      </c>
      <c r="F48" s="131">
        <v>11548.686715249545</v>
      </c>
      <c r="G48" s="17" t="e">
        <f t="shared" si="0"/>
        <v>#VALUE!</v>
      </c>
      <c r="H48" s="141">
        <v>296</v>
      </c>
      <c r="I48" s="141">
        <v>0</v>
      </c>
      <c r="J48" s="149">
        <v>6</v>
      </c>
      <c r="K48" s="150">
        <v>72</v>
      </c>
    </row>
    <row r="49" spans="1:11" ht="30" customHeight="1">
      <c r="A49" s="31">
        <v>10355</v>
      </c>
      <c r="B49" s="16" t="s">
        <v>702</v>
      </c>
      <c r="C49" s="15" t="s">
        <v>3082</v>
      </c>
      <c r="D49" s="15" t="s">
        <v>2490</v>
      </c>
      <c r="E49" s="15">
        <v>0.21</v>
      </c>
      <c r="F49" s="131">
        <v>11548.686715249545</v>
      </c>
      <c r="G49" s="17" t="e">
        <f t="shared" si="0"/>
        <v>#VALUE!</v>
      </c>
      <c r="H49" s="141">
        <v>175</v>
      </c>
      <c r="I49" s="141">
        <v>0</v>
      </c>
      <c r="J49" s="149">
        <v>6</v>
      </c>
      <c r="K49" s="150">
        <v>72</v>
      </c>
    </row>
    <row r="50" spans="1:11" ht="30" customHeight="1">
      <c r="A50" s="31">
        <v>10356</v>
      </c>
      <c r="B50" s="16" t="s">
        <v>702</v>
      </c>
      <c r="C50" s="15" t="s">
        <v>3083</v>
      </c>
      <c r="D50" s="15" t="s">
        <v>2490</v>
      </c>
      <c r="E50" s="15">
        <v>0.21</v>
      </c>
      <c r="F50" s="131">
        <v>11548.686715249545</v>
      </c>
      <c r="G50" s="17" t="e">
        <f t="shared" si="0"/>
        <v>#VALUE!</v>
      </c>
      <c r="H50" s="141">
        <v>184</v>
      </c>
      <c r="I50" s="141">
        <v>0</v>
      </c>
      <c r="J50" s="149">
        <v>6</v>
      </c>
      <c r="K50" s="150">
        <v>72</v>
      </c>
    </row>
    <row r="51" spans="1:11" ht="30" customHeight="1">
      <c r="A51" s="31">
        <v>10357</v>
      </c>
      <c r="B51" s="16" t="s">
        <v>702</v>
      </c>
      <c r="C51" s="15" t="s">
        <v>3084</v>
      </c>
      <c r="D51" s="15" t="s">
        <v>2491</v>
      </c>
      <c r="E51" s="15">
        <v>0.21</v>
      </c>
      <c r="F51" s="131">
        <v>12263.038470831993</v>
      </c>
      <c r="G51" s="17" t="e">
        <f t="shared" si="0"/>
        <v>#VALUE!</v>
      </c>
      <c r="H51" s="141">
        <v>211</v>
      </c>
      <c r="I51" s="141">
        <v>0</v>
      </c>
      <c r="J51" s="149">
        <v>6</v>
      </c>
      <c r="K51" s="150">
        <v>72</v>
      </c>
    </row>
    <row r="52" spans="1:11" ht="30" customHeight="1">
      <c r="A52" s="31">
        <v>10359</v>
      </c>
      <c r="B52" s="16" t="s">
        <v>702</v>
      </c>
      <c r="C52" s="15" t="s">
        <v>3085</v>
      </c>
      <c r="D52" s="15" t="s">
        <v>2492</v>
      </c>
      <c r="E52" s="15">
        <v>0.21</v>
      </c>
      <c r="F52" s="131">
        <v>72435.268016060028</v>
      </c>
      <c r="G52" s="17" t="e">
        <f t="shared" si="0"/>
        <v>#VALUE!</v>
      </c>
      <c r="H52" s="141">
        <v>185</v>
      </c>
      <c r="I52" s="141">
        <v>40</v>
      </c>
      <c r="J52" s="149">
        <v>0</v>
      </c>
      <c r="K52" s="150">
        <v>20</v>
      </c>
    </row>
    <row r="53" spans="1:11" ht="30" customHeight="1">
      <c r="A53" s="30">
        <v>10410</v>
      </c>
      <c r="B53" s="16" t="s">
        <v>702</v>
      </c>
      <c r="C53" s="15" t="s">
        <v>74</v>
      </c>
      <c r="D53" s="15" t="s">
        <v>2899</v>
      </c>
      <c r="E53" s="15">
        <v>0.21</v>
      </c>
      <c r="F53" s="131">
        <v>54303.228299203853</v>
      </c>
      <c r="G53" s="17" t="e">
        <f t="shared" si="0"/>
        <v>#VALUE!</v>
      </c>
      <c r="H53" s="141">
        <v>890</v>
      </c>
      <c r="I53" s="141">
        <v>0</v>
      </c>
      <c r="J53" s="149">
        <v>5</v>
      </c>
      <c r="K53" s="150">
        <v>20</v>
      </c>
    </row>
    <row r="54" spans="1:11" ht="30" customHeight="1">
      <c r="A54" s="30">
        <v>10030</v>
      </c>
      <c r="B54" s="16" t="s">
        <v>702</v>
      </c>
      <c r="C54" s="15" t="s">
        <v>18</v>
      </c>
      <c r="D54" s="15" t="s">
        <v>19</v>
      </c>
      <c r="E54" s="15">
        <v>0.21</v>
      </c>
      <c r="F54" s="131">
        <v>9768.4722198000018</v>
      </c>
      <c r="G54" s="17" t="e">
        <f t="shared" si="0"/>
        <v>#VALUE!</v>
      </c>
      <c r="H54" s="141">
        <v>608</v>
      </c>
      <c r="I54" s="141">
        <v>0</v>
      </c>
      <c r="J54" s="149">
        <v>12</v>
      </c>
      <c r="K54" s="150">
        <v>72</v>
      </c>
    </row>
    <row r="55" spans="1:11" ht="30" customHeight="1">
      <c r="A55" s="30">
        <v>10031</v>
      </c>
      <c r="B55" s="16" t="s">
        <v>702</v>
      </c>
      <c r="C55" s="15" t="s">
        <v>20</v>
      </c>
      <c r="D55" s="15" t="s">
        <v>19</v>
      </c>
      <c r="E55" s="15">
        <v>0.21</v>
      </c>
      <c r="F55" s="131">
        <v>9768.4681312003322</v>
      </c>
      <c r="G55" s="17" t="e">
        <f t="shared" si="0"/>
        <v>#VALUE!</v>
      </c>
      <c r="H55" s="141">
        <v>527</v>
      </c>
      <c r="I55" s="141">
        <v>0</v>
      </c>
      <c r="J55" s="149">
        <v>12</v>
      </c>
      <c r="K55" s="150">
        <v>72</v>
      </c>
    </row>
    <row r="56" spans="1:11" ht="30" customHeight="1">
      <c r="A56" s="30">
        <v>10033</v>
      </c>
      <c r="B56" s="16" t="s">
        <v>702</v>
      </c>
      <c r="C56" s="15" t="s">
        <v>21</v>
      </c>
      <c r="D56" s="15" t="s">
        <v>19</v>
      </c>
      <c r="E56" s="15">
        <v>0.21</v>
      </c>
      <c r="F56" s="131">
        <v>9768.4681312003322</v>
      </c>
      <c r="G56" s="17" t="e">
        <f t="shared" si="0"/>
        <v>#VALUE!</v>
      </c>
      <c r="H56" s="141">
        <v>849</v>
      </c>
      <c r="I56" s="141">
        <v>0</v>
      </c>
      <c r="J56" s="149">
        <v>12</v>
      </c>
      <c r="K56" s="150">
        <v>72</v>
      </c>
    </row>
    <row r="57" spans="1:11" ht="30" customHeight="1">
      <c r="A57" s="30">
        <v>10038</v>
      </c>
      <c r="B57" s="16" t="s">
        <v>702</v>
      </c>
      <c r="C57" s="15" t="s">
        <v>22</v>
      </c>
      <c r="D57" s="15" t="s">
        <v>19</v>
      </c>
      <c r="E57" s="15">
        <v>0.21</v>
      </c>
      <c r="F57" s="131">
        <v>28036.772168769781</v>
      </c>
      <c r="G57" s="17" t="e">
        <f t="shared" si="0"/>
        <v>#VALUE!</v>
      </c>
      <c r="H57" s="141">
        <v>508</v>
      </c>
      <c r="I57" s="141">
        <v>0</v>
      </c>
      <c r="J57" s="149">
        <v>6</v>
      </c>
      <c r="K57" s="150">
        <v>48</v>
      </c>
    </row>
    <row r="58" spans="1:11" ht="30" customHeight="1">
      <c r="A58" s="30">
        <v>10039</v>
      </c>
      <c r="B58" s="16" t="s">
        <v>702</v>
      </c>
      <c r="C58" s="15" t="s">
        <v>3086</v>
      </c>
      <c r="D58" s="15" t="s">
        <v>12</v>
      </c>
      <c r="E58" s="15">
        <v>0.21</v>
      </c>
      <c r="F58" s="131">
        <v>15913.409</v>
      </c>
      <c r="G58" s="17" t="e">
        <f t="shared" si="0"/>
        <v>#VALUE!</v>
      </c>
      <c r="H58" s="141">
        <v>1093</v>
      </c>
      <c r="I58" s="141">
        <v>72</v>
      </c>
      <c r="J58" s="149">
        <v>6</v>
      </c>
      <c r="K58" s="150">
        <v>36</v>
      </c>
    </row>
    <row r="59" spans="1:11" ht="30" customHeight="1">
      <c r="A59" s="30">
        <v>10040</v>
      </c>
      <c r="B59" s="16" t="s">
        <v>702</v>
      </c>
      <c r="C59" s="15" t="s">
        <v>3086</v>
      </c>
      <c r="D59" s="15" t="s">
        <v>23</v>
      </c>
      <c r="E59" s="15">
        <v>0.21</v>
      </c>
      <c r="F59" s="131">
        <v>16567.386600000002</v>
      </c>
      <c r="G59" s="17" t="e">
        <f t="shared" si="0"/>
        <v>#VALUE!</v>
      </c>
      <c r="H59" s="141">
        <v>1113</v>
      </c>
      <c r="I59" s="141">
        <v>180</v>
      </c>
      <c r="J59" s="149">
        <v>6</v>
      </c>
      <c r="K59" s="150">
        <v>36</v>
      </c>
    </row>
    <row r="60" spans="1:11" ht="30" customHeight="1">
      <c r="A60" s="31">
        <v>10041</v>
      </c>
      <c r="B60" s="16" t="s">
        <v>702</v>
      </c>
      <c r="C60" s="15" t="s">
        <v>3086</v>
      </c>
      <c r="D60" s="15" t="s">
        <v>17</v>
      </c>
      <c r="E60" s="15">
        <v>0.21</v>
      </c>
      <c r="F60" s="131">
        <v>19292.279837685397</v>
      </c>
      <c r="G60" s="17" t="e">
        <f t="shared" si="0"/>
        <v>#VALUE!</v>
      </c>
      <c r="H60" s="141">
        <v>406</v>
      </c>
      <c r="I60" s="141">
        <v>108</v>
      </c>
      <c r="J60" s="149">
        <v>6</v>
      </c>
      <c r="K60" s="150">
        <v>36</v>
      </c>
    </row>
    <row r="61" spans="1:11" ht="30" customHeight="1">
      <c r="A61" s="31">
        <v>10042</v>
      </c>
      <c r="B61" s="16" t="s">
        <v>702</v>
      </c>
      <c r="C61" s="15" t="s">
        <v>3086</v>
      </c>
      <c r="D61" s="15" t="s">
        <v>2357</v>
      </c>
      <c r="E61" s="15">
        <v>0.21</v>
      </c>
      <c r="F61" s="131">
        <v>21581.194394698912</v>
      </c>
      <c r="G61" s="17" t="e">
        <f t="shared" si="0"/>
        <v>#VALUE!</v>
      </c>
      <c r="H61" s="141">
        <v>498</v>
      </c>
      <c r="I61" s="141">
        <v>60</v>
      </c>
      <c r="J61" s="149">
        <v>5</v>
      </c>
      <c r="K61" s="150">
        <v>30</v>
      </c>
    </row>
    <row r="62" spans="1:11" ht="30" customHeight="1">
      <c r="A62" s="30">
        <v>10043</v>
      </c>
      <c r="B62" s="16" t="s">
        <v>702</v>
      </c>
      <c r="C62" s="15" t="s">
        <v>24</v>
      </c>
      <c r="D62" s="15" t="s">
        <v>10</v>
      </c>
      <c r="E62" s="15">
        <v>0.21</v>
      </c>
      <c r="F62" s="131">
        <v>21335.105525842777</v>
      </c>
      <c r="G62" s="17" t="e">
        <f t="shared" si="0"/>
        <v>#VALUE!</v>
      </c>
      <c r="H62" s="141">
        <v>322</v>
      </c>
      <c r="I62" s="141">
        <v>0</v>
      </c>
      <c r="J62" s="149">
        <v>6</v>
      </c>
      <c r="K62" s="150">
        <v>36</v>
      </c>
    </row>
    <row r="63" spans="1:11" ht="30" customHeight="1">
      <c r="A63" s="30">
        <v>10044</v>
      </c>
      <c r="B63" s="16" t="s">
        <v>702</v>
      </c>
      <c r="C63" s="15" t="s">
        <v>24</v>
      </c>
      <c r="D63" s="15" t="s">
        <v>11</v>
      </c>
      <c r="E63" s="15">
        <v>0.21</v>
      </c>
      <c r="F63" s="131">
        <v>25886.594704689262</v>
      </c>
      <c r="G63" s="17" t="e">
        <f t="shared" si="0"/>
        <v>#VALUE!</v>
      </c>
      <c r="H63" s="141">
        <v>305</v>
      </c>
      <c r="I63" s="141">
        <v>0</v>
      </c>
      <c r="J63" s="149">
        <v>6</v>
      </c>
      <c r="K63" s="150">
        <v>36</v>
      </c>
    </row>
    <row r="64" spans="1:11" ht="30" customHeight="1">
      <c r="A64" s="30">
        <v>10345</v>
      </c>
      <c r="B64" s="16" t="s">
        <v>702</v>
      </c>
      <c r="C64" s="15" t="s">
        <v>24</v>
      </c>
      <c r="D64" s="15" t="s">
        <v>12</v>
      </c>
      <c r="E64" s="15">
        <v>0.21</v>
      </c>
      <c r="F64" s="131">
        <v>28162.339294112466</v>
      </c>
      <c r="G64" s="17" t="e">
        <f t="shared" si="0"/>
        <v>#VALUE!</v>
      </c>
      <c r="H64" s="141">
        <v>362</v>
      </c>
      <c r="I64" s="141">
        <v>0</v>
      </c>
      <c r="J64" s="149">
        <v>6</v>
      </c>
      <c r="K64" s="150">
        <v>36</v>
      </c>
    </row>
    <row r="65" spans="1:11" ht="30" customHeight="1">
      <c r="A65" s="30">
        <v>10045</v>
      </c>
      <c r="B65" s="16" t="s">
        <v>702</v>
      </c>
      <c r="C65" s="15" t="s">
        <v>25</v>
      </c>
      <c r="D65" s="15" t="s">
        <v>12</v>
      </c>
      <c r="E65" s="15">
        <v>0.21</v>
      </c>
      <c r="F65" s="131">
        <v>22917.471967311358</v>
      </c>
      <c r="G65" s="17" t="e">
        <f t="shared" si="0"/>
        <v>#VALUE!</v>
      </c>
      <c r="H65" s="141">
        <v>902</v>
      </c>
      <c r="I65" s="141">
        <v>72</v>
      </c>
      <c r="J65" s="149">
        <v>6</v>
      </c>
      <c r="K65" s="150">
        <v>36</v>
      </c>
    </row>
    <row r="66" spans="1:11" ht="30" customHeight="1">
      <c r="A66" s="30">
        <v>10311</v>
      </c>
      <c r="B66" s="16" t="s">
        <v>702</v>
      </c>
      <c r="C66" s="15" t="s">
        <v>70</v>
      </c>
      <c r="D66" s="15" t="s">
        <v>10</v>
      </c>
      <c r="E66" s="15">
        <v>0.21</v>
      </c>
      <c r="F66" s="131">
        <v>9061.6542240000017</v>
      </c>
      <c r="G66" s="17" t="e">
        <f t="shared" si="0"/>
        <v>#VALUE!</v>
      </c>
      <c r="H66" s="141">
        <v>359</v>
      </c>
      <c r="I66" s="141">
        <v>0</v>
      </c>
      <c r="J66" s="149">
        <v>6</v>
      </c>
      <c r="K66" s="150">
        <v>48</v>
      </c>
    </row>
    <row r="67" spans="1:11" ht="30" customHeight="1">
      <c r="A67" s="30">
        <v>10313</v>
      </c>
      <c r="B67" s="16" t="s">
        <v>702</v>
      </c>
      <c r="C67" s="15" t="s">
        <v>70</v>
      </c>
      <c r="D67" s="15" t="s">
        <v>12</v>
      </c>
      <c r="E67" s="15">
        <v>0.21</v>
      </c>
      <c r="F67" s="131">
        <v>12686.322248312117</v>
      </c>
      <c r="G67" s="17" t="e">
        <f t="shared" si="0"/>
        <v>#VALUE!</v>
      </c>
      <c r="H67" s="141">
        <v>423</v>
      </c>
      <c r="I67" s="141">
        <v>0</v>
      </c>
      <c r="J67" s="149">
        <v>6</v>
      </c>
      <c r="K67" s="150">
        <v>48</v>
      </c>
    </row>
    <row r="68" spans="1:11" ht="30" customHeight="1">
      <c r="A68" s="30">
        <v>10314</v>
      </c>
      <c r="B68" s="16" t="s">
        <v>702</v>
      </c>
      <c r="C68" s="15" t="s">
        <v>70</v>
      </c>
      <c r="D68" s="15" t="s">
        <v>17</v>
      </c>
      <c r="E68" s="15">
        <v>0.21</v>
      </c>
      <c r="F68" s="131">
        <v>16552.629981131045</v>
      </c>
      <c r="G68" s="17" t="e">
        <f t="shared" si="0"/>
        <v>#VALUE!</v>
      </c>
      <c r="H68" s="141">
        <v>649</v>
      </c>
      <c r="I68" s="141">
        <v>0</v>
      </c>
      <c r="J68" s="149">
        <v>6</v>
      </c>
      <c r="K68" s="150">
        <v>48</v>
      </c>
    </row>
    <row r="69" spans="1:11" ht="30" customHeight="1">
      <c r="A69" s="30">
        <v>10050</v>
      </c>
      <c r="B69" s="16" t="s">
        <v>702</v>
      </c>
      <c r="C69" s="15" t="s">
        <v>703</v>
      </c>
      <c r="D69" s="15" t="s">
        <v>72</v>
      </c>
      <c r="E69" s="15">
        <v>0.21</v>
      </c>
      <c r="F69" s="131">
        <v>41654.101555075009</v>
      </c>
      <c r="G69" s="17" t="e">
        <f t="shared" si="0"/>
        <v>#VALUE!</v>
      </c>
      <c r="H69" s="141">
        <v>224</v>
      </c>
      <c r="I69" s="141">
        <v>40</v>
      </c>
      <c r="J69" s="149">
        <v>5</v>
      </c>
      <c r="K69" s="150">
        <v>20</v>
      </c>
    </row>
    <row r="70" spans="1:11" ht="30" customHeight="1">
      <c r="A70" s="30">
        <v>10051</v>
      </c>
      <c r="B70" s="16" t="s">
        <v>702</v>
      </c>
      <c r="C70" s="15" t="s">
        <v>28</v>
      </c>
      <c r="D70" s="15" t="s">
        <v>17</v>
      </c>
      <c r="E70" s="15">
        <v>0.21</v>
      </c>
      <c r="F70" s="131">
        <v>20897.584713600001</v>
      </c>
      <c r="G70" s="17" t="e">
        <f t="shared" si="0"/>
        <v>#VALUE!</v>
      </c>
      <c r="H70" s="141">
        <v>1608</v>
      </c>
      <c r="I70" s="141">
        <v>180</v>
      </c>
      <c r="J70" s="149">
        <v>6</v>
      </c>
      <c r="K70" s="150">
        <v>36</v>
      </c>
    </row>
    <row r="71" spans="1:11" ht="30" customHeight="1">
      <c r="A71" s="30">
        <v>10048</v>
      </c>
      <c r="B71" s="16" t="s">
        <v>702</v>
      </c>
      <c r="C71" s="15" t="s">
        <v>26</v>
      </c>
      <c r="D71" s="15" t="s">
        <v>17</v>
      </c>
      <c r="E71" s="15">
        <v>0.21</v>
      </c>
      <c r="F71" s="131">
        <v>28997.307996141986</v>
      </c>
      <c r="G71" s="17" t="e">
        <f t="shared" si="0"/>
        <v>#VALUE!</v>
      </c>
      <c r="H71" s="141">
        <v>769</v>
      </c>
      <c r="I71" s="141">
        <v>0</v>
      </c>
      <c r="J71" s="149">
        <v>6</v>
      </c>
      <c r="K71" s="150">
        <v>36</v>
      </c>
    </row>
    <row r="72" spans="1:11" ht="30" customHeight="1">
      <c r="A72" s="31">
        <v>10380</v>
      </c>
      <c r="B72" s="16" t="s">
        <v>702</v>
      </c>
      <c r="C72" s="15" t="s">
        <v>3087</v>
      </c>
      <c r="D72" s="15" t="s">
        <v>2493</v>
      </c>
      <c r="E72" s="15">
        <v>0.21</v>
      </c>
      <c r="F72" s="131">
        <v>23359.302407545991</v>
      </c>
      <c r="G72" s="17" t="e">
        <f t="shared" ref="G72:G135" si="1">(F72*$G$6)</f>
        <v>#VALUE!</v>
      </c>
      <c r="H72" s="141">
        <v>213</v>
      </c>
      <c r="I72" s="141">
        <v>0</v>
      </c>
      <c r="J72" s="149">
        <v>6</v>
      </c>
      <c r="K72" s="150">
        <v>48</v>
      </c>
    </row>
    <row r="73" spans="1:11" ht="30" customHeight="1">
      <c r="A73" s="30">
        <v>10049</v>
      </c>
      <c r="B73" s="16" t="s">
        <v>702</v>
      </c>
      <c r="C73" s="15" t="s">
        <v>27</v>
      </c>
      <c r="D73" s="15" t="s">
        <v>17</v>
      </c>
      <c r="E73" s="15">
        <v>0.21</v>
      </c>
      <c r="F73" s="131">
        <v>29107.146284006161</v>
      </c>
      <c r="G73" s="17" t="e">
        <f t="shared" si="1"/>
        <v>#VALUE!</v>
      </c>
      <c r="H73" s="141">
        <v>539</v>
      </c>
      <c r="I73" s="141">
        <v>72</v>
      </c>
      <c r="J73" s="149">
        <v>6</v>
      </c>
      <c r="K73" s="150">
        <v>36</v>
      </c>
    </row>
    <row r="74" spans="1:11" ht="30" customHeight="1">
      <c r="A74" s="31">
        <v>10381</v>
      </c>
      <c r="B74" s="16" t="s">
        <v>702</v>
      </c>
      <c r="C74" s="15" t="s">
        <v>3087</v>
      </c>
      <c r="D74" s="15" t="s">
        <v>2494</v>
      </c>
      <c r="E74" s="15">
        <v>0.21</v>
      </c>
      <c r="F74" s="131">
        <v>22502.080300847054</v>
      </c>
      <c r="G74" s="17" t="e">
        <f t="shared" si="1"/>
        <v>#VALUE!</v>
      </c>
      <c r="H74" s="141">
        <v>129</v>
      </c>
      <c r="I74" s="141">
        <v>0</v>
      </c>
      <c r="J74" s="149">
        <v>6</v>
      </c>
      <c r="K74" s="150">
        <v>48</v>
      </c>
    </row>
    <row r="75" spans="1:11" ht="30" customHeight="1">
      <c r="A75" s="30">
        <v>10053</v>
      </c>
      <c r="B75" s="16" t="s">
        <v>702</v>
      </c>
      <c r="C75" s="15" t="s">
        <v>29</v>
      </c>
      <c r="D75" s="15" t="s">
        <v>23</v>
      </c>
      <c r="E75" s="15">
        <v>0.21</v>
      </c>
      <c r="F75" s="131">
        <v>25280.464743103374</v>
      </c>
      <c r="G75" s="17" t="e">
        <f t="shared" si="1"/>
        <v>#VALUE!</v>
      </c>
      <c r="H75" s="141">
        <v>255</v>
      </c>
      <c r="I75" s="141">
        <v>0</v>
      </c>
      <c r="J75" s="149">
        <v>6</v>
      </c>
      <c r="K75" s="150">
        <v>36</v>
      </c>
    </row>
    <row r="76" spans="1:11" ht="30" customHeight="1">
      <c r="A76" s="30">
        <v>10056</v>
      </c>
      <c r="B76" s="16" t="s">
        <v>702</v>
      </c>
      <c r="C76" s="15" t="s">
        <v>30</v>
      </c>
      <c r="D76" s="15" t="s">
        <v>31</v>
      </c>
      <c r="E76" s="15">
        <v>0.21</v>
      </c>
      <c r="F76" s="131">
        <v>42087.568247020012</v>
      </c>
      <c r="G76" s="17" t="e">
        <f t="shared" si="1"/>
        <v>#VALUE!</v>
      </c>
      <c r="H76" s="141">
        <v>370</v>
      </c>
      <c r="I76" s="141">
        <v>48</v>
      </c>
      <c r="J76" s="149">
        <v>4</v>
      </c>
      <c r="K76" s="150">
        <v>24</v>
      </c>
    </row>
    <row r="77" spans="1:11" ht="30" customHeight="1">
      <c r="A77" s="30">
        <v>10058</v>
      </c>
      <c r="B77" s="16" t="s">
        <v>702</v>
      </c>
      <c r="C77" s="15" t="s">
        <v>1915</v>
      </c>
      <c r="D77" s="15" t="s">
        <v>2064</v>
      </c>
      <c r="E77" s="15">
        <v>0.21</v>
      </c>
      <c r="F77" s="131">
        <v>50648.817572109205</v>
      </c>
      <c r="G77" s="17" t="e">
        <f t="shared" si="1"/>
        <v>#VALUE!</v>
      </c>
      <c r="H77" s="141">
        <v>117</v>
      </c>
      <c r="I77" s="141">
        <v>16</v>
      </c>
      <c r="J77" s="149">
        <v>4</v>
      </c>
      <c r="K77" s="150">
        <v>16</v>
      </c>
    </row>
    <row r="78" spans="1:11" ht="30" customHeight="1">
      <c r="A78" s="30">
        <v>10055</v>
      </c>
      <c r="B78" s="16" t="s">
        <v>702</v>
      </c>
      <c r="C78" s="15" t="s">
        <v>1914</v>
      </c>
      <c r="D78" s="15" t="s">
        <v>17</v>
      </c>
      <c r="E78" s="15">
        <v>0.21</v>
      </c>
      <c r="F78" s="131">
        <v>35752.367728000005</v>
      </c>
      <c r="G78" s="17" t="e">
        <f t="shared" si="1"/>
        <v>#VALUE!</v>
      </c>
      <c r="H78" s="141">
        <v>265</v>
      </c>
      <c r="I78" s="141">
        <v>0</v>
      </c>
      <c r="J78" s="149">
        <v>4</v>
      </c>
      <c r="K78" s="150">
        <v>24</v>
      </c>
    </row>
    <row r="79" spans="1:11" ht="30" customHeight="1">
      <c r="A79" s="31">
        <v>10260</v>
      </c>
      <c r="B79" s="16" t="s">
        <v>702</v>
      </c>
      <c r="C79" s="15" t="s">
        <v>2894</v>
      </c>
      <c r="D79" s="15" t="s">
        <v>2895</v>
      </c>
      <c r="E79" s="15">
        <v>0.21</v>
      </c>
      <c r="F79" s="131">
        <v>35404.233200000002</v>
      </c>
      <c r="G79" s="17" t="e">
        <f t="shared" si="1"/>
        <v>#VALUE!</v>
      </c>
      <c r="H79" s="141">
        <v>206</v>
      </c>
      <c r="I79" s="141">
        <v>36</v>
      </c>
      <c r="J79" s="149">
        <v>6</v>
      </c>
      <c r="K79" s="150">
        <v>36</v>
      </c>
    </row>
    <row r="80" spans="1:11" ht="30" customHeight="1">
      <c r="A80" s="31">
        <v>10261</v>
      </c>
      <c r="B80" s="16" t="s">
        <v>702</v>
      </c>
      <c r="C80" s="15" t="s">
        <v>2896</v>
      </c>
      <c r="D80" s="15" t="s">
        <v>2897</v>
      </c>
      <c r="E80" s="15">
        <v>0.21</v>
      </c>
      <c r="F80" s="131">
        <v>73210.90340000001</v>
      </c>
      <c r="G80" s="17" t="e">
        <f t="shared" si="1"/>
        <v>#VALUE!</v>
      </c>
      <c r="H80" s="141">
        <v>98</v>
      </c>
      <c r="I80" s="141">
        <v>20</v>
      </c>
      <c r="J80" s="149">
        <v>5</v>
      </c>
      <c r="K80" s="150">
        <v>20</v>
      </c>
    </row>
    <row r="81" spans="1:11" ht="30" customHeight="1">
      <c r="A81" s="31">
        <v>10267</v>
      </c>
      <c r="B81" s="16" t="s">
        <v>702</v>
      </c>
      <c r="C81" s="15" t="s">
        <v>2495</v>
      </c>
      <c r="D81" s="15" t="s">
        <v>2496</v>
      </c>
      <c r="E81" s="15">
        <v>0.21</v>
      </c>
      <c r="F81" s="131">
        <v>61398.533392311241</v>
      </c>
      <c r="G81" s="17" t="e">
        <f t="shared" si="1"/>
        <v>#VALUE!</v>
      </c>
      <c r="H81" s="141">
        <v>148</v>
      </c>
      <c r="I81" s="141">
        <v>0</v>
      </c>
      <c r="J81" s="149">
        <v>6</v>
      </c>
      <c r="K81" s="150">
        <v>36</v>
      </c>
    </row>
    <row r="82" spans="1:11" ht="30" customHeight="1">
      <c r="A82" s="30">
        <v>10059</v>
      </c>
      <c r="B82" s="16" t="s">
        <v>702</v>
      </c>
      <c r="C82" s="15" t="s">
        <v>32</v>
      </c>
      <c r="D82" s="15" t="s">
        <v>33</v>
      </c>
      <c r="E82" s="15">
        <v>0.21</v>
      </c>
      <c r="F82" s="131">
        <v>44033.8645570956</v>
      </c>
      <c r="G82" s="17" t="e">
        <f t="shared" si="1"/>
        <v>#VALUE!</v>
      </c>
      <c r="H82" s="141">
        <v>144</v>
      </c>
      <c r="I82" s="141">
        <v>0</v>
      </c>
      <c r="J82" s="149">
        <v>0</v>
      </c>
      <c r="K82" s="150">
        <v>20</v>
      </c>
    </row>
    <row r="83" spans="1:11" ht="30" customHeight="1">
      <c r="A83" s="30">
        <v>10060</v>
      </c>
      <c r="B83" s="16" t="s">
        <v>702</v>
      </c>
      <c r="C83" s="15" t="s">
        <v>32</v>
      </c>
      <c r="D83" s="15" t="s">
        <v>34</v>
      </c>
      <c r="E83" s="15">
        <v>0.21</v>
      </c>
      <c r="F83" s="131">
        <v>54343.762823198951</v>
      </c>
      <c r="G83" s="17" t="e">
        <f t="shared" si="1"/>
        <v>#VALUE!</v>
      </c>
      <c r="H83" s="141">
        <v>173</v>
      </c>
      <c r="I83" s="141">
        <v>0</v>
      </c>
      <c r="J83" s="149">
        <v>0</v>
      </c>
      <c r="K83" s="150">
        <v>16</v>
      </c>
    </row>
    <row r="84" spans="1:11" ht="30" customHeight="1">
      <c r="A84" s="30">
        <v>10061</v>
      </c>
      <c r="B84" s="16" t="s">
        <v>702</v>
      </c>
      <c r="C84" s="15" t="s">
        <v>32</v>
      </c>
      <c r="D84" s="15" t="s">
        <v>35</v>
      </c>
      <c r="E84" s="15">
        <v>0.21</v>
      </c>
      <c r="F84" s="131">
        <v>65424.494604524967</v>
      </c>
      <c r="G84" s="17" t="e">
        <f t="shared" si="1"/>
        <v>#VALUE!</v>
      </c>
      <c r="H84" s="141">
        <v>181</v>
      </c>
      <c r="I84" s="141">
        <v>10</v>
      </c>
      <c r="J84" s="149">
        <v>0</v>
      </c>
      <c r="K84" s="150">
        <v>10</v>
      </c>
    </row>
    <row r="85" spans="1:11" ht="30" customHeight="1">
      <c r="A85" s="30">
        <v>10062</v>
      </c>
      <c r="B85" s="16" t="s">
        <v>702</v>
      </c>
      <c r="C85" s="15" t="s">
        <v>32</v>
      </c>
      <c r="D85" s="15" t="s">
        <v>36</v>
      </c>
      <c r="E85" s="15">
        <v>0.21</v>
      </c>
      <c r="F85" s="131">
        <v>89320.333576428064</v>
      </c>
      <c r="G85" s="17" t="e">
        <f t="shared" si="1"/>
        <v>#VALUE!</v>
      </c>
      <c r="H85" s="141">
        <v>107</v>
      </c>
      <c r="I85" s="141">
        <v>12</v>
      </c>
      <c r="J85" s="149">
        <v>0</v>
      </c>
      <c r="K85" s="150">
        <v>6</v>
      </c>
    </row>
    <row r="86" spans="1:11" ht="30" customHeight="1">
      <c r="A86" s="30">
        <v>10063</v>
      </c>
      <c r="B86" s="16" t="s">
        <v>702</v>
      </c>
      <c r="C86" s="15" t="s">
        <v>32</v>
      </c>
      <c r="D86" s="15" t="s">
        <v>37</v>
      </c>
      <c r="E86" s="15">
        <v>0.21</v>
      </c>
      <c r="F86" s="131">
        <v>125164.09203428274</v>
      </c>
      <c r="G86" s="17" t="e">
        <f t="shared" si="1"/>
        <v>#VALUE!</v>
      </c>
      <c r="H86" s="141">
        <v>74</v>
      </c>
      <c r="I86" s="141">
        <v>0</v>
      </c>
      <c r="J86" s="149">
        <v>0</v>
      </c>
      <c r="K86" s="150">
        <v>4</v>
      </c>
    </row>
    <row r="87" spans="1:11" ht="30" customHeight="1">
      <c r="A87" s="30">
        <v>10064</v>
      </c>
      <c r="B87" s="16" t="s">
        <v>702</v>
      </c>
      <c r="C87" s="15" t="s">
        <v>32</v>
      </c>
      <c r="D87" s="15" t="s">
        <v>38</v>
      </c>
      <c r="E87" s="15">
        <v>0.21</v>
      </c>
      <c r="F87" s="131">
        <v>158329.02000000002</v>
      </c>
      <c r="G87" s="17" t="e">
        <f t="shared" si="1"/>
        <v>#VALUE!</v>
      </c>
      <c r="H87" s="141">
        <v>67</v>
      </c>
      <c r="I87" s="141">
        <v>15</v>
      </c>
      <c r="J87" s="149">
        <v>0</v>
      </c>
      <c r="K87" s="150">
        <v>3</v>
      </c>
    </row>
    <row r="88" spans="1:11" ht="30" customHeight="1">
      <c r="A88" s="30">
        <v>10057</v>
      </c>
      <c r="B88" s="16" t="s">
        <v>702</v>
      </c>
      <c r="C88" s="15" t="s">
        <v>1916</v>
      </c>
      <c r="D88" s="15" t="s">
        <v>23</v>
      </c>
      <c r="E88" s="15">
        <v>0.21</v>
      </c>
      <c r="F88" s="131">
        <v>38179.793168000004</v>
      </c>
      <c r="G88" s="17" t="e">
        <f t="shared" si="1"/>
        <v>#VALUE!</v>
      </c>
      <c r="H88" s="141">
        <v>117</v>
      </c>
      <c r="I88" s="141">
        <v>0</v>
      </c>
      <c r="J88" s="149">
        <v>4</v>
      </c>
      <c r="K88" s="150">
        <v>24</v>
      </c>
    </row>
    <row r="89" spans="1:11" ht="30" customHeight="1">
      <c r="A89" s="30">
        <v>10066</v>
      </c>
      <c r="B89" s="16" t="s">
        <v>702</v>
      </c>
      <c r="C89" s="15" t="s">
        <v>39</v>
      </c>
      <c r="D89" s="15" t="s">
        <v>12</v>
      </c>
      <c r="E89" s="15">
        <v>0.21</v>
      </c>
      <c r="F89" s="131">
        <v>16465.351000000002</v>
      </c>
      <c r="G89" s="17" t="e">
        <f t="shared" si="1"/>
        <v>#VALUE!</v>
      </c>
      <c r="H89" s="141">
        <v>385</v>
      </c>
      <c r="I89" s="141">
        <v>0</v>
      </c>
      <c r="J89" s="149">
        <v>6</v>
      </c>
      <c r="K89" s="150">
        <v>60</v>
      </c>
    </row>
    <row r="90" spans="1:11" ht="30" customHeight="1">
      <c r="A90" s="30">
        <v>10067</v>
      </c>
      <c r="B90" s="16" t="s">
        <v>702</v>
      </c>
      <c r="C90" s="15" t="s">
        <v>40</v>
      </c>
      <c r="D90" s="15" t="s">
        <v>12</v>
      </c>
      <c r="E90" s="15">
        <v>0.21</v>
      </c>
      <c r="F90" s="131">
        <v>24281.255729514432</v>
      </c>
      <c r="G90" s="17" t="e">
        <f t="shared" si="1"/>
        <v>#VALUE!</v>
      </c>
      <c r="H90" s="141">
        <v>110</v>
      </c>
      <c r="I90" s="141">
        <v>0</v>
      </c>
      <c r="J90" s="149">
        <v>0</v>
      </c>
      <c r="K90" s="150">
        <v>36</v>
      </c>
    </row>
    <row r="91" spans="1:11" ht="30" customHeight="1">
      <c r="A91" s="30">
        <v>10068</v>
      </c>
      <c r="B91" s="16" t="s">
        <v>702</v>
      </c>
      <c r="C91" s="15" t="s">
        <v>40</v>
      </c>
      <c r="D91" s="15" t="s">
        <v>17</v>
      </c>
      <c r="E91" s="15">
        <v>0.21</v>
      </c>
      <c r="F91" s="131">
        <v>31175.933282339498</v>
      </c>
      <c r="G91" s="17" t="e">
        <f t="shared" si="1"/>
        <v>#VALUE!</v>
      </c>
      <c r="H91" s="141">
        <v>50</v>
      </c>
      <c r="I91" s="141">
        <v>24</v>
      </c>
      <c r="J91" s="149">
        <v>0</v>
      </c>
      <c r="K91" s="150">
        <v>24</v>
      </c>
    </row>
    <row r="92" spans="1:11" ht="30" customHeight="1">
      <c r="A92" s="30">
        <v>10069</v>
      </c>
      <c r="B92" s="16" t="s">
        <v>702</v>
      </c>
      <c r="C92" s="15" t="s">
        <v>40</v>
      </c>
      <c r="D92" s="15" t="s">
        <v>33</v>
      </c>
      <c r="E92" s="15">
        <v>0.21</v>
      </c>
      <c r="F92" s="131">
        <v>37970.687972080166</v>
      </c>
      <c r="G92" s="17" t="e">
        <f t="shared" si="1"/>
        <v>#VALUE!</v>
      </c>
      <c r="H92" s="141">
        <v>28</v>
      </c>
      <c r="I92" s="141">
        <v>24</v>
      </c>
      <c r="J92" s="149">
        <v>0</v>
      </c>
      <c r="K92" s="150">
        <v>12</v>
      </c>
    </row>
    <row r="93" spans="1:11" ht="30" customHeight="1">
      <c r="A93" s="30">
        <v>10070</v>
      </c>
      <c r="B93" s="16" t="s">
        <v>702</v>
      </c>
      <c r="C93" s="15" t="s">
        <v>40</v>
      </c>
      <c r="D93" s="15" t="s">
        <v>34</v>
      </c>
      <c r="E93" s="15">
        <v>0.21</v>
      </c>
      <c r="F93" s="131">
        <v>44515.697184348086</v>
      </c>
      <c r="G93" s="17" t="e">
        <f t="shared" si="1"/>
        <v>#VALUE!</v>
      </c>
      <c r="H93" s="141">
        <v>53</v>
      </c>
      <c r="I93" s="141">
        <v>0</v>
      </c>
      <c r="J93" s="149">
        <v>0</v>
      </c>
      <c r="K93" s="150">
        <v>8</v>
      </c>
    </row>
    <row r="94" spans="1:11" ht="30" customHeight="1">
      <c r="A94" s="30">
        <v>10071</v>
      </c>
      <c r="B94" s="16" t="s">
        <v>702</v>
      </c>
      <c r="C94" s="15" t="s">
        <v>40</v>
      </c>
      <c r="D94" s="15" t="s">
        <v>35</v>
      </c>
      <c r="E94" s="15">
        <v>0.21</v>
      </c>
      <c r="F94" s="131">
        <v>61952.311008862911</v>
      </c>
      <c r="G94" s="17" t="e">
        <f t="shared" si="1"/>
        <v>#VALUE!</v>
      </c>
      <c r="H94" s="141">
        <v>43</v>
      </c>
      <c r="I94" s="141">
        <v>12</v>
      </c>
      <c r="J94" s="149">
        <v>0</v>
      </c>
      <c r="K94" s="150">
        <v>6</v>
      </c>
    </row>
    <row r="95" spans="1:11" ht="30" customHeight="1">
      <c r="A95" s="30">
        <v>10072</v>
      </c>
      <c r="B95" s="16" t="s">
        <v>702</v>
      </c>
      <c r="C95" s="15" t="s">
        <v>40</v>
      </c>
      <c r="D95" s="15" t="s">
        <v>36</v>
      </c>
      <c r="E95" s="15">
        <v>0.21</v>
      </c>
      <c r="F95" s="131">
        <v>89260.187484942275</v>
      </c>
      <c r="G95" s="17" t="e">
        <f t="shared" si="1"/>
        <v>#VALUE!</v>
      </c>
      <c r="H95" s="141">
        <v>32</v>
      </c>
      <c r="I95" s="141">
        <v>8</v>
      </c>
      <c r="J95" s="149">
        <v>0</v>
      </c>
      <c r="K95" s="150">
        <v>4</v>
      </c>
    </row>
    <row r="96" spans="1:11" ht="30" customHeight="1">
      <c r="A96" s="30">
        <v>10073</v>
      </c>
      <c r="B96" s="16" t="s">
        <v>702</v>
      </c>
      <c r="C96" s="15" t="s">
        <v>40</v>
      </c>
      <c r="D96" s="15" t="s">
        <v>38</v>
      </c>
      <c r="E96" s="15">
        <v>0.21</v>
      </c>
      <c r="F96" s="131">
        <v>164273.18691078894</v>
      </c>
      <c r="G96" s="17" t="e">
        <f t="shared" si="1"/>
        <v>#VALUE!</v>
      </c>
      <c r="H96" s="141">
        <v>15</v>
      </c>
      <c r="I96" s="141">
        <v>0</v>
      </c>
      <c r="J96" s="149">
        <v>0</v>
      </c>
      <c r="K96" s="150">
        <v>2</v>
      </c>
    </row>
    <row r="97" spans="1:11" ht="30" customHeight="1">
      <c r="A97" s="30">
        <v>10221</v>
      </c>
      <c r="B97" s="16" t="s">
        <v>702</v>
      </c>
      <c r="C97" s="15" t="s">
        <v>40</v>
      </c>
      <c r="D97" s="15" t="s">
        <v>17</v>
      </c>
      <c r="E97" s="15">
        <v>0.21</v>
      </c>
      <c r="F97" s="131">
        <v>38014.303000000007</v>
      </c>
      <c r="G97" s="17" t="e">
        <f t="shared" si="1"/>
        <v>#VALUE!</v>
      </c>
      <c r="H97" s="141">
        <v>45</v>
      </c>
      <c r="I97" s="141">
        <v>0</v>
      </c>
      <c r="J97" s="149">
        <v>0</v>
      </c>
      <c r="K97" s="150">
        <v>36</v>
      </c>
    </row>
    <row r="98" spans="1:11" ht="30" customHeight="1">
      <c r="A98" s="30">
        <v>10222</v>
      </c>
      <c r="B98" s="16" t="s">
        <v>702</v>
      </c>
      <c r="C98" s="15" t="s">
        <v>40</v>
      </c>
      <c r="D98" s="15" t="s">
        <v>33</v>
      </c>
      <c r="E98" s="15">
        <v>0.21</v>
      </c>
      <c r="F98" s="131">
        <v>50345.063962981287</v>
      </c>
      <c r="G98" s="17" t="e">
        <f t="shared" si="1"/>
        <v>#VALUE!</v>
      </c>
      <c r="H98" s="141">
        <v>54</v>
      </c>
      <c r="I98" s="141">
        <v>0</v>
      </c>
      <c r="J98" s="149">
        <v>0</v>
      </c>
      <c r="K98" s="150">
        <v>24</v>
      </c>
    </row>
    <row r="99" spans="1:11" ht="30" customHeight="1">
      <c r="A99" s="30">
        <v>10223</v>
      </c>
      <c r="B99" s="16" t="s">
        <v>702</v>
      </c>
      <c r="C99" s="15" t="s">
        <v>40</v>
      </c>
      <c r="D99" s="15" t="s">
        <v>34</v>
      </c>
      <c r="E99" s="15">
        <v>0.21</v>
      </c>
      <c r="F99" s="131">
        <v>69486.095199999996</v>
      </c>
      <c r="G99" s="17" t="e">
        <f t="shared" si="1"/>
        <v>#VALUE!</v>
      </c>
      <c r="H99" s="141">
        <v>15</v>
      </c>
      <c r="I99" s="141">
        <v>0</v>
      </c>
      <c r="J99" s="149">
        <v>0</v>
      </c>
      <c r="K99" s="150">
        <v>16</v>
      </c>
    </row>
    <row r="100" spans="1:11" ht="30" customHeight="1">
      <c r="A100" s="30">
        <v>10224</v>
      </c>
      <c r="B100" s="16" t="s">
        <v>702</v>
      </c>
      <c r="C100" s="15" t="s">
        <v>40</v>
      </c>
      <c r="D100" s="15" t="s">
        <v>35</v>
      </c>
      <c r="E100" s="15">
        <v>0.21</v>
      </c>
      <c r="F100" s="131">
        <v>102537.1072</v>
      </c>
      <c r="G100" s="17" t="e">
        <f t="shared" si="1"/>
        <v>#VALUE!</v>
      </c>
      <c r="H100" s="141">
        <v>42</v>
      </c>
      <c r="I100" s="141">
        <v>0</v>
      </c>
      <c r="J100" s="149">
        <v>0</v>
      </c>
      <c r="K100" s="150">
        <v>8</v>
      </c>
    </row>
    <row r="101" spans="1:11" ht="30" customHeight="1">
      <c r="A101" s="30">
        <v>10225</v>
      </c>
      <c r="B101" s="16" t="s">
        <v>702</v>
      </c>
      <c r="C101" s="15" t="s">
        <v>40</v>
      </c>
      <c r="D101" s="15" t="s">
        <v>36</v>
      </c>
      <c r="E101" s="15">
        <v>0.21</v>
      </c>
      <c r="F101" s="131">
        <v>151035.19188894378</v>
      </c>
      <c r="G101" s="17" t="e">
        <f t="shared" si="1"/>
        <v>#VALUE!</v>
      </c>
      <c r="H101" s="141">
        <v>26</v>
      </c>
      <c r="I101" s="141">
        <v>0</v>
      </c>
      <c r="J101" s="149">
        <v>0</v>
      </c>
      <c r="K101" s="150">
        <v>6</v>
      </c>
    </row>
    <row r="102" spans="1:11" ht="30" customHeight="1">
      <c r="A102" s="30">
        <v>10226</v>
      </c>
      <c r="B102" s="16" t="s">
        <v>702</v>
      </c>
      <c r="C102" s="15" t="s">
        <v>40</v>
      </c>
      <c r="D102" s="15" t="s">
        <v>38</v>
      </c>
      <c r="E102" s="15">
        <v>0.21</v>
      </c>
      <c r="F102" s="131">
        <v>238463.63140000001</v>
      </c>
      <c r="G102" s="17" t="e">
        <f t="shared" si="1"/>
        <v>#VALUE!</v>
      </c>
      <c r="H102" s="141">
        <v>6</v>
      </c>
      <c r="I102" s="141">
        <v>0</v>
      </c>
      <c r="J102" s="149">
        <v>0</v>
      </c>
      <c r="K102" s="150">
        <v>4</v>
      </c>
    </row>
    <row r="103" spans="1:11" ht="30" customHeight="1">
      <c r="A103" s="30">
        <v>10251</v>
      </c>
      <c r="B103" s="16" t="s">
        <v>702</v>
      </c>
      <c r="C103" s="15" t="s">
        <v>61</v>
      </c>
      <c r="D103" s="15" t="s">
        <v>62</v>
      </c>
      <c r="E103" s="15">
        <v>0.21</v>
      </c>
      <c r="F103" s="131">
        <v>39363.36287631929</v>
      </c>
      <c r="G103" s="17" t="e">
        <f t="shared" si="1"/>
        <v>#VALUE!</v>
      </c>
      <c r="H103" s="141">
        <v>293</v>
      </c>
      <c r="I103" s="141">
        <v>0</v>
      </c>
      <c r="J103" s="149">
        <v>0</v>
      </c>
      <c r="K103" s="150">
        <v>24</v>
      </c>
    </row>
    <row r="104" spans="1:11" ht="30" customHeight="1">
      <c r="A104" s="30">
        <v>10252</v>
      </c>
      <c r="B104" s="16" t="s">
        <v>702</v>
      </c>
      <c r="C104" s="15" t="s">
        <v>61</v>
      </c>
      <c r="D104" s="15" t="s">
        <v>63</v>
      </c>
      <c r="E104" s="15">
        <v>0.21</v>
      </c>
      <c r="F104" s="131">
        <v>60796.817007927682</v>
      </c>
      <c r="G104" s="17" t="e">
        <f t="shared" si="1"/>
        <v>#VALUE!</v>
      </c>
      <c r="H104" s="141">
        <v>216</v>
      </c>
      <c r="I104" s="141">
        <v>24</v>
      </c>
      <c r="J104" s="149">
        <v>0</v>
      </c>
      <c r="K104" s="150">
        <v>12</v>
      </c>
    </row>
    <row r="105" spans="1:11" ht="30" customHeight="1">
      <c r="A105" s="30">
        <v>10253</v>
      </c>
      <c r="B105" s="16" t="s">
        <v>702</v>
      </c>
      <c r="C105" s="15" t="s">
        <v>61</v>
      </c>
      <c r="D105" s="15" t="s">
        <v>64</v>
      </c>
      <c r="E105" s="15">
        <v>0.21</v>
      </c>
      <c r="F105" s="131">
        <v>99300.099067261122</v>
      </c>
      <c r="G105" s="17" t="e">
        <f t="shared" si="1"/>
        <v>#VALUE!</v>
      </c>
      <c r="H105" s="141">
        <v>158</v>
      </c>
      <c r="I105" s="141">
        <v>16</v>
      </c>
      <c r="J105" s="149">
        <v>0</v>
      </c>
      <c r="K105" s="150">
        <v>8</v>
      </c>
    </row>
    <row r="106" spans="1:11" ht="30" customHeight="1">
      <c r="A106" s="30">
        <v>10254</v>
      </c>
      <c r="B106" s="16" t="s">
        <v>702</v>
      </c>
      <c r="C106" s="15" t="s">
        <v>61</v>
      </c>
      <c r="D106" s="15" t="s">
        <v>65</v>
      </c>
      <c r="E106" s="15">
        <v>0.21</v>
      </c>
      <c r="F106" s="131">
        <v>136182.98535931212</v>
      </c>
      <c r="G106" s="17" t="e">
        <f t="shared" si="1"/>
        <v>#VALUE!</v>
      </c>
      <c r="H106" s="141">
        <v>129</v>
      </c>
      <c r="I106" s="141">
        <v>0</v>
      </c>
      <c r="J106" s="149">
        <v>0</v>
      </c>
      <c r="K106" s="150">
        <v>4</v>
      </c>
    </row>
    <row r="107" spans="1:11" ht="30" customHeight="1">
      <c r="A107" s="30">
        <v>10256</v>
      </c>
      <c r="B107" s="16" t="s">
        <v>702</v>
      </c>
      <c r="C107" s="15" t="s">
        <v>66</v>
      </c>
      <c r="D107" s="15" t="s">
        <v>62</v>
      </c>
      <c r="E107" s="15">
        <v>0.21</v>
      </c>
      <c r="F107" s="131">
        <v>40599.908306988997</v>
      </c>
      <c r="G107" s="17" t="e">
        <f t="shared" si="1"/>
        <v>#VALUE!</v>
      </c>
      <c r="H107" s="141">
        <v>121</v>
      </c>
      <c r="I107" s="141">
        <v>0</v>
      </c>
      <c r="J107" s="149">
        <v>0</v>
      </c>
      <c r="K107" s="150">
        <v>24</v>
      </c>
    </row>
    <row r="108" spans="1:11" ht="30" customHeight="1">
      <c r="A108" s="30">
        <v>10257</v>
      </c>
      <c r="B108" s="16" t="s">
        <v>702</v>
      </c>
      <c r="C108" s="15" t="s">
        <v>66</v>
      </c>
      <c r="D108" s="15" t="s">
        <v>63</v>
      </c>
      <c r="E108" s="15">
        <v>0.21</v>
      </c>
      <c r="F108" s="131">
        <v>60796.817007927682</v>
      </c>
      <c r="G108" s="17" t="e">
        <f t="shared" si="1"/>
        <v>#VALUE!</v>
      </c>
      <c r="H108" s="141">
        <v>59</v>
      </c>
      <c r="I108" s="141">
        <v>0</v>
      </c>
      <c r="J108" s="149">
        <v>0</v>
      </c>
      <c r="K108" s="150">
        <v>12</v>
      </c>
    </row>
    <row r="109" spans="1:11" ht="30" customHeight="1">
      <c r="A109" s="30">
        <v>10258</v>
      </c>
      <c r="B109" s="16" t="s">
        <v>702</v>
      </c>
      <c r="C109" s="15" t="s">
        <v>66</v>
      </c>
      <c r="D109" s="15" t="s">
        <v>64</v>
      </c>
      <c r="E109" s="15">
        <v>0.21</v>
      </c>
      <c r="F109" s="131">
        <v>99062.973489636308</v>
      </c>
      <c r="G109" s="17" t="e">
        <f t="shared" si="1"/>
        <v>#VALUE!</v>
      </c>
      <c r="H109" s="141">
        <v>47</v>
      </c>
      <c r="I109" s="141">
        <v>0</v>
      </c>
      <c r="J109" s="149">
        <v>0</v>
      </c>
      <c r="K109" s="150">
        <v>8</v>
      </c>
    </row>
    <row r="110" spans="1:11" ht="30" customHeight="1">
      <c r="A110" s="30">
        <v>10259</v>
      </c>
      <c r="B110" s="16" t="s">
        <v>702</v>
      </c>
      <c r="C110" s="15" t="s">
        <v>66</v>
      </c>
      <c r="D110" s="15" t="s">
        <v>65</v>
      </c>
      <c r="E110" s="15">
        <v>0.21</v>
      </c>
      <c r="F110" s="131">
        <v>145745.23166049877</v>
      </c>
      <c r="G110" s="17" t="e">
        <f t="shared" si="1"/>
        <v>#VALUE!</v>
      </c>
      <c r="H110" s="141">
        <v>12</v>
      </c>
      <c r="I110" s="141">
        <v>0</v>
      </c>
      <c r="J110" s="149">
        <v>0</v>
      </c>
      <c r="K110" s="150">
        <v>4</v>
      </c>
    </row>
    <row r="111" spans="1:11" ht="30" customHeight="1">
      <c r="A111" s="30">
        <v>10077</v>
      </c>
      <c r="B111" s="16" t="s">
        <v>702</v>
      </c>
      <c r="C111" s="15" t="s">
        <v>3088</v>
      </c>
      <c r="D111" s="15" t="s">
        <v>11</v>
      </c>
      <c r="E111" s="15">
        <v>0.21</v>
      </c>
      <c r="F111" s="131">
        <v>14711.079526797754</v>
      </c>
      <c r="G111" s="17" t="e">
        <f t="shared" si="1"/>
        <v>#VALUE!</v>
      </c>
      <c r="H111" s="141">
        <v>1135</v>
      </c>
      <c r="I111" s="141">
        <v>0</v>
      </c>
      <c r="J111" s="149">
        <v>10</v>
      </c>
      <c r="K111" s="150">
        <v>60</v>
      </c>
    </row>
    <row r="112" spans="1:11" ht="30" customHeight="1">
      <c r="A112" s="31">
        <v>10078</v>
      </c>
      <c r="B112" s="16" t="s">
        <v>702</v>
      </c>
      <c r="C112" s="15" t="s">
        <v>3088</v>
      </c>
      <c r="D112" s="15" t="s">
        <v>2497</v>
      </c>
      <c r="E112" s="15">
        <v>0.21</v>
      </c>
      <c r="F112" s="131">
        <v>21311.494041542981</v>
      </c>
      <c r="G112" s="17" t="e">
        <f t="shared" si="1"/>
        <v>#VALUE!</v>
      </c>
      <c r="H112" s="141">
        <v>273</v>
      </c>
      <c r="I112" s="141">
        <v>0</v>
      </c>
      <c r="J112" s="149">
        <v>6</v>
      </c>
      <c r="K112" s="150">
        <v>48</v>
      </c>
    </row>
    <row r="113" spans="1:11" ht="30" customHeight="1">
      <c r="A113" s="30">
        <v>10082</v>
      </c>
      <c r="B113" s="16" t="s">
        <v>702</v>
      </c>
      <c r="C113" s="15" t="s">
        <v>3089</v>
      </c>
      <c r="D113" s="15" t="s">
        <v>11</v>
      </c>
      <c r="E113" s="15">
        <v>0.21</v>
      </c>
      <c r="F113" s="131">
        <v>14711.079526797754</v>
      </c>
      <c r="G113" s="17" t="e">
        <f t="shared" si="1"/>
        <v>#VALUE!</v>
      </c>
      <c r="H113" s="141">
        <v>465</v>
      </c>
      <c r="I113" s="141">
        <v>0</v>
      </c>
      <c r="J113" s="149">
        <v>10</v>
      </c>
      <c r="K113" s="150">
        <v>60</v>
      </c>
    </row>
    <row r="114" spans="1:11" ht="30" customHeight="1">
      <c r="A114" s="31">
        <v>10083</v>
      </c>
      <c r="B114" s="16" t="s">
        <v>702</v>
      </c>
      <c r="C114" s="15" t="s">
        <v>3089</v>
      </c>
      <c r="D114" s="15" t="s">
        <v>2497</v>
      </c>
      <c r="E114" s="15">
        <v>0.21</v>
      </c>
      <c r="F114" s="131">
        <v>21311.494041542981</v>
      </c>
      <c r="G114" s="17" t="e">
        <f t="shared" si="1"/>
        <v>#VALUE!</v>
      </c>
      <c r="H114" s="141">
        <v>174</v>
      </c>
      <c r="I114" s="141">
        <v>0</v>
      </c>
      <c r="J114" s="149">
        <v>6</v>
      </c>
      <c r="K114" s="150">
        <v>48</v>
      </c>
    </row>
    <row r="115" spans="1:11" ht="30" customHeight="1">
      <c r="A115" s="30">
        <v>10087</v>
      </c>
      <c r="B115" s="16" t="s">
        <v>702</v>
      </c>
      <c r="C115" s="15" t="s">
        <v>3090</v>
      </c>
      <c r="D115" s="15" t="s">
        <v>11</v>
      </c>
      <c r="E115" s="15">
        <v>0.21</v>
      </c>
      <c r="F115" s="131">
        <v>14265.289238106907</v>
      </c>
      <c r="G115" s="17" t="e">
        <f t="shared" si="1"/>
        <v>#VALUE!</v>
      </c>
      <c r="H115" s="141">
        <v>949</v>
      </c>
      <c r="I115" s="141">
        <v>0</v>
      </c>
      <c r="J115" s="149">
        <v>10</v>
      </c>
      <c r="K115" s="150">
        <v>60</v>
      </c>
    </row>
    <row r="116" spans="1:11" ht="30" customHeight="1">
      <c r="A116" s="31">
        <v>10088</v>
      </c>
      <c r="B116" s="16" t="s">
        <v>702</v>
      </c>
      <c r="C116" s="15" t="s">
        <v>3090</v>
      </c>
      <c r="D116" s="15" t="s">
        <v>2497</v>
      </c>
      <c r="E116" s="15">
        <v>0.21</v>
      </c>
      <c r="F116" s="131">
        <v>21311.494041542981</v>
      </c>
      <c r="G116" s="17" t="e">
        <f t="shared" si="1"/>
        <v>#VALUE!</v>
      </c>
      <c r="H116" s="141">
        <v>417</v>
      </c>
      <c r="I116" s="141">
        <v>0</v>
      </c>
      <c r="J116" s="149">
        <v>6</v>
      </c>
      <c r="K116" s="150">
        <v>48</v>
      </c>
    </row>
    <row r="117" spans="1:11" ht="30" customHeight="1">
      <c r="A117" s="30">
        <v>10092</v>
      </c>
      <c r="B117" s="16" t="s">
        <v>702</v>
      </c>
      <c r="C117" s="15" t="s">
        <v>3091</v>
      </c>
      <c r="D117" s="15" t="s">
        <v>11</v>
      </c>
      <c r="E117" s="15">
        <v>0.21</v>
      </c>
      <c r="F117" s="131">
        <v>14265.289238106907</v>
      </c>
      <c r="G117" s="17" t="e">
        <f t="shared" si="1"/>
        <v>#VALUE!</v>
      </c>
      <c r="H117" s="141">
        <v>608</v>
      </c>
      <c r="I117" s="141">
        <v>0</v>
      </c>
      <c r="J117" s="149">
        <v>10</v>
      </c>
      <c r="K117" s="150">
        <v>60</v>
      </c>
    </row>
    <row r="118" spans="1:11" ht="30" customHeight="1">
      <c r="A118" s="31">
        <v>10093</v>
      </c>
      <c r="B118" s="16" t="s">
        <v>702</v>
      </c>
      <c r="C118" s="15" t="s">
        <v>3091</v>
      </c>
      <c r="D118" s="15" t="s">
        <v>2497</v>
      </c>
      <c r="E118" s="15">
        <v>0.21</v>
      </c>
      <c r="F118" s="131">
        <v>21311.494041542981</v>
      </c>
      <c r="G118" s="17" t="e">
        <f t="shared" si="1"/>
        <v>#VALUE!</v>
      </c>
      <c r="H118" s="141">
        <v>392</v>
      </c>
      <c r="I118" s="141">
        <v>0</v>
      </c>
      <c r="J118" s="149">
        <v>6</v>
      </c>
      <c r="K118" s="150">
        <v>48</v>
      </c>
    </row>
    <row r="119" spans="1:11" ht="30" customHeight="1">
      <c r="A119" s="30">
        <v>10097</v>
      </c>
      <c r="B119" s="16" t="s">
        <v>702</v>
      </c>
      <c r="C119" s="15" t="s">
        <v>41</v>
      </c>
      <c r="D119" s="15" t="s">
        <v>11</v>
      </c>
      <c r="E119" s="15">
        <v>0.21</v>
      </c>
      <c r="F119" s="131">
        <v>58589.772366025252</v>
      </c>
      <c r="G119" s="17" t="e">
        <f t="shared" si="1"/>
        <v>#VALUE!</v>
      </c>
      <c r="H119" s="141">
        <v>352</v>
      </c>
      <c r="I119" s="141">
        <v>0</v>
      </c>
      <c r="J119" s="149">
        <v>10</v>
      </c>
      <c r="K119" s="150">
        <v>20</v>
      </c>
    </row>
    <row r="120" spans="1:11" ht="30" customHeight="1">
      <c r="A120" s="30">
        <v>10100</v>
      </c>
      <c r="B120" s="16" t="s">
        <v>702</v>
      </c>
      <c r="C120" s="15" t="s">
        <v>42</v>
      </c>
      <c r="D120" s="15" t="s">
        <v>10</v>
      </c>
      <c r="E120" s="15">
        <v>0.21</v>
      </c>
      <c r="F120" s="131">
        <v>16915.096331082823</v>
      </c>
      <c r="G120" s="17" t="e">
        <f t="shared" si="1"/>
        <v>#VALUE!</v>
      </c>
      <c r="H120" s="141">
        <v>771</v>
      </c>
      <c r="I120" s="141">
        <v>0</v>
      </c>
      <c r="J120" s="149">
        <v>6</v>
      </c>
      <c r="K120" s="150">
        <v>48</v>
      </c>
    </row>
    <row r="121" spans="1:11" ht="30" customHeight="1">
      <c r="A121" s="31">
        <v>10309</v>
      </c>
      <c r="B121" s="16" t="s">
        <v>702</v>
      </c>
      <c r="C121" s="15" t="s">
        <v>2498</v>
      </c>
      <c r="D121" s="15" t="s">
        <v>2499</v>
      </c>
      <c r="E121" s="15">
        <v>0.21</v>
      </c>
      <c r="F121" s="131">
        <v>49334.918119912683</v>
      </c>
      <c r="G121" s="17" t="e">
        <f t="shared" si="1"/>
        <v>#VALUE!</v>
      </c>
      <c r="H121" s="141">
        <v>151</v>
      </c>
      <c r="I121" s="141">
        <v>0</v>
      </c>
      <c r="J121" s="149">
        <v>6</v>
      </c>
      <c r="K121" s="150">
        <v>24</v>
      </c>
    </row>
    <row r="122" spans="1:11" ht="30" customHeight="1">
      <c r="A122" s="30">
        <v>10301</v>
      </c>
      <c r="B122" s="16" t="s">
        <v>702</v>
      </c>
      <c r="C122" s="15" t="s">
        <v>67</v>
      </c>
      <c r="D122" s="15" t="s">
        <v>17</v>
      </c>
      <c r="E122" s="15">
        <v>0.21</v>
      </c>
      <c r="F122" s="131">
        <v>38409.37562472788</v>
      </c>
      <c r="G122" s="17" t="e">
        <f t="shared" si="1"/>
        <v>#VALUE!</v>
      </c>
      <c r="H122" s="141">
        <v>21</v>
      </c>
      <c r="I122" s="141">
        <v>0</v>
      </c>
      <c r="J122" s="149">
        <v>6</v>
      </c>
      <c r="K122" s="150">
        <v>24</v>
      </c>
    </row>
    <row r="123" spans="1:11" ht="30" customHeight="1">
      <c r="A123" s="30">
        <v>10101</v>
      </c>
      <c r="B123" s="16" t="s">
        <v>702</v>
      </c>
      <c r="C123" s="15" t="s">
        <v>43</v>
      </c>
      <c r="D123" s="15" t="s">
        <v>44</v>
      </c>
      <c r="E123" s="15">
        <v>0.21</v>
      </c>
      <c r="F123" s="131">
        <v>16619.077150200003</v>
      </c>
      <c r="G123" s="17" t="e">
        <f t="shared" si="1"/>
        <v>#VALUE!</v>
      </c>
      <c r="H123" s="141">
        <v>681</v>
      </c>
      <c r="I123" s="141">
        <v>0</v>
      </c>
      <c r="J123" s="149">
        <v>6</v>
      </c>
      <c r="K123" s="150">
        <v>48</v>
      </c>
    </row>
    <row r="124" spans="1:11" ht="30" customHeight="1">
      <c r="A124" s="30">
        <v>10112</v>
      </c>
      <c r="B124" s="16" t="s">
        <v>702</v>
      </c>
      <c r="C124" s="15" t="s">
        <v>50</v>
      </c>
      <c r="D124" s="15" t="s">
        <v>51</v>
      </c>
      <c r="E124" s="15">
        <v>0.21</v>
      </c>
      <c r="F124" s="131">
        <v>15878.948909703529</v>
      </c>
      <c r="G124" s="17" t="e">
        <f t="shared" si="1"/>
        <v>#VALUE!</v>
      </c>
      <c r="H124" s="141">
        <v>754</v>
      </c>
      <c r="I124" s="141">
        <v>0</v>
      </c>
      <c r="J124" s="149">
        <v>12</v>
      </c>
      <c r="K124" s="150">
        <v>48</v>
      </c>
    </row>
    <row r="125" spans="1:11" ht="30" customHeight="1">
      <c r="A125" s="30">
        <v>10113</v>
      </c>
      <c r="B125" s="16" t="s">
        <v>702</v>
      </c>
      <c r="C125" s="15" t="s">
        <v>50</v>
      </c>
      <c r="D125" s="15" t="s">
        <v>45</v>
      </c>
      <c r="E125" s="15">
        <v>0.21</v>
      </c>
      <c r="F125" s="131">
        <v>21848.478575005596</v>
      </c>
      <c r="G125" s="17" t="e">
        <f t="shared" si="1"/>
        <v>#VALUE!</v>
      </c>
      <c r="H125" s="141">
        <v>644</v>
      </c>
      <c r="I125" s="141">
        <v>0</v>
      </c>
      <c r="J125" s="149">
        <v>10</v>
      </c>
      <c r="K125" s="150">
        <v>30</v>
      </c>
    </row>
    <row r="126" spans="1:11" ht="30" customHeight="1">
      <c r="A126" s="30">
        <v>10114</v>
      </c>
      <c r="B126" s="16" t="s">
        <v>702</v>
      </c>
      <c r="C126" s="15" t="s">
        <v>50</v>
      </c>
      <c r="D126" s="15" t="s">
        <v>47</v>
      </c>
      <c r="E126" s="15">
        <v>0.21</v>
      </c>
      <c r="F126" s="131">
        <v>33190.584939079541</v>
      </c>
      <c r="G126" s="17" t="e">
        <f t="shared" si="1"/>
        <v>#VALUE!</v>
      </c>
      <c r="H126" s="141">
        <v>542</v>
      </c>
      <c r="I126" s="141">
        <v>0</v>
      </c>
      <c r="J126" s="149">
        <v>8</v>
      </c>
      <c r="K126" s="150">
        <v>16</v>
      </c>
    </row>
    <row r="127" spans="1:11" ht="30" customHeight="1">
      <c r="A127" s="30">
        <v>10115</v>
      </c>
      <c r="B127" s="16" t="s">
        <v>702</v>
      </c>
      <c r="C127" s="15" t="s">
        <v>50</v>
      </c>
      <c r="D127" s="15" t="s">
        <v>12</v>
      </c>
      <c r="E127" s="15">
        <v>0.21</v>
      </c>
      <c r="F127" s="131">
        <v>46562.331389356172</v>
      </c>
      <c r="G127" s="17" t="e">
        <f t="shared" si="1"/>
        <v>#VALUE!</v>
      </c>
      <c r="H127" s="141">
        <v>296</v>
      </c>
      <c r="I127" s="141">
        <v>48</v>
      </c>
      <c r="J127" s="149">
        <v>6</v>
      </c>
      <c r="K127" s="150">
        <v>12</v>
      </c>
    </row>
    <row r="128" spans="1:11" ht="30" customHeight="1">
      <c r="A128" s="30">
        <v>10198</v>
      </c>
      <c r="B128" s="16" t="s">
        <v>702</v>
      </c>
      <c r="C128" s="15" t="s">
        <v>1917</v>
      </c>
      <c r="D128" s="15" t="s">
        <v>45</v>
      </c>
      <c r="E128" s="15">
        <v>0.21</v>
      </c>
      <c r="F128" s="131">
        <v>3425.3070070442727</v>
      </c>
      <c r="G128" s="17" t="e">
        <f t="shared" si="1"/>
        <v>#VALUE!</v>
      </c>
      <c r="H128" s="141">
        <v>883</v>
      </c>
      <c r="I128" s="141">
        <v>100</v>
      </c>
      <c r="J128" s="149">
        <v>25</v>
      </c>
      <c r="K128" s="150">
        <v>100</v>
      </c>
    </row>
    <row r="129" spans="1:11" ht="30" customHeight="1">
      <c r="A129" s="30">
        <v>10199</v>
      </c>
      <c r="B129" s="16" t="s">
        <v>702</v>
      </c>
      <c r="C129" s="15" t="s">
        <v>1917</v>
      </c>
      <c r="D129" s="15" t="s">
        <v>47</v>
      </c>
      <c r="E129" s="15">
        <v>0.21</v>
      </c>
      <c r="F129" s="131">
        <v>4440.2127869092419</v>
      </c>
      <c r="G129" s="17" t="e">
        <f t="shared" si="1"/>
        <v>#VALUE!</v>
      </c>
      <c r="H129" s="141">
        <v>934</v>
      </c>
      <c r="I129" s="141">
        <v>100</v>
      </c>
      <c r="J129" s="149">
        <v>25</v>
      </c>
      <c r="K129" s="150">
        <v>100</v>
      </c>
    </row>
    <row r="130" spans="1:11" ht="30" customHeight="1">
      <c r="A130" s="30">
        <v>10200</v>
      </c>
      <c r="B130" s="16" t="s">
        <v>702</v>
      </c>
      <c r="C130" s="15" t="s">
        <v>1917</v>
      </c>
      <c r="D130" s="15" t="s">
        <v>1824</v>
      </c>
      <c r="E130" s="15">
        <v>0.21</v>
      </c>
      <c r="F130" s="131">
        <v>5078.079901950302</v>
      </c>
      <c r="G130" s="17" t="e">
        <f t="shared" si="1"/>
        <v>#VALUE!</v>
      </c>
      <c r="H130" s="141">
        <v>422</v>
      </c>
      <c r="I130" s="141">
        <v>100</v>
      </c>
      <c r="J130" s="149">
        <v>25</v>
      </c>
      <c r="K130" s="150">
        <v>100</v>
      </c>
    </row>
    <row r="131" spans="1:11" ht="30" customHeight="1">
      <c r="A131" s="30">
        <v>10161</v>
      </c>
      <c r="B131" s="16" t="s">
        <v>702</v>
      </c>
      <c r="C131" s="15" t="s">
        <v>52</v>
      </c>
      <c r="D131" s="15" t="s">
        <v>53</v>
      </c>
      <c r="E131" s="15">
        <v>0.21</v>
      </c>
      <c r="F131" s="131">
        <v>15753.588786732182</v>
      </c>
      <c r="G131" s="17" t="e">
        <f t="shared" si="1"/>
        <v>#VALUE!</v>
      </c>
      <c r="H131" s="141">
        <v>625</v>
      </c>
      <c r="I131" s="141">
        <v>0</v>
      </c>
      <c r="J131" s="149">
        <v>10</v>
      </c>
      <c r="K131" s="150">
        <v>20</v>
      </c>
    </row>
    <row r="132" spans="1:11" ht="30" customHeight="1">
      <c r="A132" s="30">
        <v>10163</v>
      </c>
      <c r="B132" s="16" t="s">
        <v>702</v>
      </c>
      <c r="C132" s="15" t="s">
        <v>52</v>
      </c>
      <c r="D132" s="15" t="s">
        <v>54</v>
      </c>
      <c r="E132" s="15">
        <v>0.21</v>
      </c>
      <c r="F132" s="131">
        <v>16965.403308788504</v>
      </c>
      <c r="G132" s="17" t="e">
        <f t="shared" si="1"/>
        <v>#VALUE!</v>
      </c>
      <c r="H132" s="141">
        <v>703</v>
      </c>
      <c r="I132" s="141">
        <v>0</v>
      </c>
      <c r="J132" s="149">
        <v>10</v>
      </c>
      <c r="K132" s="150">
        <v>20</v>
      </c>
    </row>
    <row r="133" spans="1:11" ht="30" customHeight="1">
      <c r="A133" s="30">
        <v>10189</v>
      </c>
      <c r="B133" s="16" t="s">
        <v>702</v>
      </c>
      <c r="C133" s="15" t="s">
        <v>52</v>
      </c>
      <c r="D133" s="15" t="s">
        <v>55</v>
      </c>
      <c r="E133" s="15">
        <v>0.21</v>
      </c>
      <c r="F133" s="131">
        <v>46489.61166434249</v>
      </c>
      <c r="G133" s="17" t="e">
        <f t="shared" si="1"/>
        <v>#VALUE!</v>
      </c>
      <c r="H133" s="141">
        <v>412</v>
      </c>
      <c r="I133" s="141">
        <v>0</v>
      </c>
      <c r="J133" s="149">
        <v>0</v>
      </c>
      <c r="K133" s="150">
        <v>10</v>
      </c>
    </row>
    <row r="134" spans="1:11" ht="30" customHeight="1">
      <c r="A134" s="30">
        <v>10191</v>
      </c>
      <c r="B134" s="16" t="s">
        <v>702</v>
      </c>
      <c r="C134" s="15" t="s">
        <v>52</v>
      </c>
      <c r="D134" s="15" t="s">
        <v>56</v>
      </c>
      <c r="E134" s="15">
        <v>0.21</v>
      </c>
      <c r="F134" s="131">
        <v>51095.556038218921</v>
      </c>
      <c r="G134" s="17" t="e">
        <f t="shared" si="1"/>
        <v>#VALUE!</v>
      </c>
      <c r="H134" s="141">
        <v>288</v>
      </c>
      <c r="I134" s="141">
        <v>0</v>
      </c>
      <c r="J134" s="149">
        <v>0</v>
      </c>
      <c r="K134" s="150">
        <v>10</v>
      </c>
    </row>
    <row r="135" spans="1:11" ht="30" customHeight="1">
      <c r="A135" s="30">
        <v>10193</v>
      </c>
      <c r="B135" s="16" t="s">
        <v>702</v>
      </c>
      <c r="C135" s="15" t="s">
        <v>52</v>
      </c>
      <c r="D135" s="15" t="s">
        <v>57</v>
      </c>
      <c r="E135" s="15">
        <v>0.21</v>
      </c>
      <c r="F135" s="131">
        <v>60643.185605935403</v>
      </c>
      <c r="G135" s="17" t="e">
        <f t="shared" si="1"/>
        <v>#VALUE!</v>
      </c>
      <c r="H135" s="141">
        <v>255</v>
      </c>
      <c r="I135" s="141">
        <v>0</v>
      </c>
      <c r="J135" s="149">
        <v>0</v>
      </c>
      <c r="K135" s="150">
        <v>8</v>
      </c>
    </row>
    <row r="136" spans="1:11" ht="30" customHeight="1">
      <c r="A136" s="30">
        <v>10194</v>
      </c>
      <c r="B136" s="16" t="s">
        <v>702</v>
      </c>
      <c r="C136" s="15" t="s">
        <v>52</v>
      </c>
      <c r="D136" s="15" t="s">
        <v>58</v>
      </c>
      <c r="E136" s="15">
        <v>0.21</v>
      </c>
      <c r="F136" s="131">
        <v>68407.192067594922</v>
      </c>
      <c r="G136" s="17" t="e">
        <f t="shared" ref="G136:G199" si="2">(F136*$G$6)</f>
        <v>#VALUE!</v>
      </c>
      <c r="H136" s="141">
        <v>179</v>
      </c>
      <c r="I136" s="141">
        <v>0</v>
      </c>
      <c r="J136" s="149">
        <v>0</v>
      </c>
      <c r="K136" s="150">
        <v>6</v>
      </c>
    </row>
    <row r="137" spans="1:11" ht="30" customHeight="1">
      <c r="A137" s="30">
        <v>10201</v>
      </c>
      <c r="B137" s="16" t="s">
        <v>702</v>
      </c>
      <c r="C137" s="15" t="s">
        <v>59</v>
      </c>
      <c r="D137" s="15" t="s">
        <v>47</v>
      </c>
      <c r="E137" s="15">
        <v>0.21</v>
      </c>
      <c r="F137" s="131">
        <v>15706.875164576904</v>
      </c>
      <c r="G137" s="17" t="e">
        <f t="shared" si="2"/>
        <v>#VALUE!</v>
      </c>
      <c r="H137" s="141">
        <v>716</v>
      </c>
      <c r="I137" s="141">
        <v>0</v>
      </c>
      <c r="J137" s="149">
        <v>8</v>
      </c>
      <c r="K137" s="150">
        <v>32</v>
      </c>
    </row>
    <row r="138" spans="1:11" ht="30" customHeight="1">
      <c r="A138" s="30">
        <v>10204</v>
      </c>
      <c r="B138" s="16" t="s">
        <v>702</v>
      </c>
      <c r="C138" s="15" t="s">
        <v>59</v>
      </c>
      <c r="D138" s="15" t="s">
        <v>33</v>
      </c>
      <c r="E138" s="15">
        <v>0.21</v>
      </c>
      <c r="F138" s="131">
        <v>19331.538664094649</v>
      </c>
      <c r="G138" s="17" t="e">
        <f t="shared" si="2"/>
        <v>#VALUE!</v>
      </c>
      <c r="H138" s="141">
        <v>603</v>
      </c>
      <c r="I138" s="141">
        <v>0</v>
      </c>
      <c r="J138" s="149">
        <v>6</v>
      </c>
      <c r="K138" s="150">
        <v>24</v>
      </c>
    </row>
    <row r="139" spans="1:11" ht="30" customHeight="1">
      <c r="A139" s="30">
        <v>10206</v>
      </c>
      <c r="B139" s="16" t="s">
        <v>702</v>
      </c>
      <c r="C139" s="15" t="s">
        <v>59</v>
      </c>
      <c r="D139" s="15" t="s">
        <v>35</v>
      </c>
      <c r="E139" s="15">
        <v>0.21</v>
      </c>
      <c r="F139" s="131">
        <v>22626.687300019879</v>
      </c>
      <c r="G139" s="17" t="e">
        <f t="shared" si="2"/>
        <v>#VALUE!</v>
      </c>
      <c r="H139" s="141">
        <v>444</v>
      </c>
      <c r="I139" s="141">
        <v>0</v>
      </c>
      <c r="J139" s="149">
        <v>6</v>
      </c>
      <c r="K139" s="150">
        <v>18</v>
      </c>
    </row>
    <row r="140" spans="1:11" ht="30" customHeight="1">
      <c r="A140" s="30">
        <v>10207</v>
      </c>
      <c r="B140" s="16" t="s">
        <v>702</v>
      </c>
      <c r="C140" s="15" t="s">
        <v>59</v>
      </c>
      <c r="D140" s="15" t="s">
        <v>36</v>
      </c>
      <c r="E140" s="15">
        <v>0.21</v>
      </c>
      <c r="F140" s="131">
        <v>26031.674223809277</v>
      </c>
      <c r="G140" s="17" t="e">
        <f t="shared" si="2"/>
        <v>#VALUE!</v>
      </c>
      <c r="H140" s="141">
        <v>245</v>
      </c>
      <c r="I140" s="141">
        <v>0</v>
      </c>
      <c r="J140" s="149">
        <v>6</v>
      </c>
      <c r="K140" s="150">
        <v>18</v>
      </c>
    </row>
    <row r="141" spans="1:11" ht="30" customHeight="1">
      <c r="A141" s="31">
        <v>10209</v>
      </c>
      <c r="B141" s="16" t="s">
        <v>702</v>
      </c>
      <c r="C141" s="15" t="s">
        <v>1919</v>
      </c>
      <c r="D141" s="15" t="s">
        <v>1825</v>
      </c>
      <c r="E141" s="15">
        <v>0.21</v>
      </c>
      <c r="F141" s="131">
        <v>55945.061419800011</v>
      </c>
      <c r="G141" s="17" t="e">
        <f t="shared" si="2"/>
        <v>#VALUE!</v>
      </c>
      <c r="H141" s="141">
        <v>67</v>
      </c>
      <c r="I141" s="141">
        <v>0</v>
      </c>
      <c r="J141" s="149">
        <v>5</v>
      </c>
      <c r="K141" s="150">
        <v>10</v>
      </c>
    </row>
    <row r="142" spans="1:11" ht="30" customHeight="1">
      <c r="A142" s="30">
        <v>10210</v>
      </c>
      <c r="B142" s="16" t="s">
        <v>702</v>
      </c>
      <c r="C142" s="15" t="s">
        <v>60</v>
      </c>
      <c r="D142" s="15" t="s">
        <v>51</v>
      </c>
      <c r="E142" s="15">
        <v>0.21</v>
      </c>
      <c r="F142" s="131">
        <v>11203.505362145761</v>
      </c>
      <c r="G142" s="17" t="e">
        <f t="shared" si="2"/>
        <v>#VALUE!</v>
      </c>
      <c r="H142" s="141">
        <v>629</v>
      </c>
      <c r="I142" s="141">
        <v>0</v>
      </c>
      <c r="J142" s="149">
        <v>12</v>
      </c>
      <c r="K142" s="150">
        <v>48</v>
      </c>
    </row>
    <row r="143" spans="1:11" ht="30" customHeight="1">
      <c r="A143" s="31">
        <v>10218</v>
      </c>
      <c r="B143" s="16" t="s">
        <v>702</v>
      </c>
      <c r="C143" s="15" t="s">
        <v>3092</v>
      </c>
      <c r="D143" s="15" t="s">
        <v>1826</v>
      </c>
      <c r="E143" s="15">
        <v>0.21</v>
      </c>
      <c r="F143" s="131">
        <v>17217.1666</v>
      </c>
      <c r="G143" s="17" t="e">
        <f t="shared" si="2"/>
        <v>#VALUE!</v>
      </c>
      <c r="H143" s="141">
        <v>290</v>
      </c>
      <c r="I143" s="141">
        <v>0</v>
      </c>
      <c r="J143" s="149">
        <v>6</v>
      </c>
      <c r="K143" s="150">
        <v>36</v>
      </c>
    </row>
    <row r="144" spans="1:11" ht="30" customHeight="1">
      <c r="A144" s="30">
        <v>10103</v>
      </c>
      <c r="B144" s="16" t="s">
        <v>702</v>
      </c>
      <c r="C144" s="15" t="s">
        <v>3093</v>
      </c>
      <c r="D144" s="15" t="s">
        <v>45</v>
      </c>
      <c r="E144" s="15">
        <v>0.21</v>
      </c>
      <c r="F144" s="131">
        <v>180618.67495577078</v>
      </c>
      <c r="G144" s="17" t="e">
        <f t="shared" si="2"/>
        <v>#VALUE!</v>
      </c>
      <c r="H144" s="141">
        <v>39</v>
      </c>
      <c r="I144" s="141">
        <v>10</v>
      </c>
      <c r="J144" s="149" t="e">
        <v>#N/A</v>
      </c>
      <c r="K144" s="150" t="e">
        <v>#N/A</v>
      </c>
    </row>
    <row r="145" spans="1:11" ht="30" customHeight="1">
      <c r="A145" s="31">
        <v>10804</v>
      </c>
      <c r="B145" s="16" t="s">
        <v>702</v>
      </c>
      <c r="C145" s="15" t="s">
        <v>2500</v>
      </c>
      <c r="D145" s="15" t="s">
        <v>45</v>
      </c>
      <c r="E145" s="15">
        <v>0.21</v>
      </c>
      <c r="F145" s="131">
        <v>190374.74286272191</v>
      </c>
      <c r="G145" s="17" t="e">
        <f t="shared" si="2"/>
        <v>#VALUE!</v>
      </c>
      <c r="H145" s="141">
        <v>0</v>
      </c>
      <c r="I145" s="141">
        <v>0</v>
      </c>
      <c r="J145" s="149">
        <v>0</v>
      </c>
      <c r="K145" s="150">
        <v>1</v>
      </c>
    </row>
    <row r="146" spans="1:11" ht="30" customHeight="1">
      <c r="A146" s="30">
        <v>10104</v>
      </c>
      <c r="B146" s="16" t="s">
        <v>702</v>
      </c>
      <c r="C146" s="15" t="s">
        <v>1918</v>
      </c>
      <c r="D146" s="15" t="s">
        <v>46</v>
      </c>
      <c r="E146" s="15">
        <v>0.21</v>
      </c>
      <c r="F146" s="131">
        <v>213481.06220121132</v>
      </c>
      <c r="G146" s="17" t="e">
        <f t="shared" si="2"/>
        <v>#VALUE!</v>
      </c>
      <c r="H146" s="141">
        <v>29</v>
      </c>
      <c r="I146" s="141">
        <v>0</v>
      </c>
      <c r="J146" s="149" t="e">
        <v>#N/A</v>
      </c>
      <c r="K146" s="150" t="e">
        <v>#N/A</v>
      </c>
    </row>
    <row r="147" spans="1:11" ht="30" customHeight="1">
      <c r="A147" s="30">
        <v>10105</v>
      </c>
      <c r="B147" s="16" t="s">
        <v>702</v>
      </c>
      <c r="C147" s="15" t="s">
        <v>3094</v>
      </c>
      <c r="D147" s="15" t="s">
        <v>47</v>
      </c>
      <c r="E147" s="15">
        <v>0.21</v>
      </c>
      <c r="F147" s="131">
        <v>330608.41109119169</v>
      </c>
      <c r="G147" s="17" t="e">
        <f t="shared" si="2"/>
        <v>#VALUE!</v>
      </c>
      <c r="H147" s="141">
        <v>48</v>
      </c>
      <c r="I147" s="141">
        <v>0</v>
      </c>
      <c r="J147" s="149" t="e">
        <v>#N/A</v>
      </c>
      <c r="K147" s="150" t="e">
        <v>#N/A</v>
      </c>
    </row>
    <row r="148" spans="1:11" ht="30" customHeight="1">
      <c r="A148" s="31">
        <v>10806</v>
      </c>
      <c r="B148" s="16" t="s">
        <v>702</v>
      </c>
      <c r="C148" s="15" t="s">
        <v>3095</v>
      </c>
      <c r="D148" s="15" t="s">
        <v>47</v>
      </c>
      <c r="E148" s="15">
        <v>0.21</v>
      </c>
      <c r="F148" s="131">
        <v>301456.4408557922</v>
      </c>
      <c r="G148" s="17" t="e">
        <f t="shared" si="2"/>
        <v>#VALUE!</v>
      </c>
      <c r="H148" s="141">
        <v>0</v>
      </c>
      <c r="I148" s="141">
        <v>0</v>
      </c>
      <c r="J148" s="149">
        <v>0</v>
      </c>
      <c r="K148" s="150">
        <v>1</v>
      </c>
    </row>
    <row r="149" spans="1:11" ht="30" customHeight="1">
      <c r="A149" s="30">
        <v>10106</v>
      </c>
      <c r="B149" s="16" t="s">
        <v>702</v>
      </c>
      <c r="C149" s="15" t="s">
        <v>3096</v>
      </c>
      <c r="D149" s="15" t="s">
        <v>12</v>
      </c>
      <c r="E149" s="15">
        <v>0.21</v>
      </c>
      <c r="F149" s="131">
        <v>471971.17784233793</v>
      </c>
      <c r="G149" s="17" t="e">
        <f t="shared" si="2"/>
        <v>#VALUE!</v>
      </c>
      <c r="H149" s="141">
        <v>68</v>
      </c>
      <c r="I149" s="141">
        <v>0</v>
      </c>
      <c r="J149" s="149" t="e">
        <v>#N/A</v>
      </c>
      <c r="K149" s="150" t="e">
        <v>#N/A</v>
      </c>
    </row>
    <row r="150" spans="1:11" ht="30" customHeight="1">
      <c r="A150" s="31">
        <v>10808</v>
      </c>
      <c r="B150" s="16" t="s">
        <v>702</v>
      </c>
      <c r="C150" s="15" t="s">
        <v>3097</v>
      </c>
      <c r="D150" s="15" t="s">
        <v>12</v>
      </c>
      <c r="E150" s="15">
        <v>0.21</v>
      </c>
      <c r="F150" s="131">
        <v>482306.49364408152</v>
      </c>
      <c r="G150" s="17" t="e">
        <f t="shared" si="2"/>
        <v>#VALUE!</v>
      </c>
      <c r="H150" s="141">
        <v>7</v>
      </c>
      <c r="I150" s="141">
        <v>0</v>
      </c>
      <c r="J150" s="149">
        <v>0</v>
      </c>
      <c r="K150" s="150">
        <v>1</v>
      </c>
    </row>
    <row r="151" spans="1:11" ht="30" customHeight="1">
      <c r="A151" s="30">
        <v>10107</v>
      </c>
      <c r="B151" s="16" t="s">
        <v>702</v>
      </c>
      <c r="C151" s="15" t="s">
        <v>48</v>
      </c>
      <c r="D151" s="15" t="s">
        <v>49</v>
      </c>
      <c r="E151" s="15">
        <v>0.21</v>
      </c>
      <c r="F151" s="131">
        <v>69584.386431268344</v>
      </c>
      <c r="G151" s="17" t="e">
        <f t="shared" si="2"/>
        <v>#VALUE!</v>
      </c>
      <c r="H151" s="141">
        <v>431</v>
      </c>
      <c r="I151" s="141">
        <v>0</v>
      </c>
      <c r="J151" s="149">
        <v>0</v>
      </c>
      <c r="K151" s="150">
        <v>10</v>
      </c>
    </row>
    <row r="152" spans="1:11" ht="30" customHeight="1">
      <c r="A152" s="31">
        <v>10403</v>
      </c>
      <c r="B152" s="16" t="s">
        <v>702</v>
      </c>
      <c r="C152" s="15" t="s">
        <v>2898</v>
      </c>
      <c r="D152" s="15" t="s">
        <v>2899</v>
      </c>
      <c r="E152" s="15">
        <v>0.21</v>
      </c>
      <c r="F152" s="131">
        <v>68911.819000000003</v>
      </c>
      <c r="G152" s="17" t="e">
        <f t="shared" si="2"/>
        <v>#VALUE!</v>
      </c>
      <c r="H152" s="141">
        <v>220</v>
      </c>
      <c r="I152" s="141">
        <v>32</v>
      </c>
      <c r="J152" s="149">
        <v>8</v>
      </c>
      <c r="K152" s="150">
        <v>16</v>
      </c>
    </row>
    <row r="153" spans="1:11" ht="30" customHeight="1">
      <c r="A153" s="31">
        <v>85300</v>
      </c>
      <c r="B153" s="16" t="s">
        <v>702</v>
      </c>
      <c r="C153" s="15" t="s">
        <v>2400</v>
      </c>
      <c r="D153" s="15" t="s">
        <v>2362</v>
      </c>
      <c r="E153" s="15">
        <v>0.21</v>
      </c>
      <c r="F153" s="131">
        <v>102347.17947789033</v>
      </c>
      <c r="G153" s="17" t="e">
        <f t="shared" si="2"/>
        <v>#VALUE!</v>
      </c>
      <c r="H153" s="141">
        <v>313</v>
      </c>
      <c r="I153" s="141">
        <v>0</v>
      </c>
      <c r="J153" s="149">
        <v>0</v>
      </c>
      <c r="K153" s="150">
        <v>10</v>
      </c>
    </row>
    <row r="154" spans="1:11" ht="30" customHeight="1">
      <c r="A154" s="31">
        <v>85301</v>
      </c>
      <c r="B154" s="16" t="s">
        <v>702</v>
      </c>
      <c r="C154" s="15" t="s">
        <v>3098</v>
      </c>
      <c r="D154" s="15" t="s">
        <v>2362</v>
      </c>
      <c r="E154" s="15">
        <v>0.21</v>
      </c>
      <c r="F154" s="131">
        <v>102347.17640000001</v>
      </c>
      <c r="G154" s="17" t="e">
        <f t="shared" si="2"/>
        <v>#VALUE!</v>
      </c>
      <c r="H154" s="141">
        <v>403</v>
      </c>
      <c r="I154" s="141">
        <v>0</v>
      </c>
      <c r="J154" s="149" t="e">
        <v>#N/A</v>
      </c>
      <c r="K154" s="150" t="e">
        <v>#N/A</v>
      </c>
    </row>
    <row r="155" spans="1:11" ht="30" customHeight="1">
      <c r="A155" s="31">
        <v>85317</v>
      </c>
      <c r="B155" s="16" t="s">
        <v>3354</v>
      </c>
      <c r="C155" s="15" t="s">
        <v>3355</v>
      </c>
      <c r="D155" s="15" t="s">
        <v>2810</v>
      </c>
      <c r="E155" s="15">
        <v>0.21</v>
      </c>
      <c r="F155" s="131">
        <v>107717.942</v>
      </c>
      <c r="G155" s="17" t="e">
        <f t="shared" si="2"/>
        <v>#VALUE!</v>
      </c>
      <c r="H155" s="141">
        <v>468</v>
      </c>
      <c r="I155" s="141">
        <v>0</v>
      </c>
      <c r="J155" s="149">
        <v>0</v>
      </c>
      <c r="K155" s="150">
        <v>16</v>
      </c>
    </row>
    <row r="156" spans="1:11" ht="30" customHeight="1">
      <c r="A156" s="30">
        <v>15001</v>
      </c>
      <c r="B156" s="16" t="s">
        <v>75</v>
      </c>
      <c r="C156" s="15" t="s">
        <v>76</v>
      </c>
      <c r="D156" s="15" t="s">
        <v>47</v>
      </c>
      <c r="E156" s="15">
        <v>0.21</v>
      </c>
      <c r="F156" s="131">
        <v>14491.683491341153</v>
      </c>
      <c r="G156" s="17" t="e">
        <f t="shared" si="2"/>
        <v>#VALUE!</v>
      </c>
      <c r="H156" s="141">
        <v>943</v>
      </c>
      <c r="I156" s="141">
        <v>192</v>
      </c>
      <c r="J156" s="149">
        <v>6</v>
      </c>
      <c r="K156" s="150">
        <v>96</v>
      </c>
    </row>
    <row r="157" spans="1:11" ht="30" customHeight="1">
      <c r="A157" s="30">
        <v>15002</v>
      </c>
      <c r="B157" s="16" t="s">
        <v>75</v>
      </c>
      <c r="C157" s="15" t="s">
        <v>76</v>
      </c>
      <c r="D157" s="15" t="s">
        <v>12</v>
      </c>
      <c r="E157" s="15">
        <v>0.21</v>
      </c>
      <c r="F157" s="131">
        <v>20055.454831766769</v>
      </c>
      <c r="G157" s="17" t="e">
        <f t="shared" si="2"/>
        <v>#VALUE!</v>
      </c>
      <c r="H157" s="141">
        <v>2297</v>
      </c>
      <c r="I157" s="141">
        <v>240</v>
      </c>
      <c r="J157" s="149">
        <v>6</v>
      </c>
      <c r="K157" s="150">
        <v>48</v>
      </c>
    </row>
    <row r="158" spans="1:11" ht="30" customHeight="1">
      <c r="A158" s="30">
        <v>15003</v>
      </c>
      <c r="B158" s="16" t="s">
        <v>75</v>
      </c>
      <c r="C158" s="15" t="s">
        <v>76</v>
      </c>
      <c r="D158" s="15" t="s">
        <v>17</v>
      </c>
      <c r="E158" s="15">
        <v>0.21</v>
      </c>
      <c r="F158" s="131">
        <v>29408.10550730973</v>
      </c>
      <c r="G158" s="17" t="e">
        <f t="shared" si="2"/>
        <v>#VALUE!</v>
      </c>
      <c r="H158" s="141">
        <v>2159</v>
      </c>
      <c r="I158" s="141">
        <v>720</v>
      </c>
      <c r="J158" s="149">
        <v>6</v>
      </c>
      <c r="K158" s="150">
        <v>36</v>
      </c>
    </row>
    <row r="159" spans="1:11" ht="30" customHeight="1">
      <c r="A159" s="30">
        <v>15004</v>
      </c>
      <c r="B159" s="16" t="s">
        <v>75</v>
      </c>
      <c r="C159" s="15" t="s">
        <v>76</v>
      </c>
      <c r="D159" s="15" t="s">
        <v>33</v>
      </c>
      <c r="E159" s="15">
        <v>0.21</v>
      </c>
      <c r="F159" s="131">
        <v>40757.859819396981</v>
      </c>
      <c r="G159" s="17" t="e">
        <f t="shared" si="2"/>
        <v>#VALUE!</v>
      </c>
      <c r="H159" s="141">
        <v>1085</v>
      </c>
      <c r="I159" s="141">
        <v>120</v>
      </c>
      <c r="J159" s="149">
        <v>6</v>
      </c>
      <c r="K159" s="150">
        <v>24</v>
      </c>
    </row>
    <row r="160" spans="1:11" ht="30" customHeight="1">
      <c r="A160" s="30">
        <v>15005</v>
      </c>
      <c r="B160" s="16" t="s">
        <v>75</v>
      </c>
      <c r="C160" s="15" t="s">
        <v>76</v>
      </c>
      <c r="D160" s="15" t="s">
        <v>77</v>
      </c>
      <c r="E160" s="15">
        <v>0.21</v>
      </c>
      <c r="F160" s="131">
        <v>70341.126037516282</v>
      </c>
      <c r="G160" s="17" t="e">
        <f t="shared" si="2"/>
        <v>#VALUE!</v>
      </c>
      <c r="H160" s="141">
        <v>443</v>
      </c>
      <c r="I160" s="141">
        <v>80</v>
      </c>
      <c r="J160" s="149">
        <v>4</v>
      </c>
      <c r="K160" s="150">
        <v>16</v>
      </c>
    </row>
    <row r="161" spans="1:11" ht="30" customHeight="1">
      <c r="A161" s="30">
        <v>15006</v>
      </c>
      <c r="B161" s="16" t="s">
        <v>75</v>
      </c>
      <c r="C161" s="15" t="s">
        <v>76</v>
      </c>
      <c r="D161" s="15" t="s">
        <v>35</v>
      </c>
      <c r="E161" s="15">
        <v>0.21</v>
      </c>
      <c r="F161" s="131">
        <v>116460.43823950525</v>
      </c>
      <c r="G161" s="17" t="e">
        <f t="shared" si="2"/>
        <v>#VALUE!</v>
      </c>
      <c r="H161" s="141">
        <v>272</v>
      </c>
      <c r="I161" s="141">
        <v>0</v>
      </c>
      <c r="J161" s="149">
        <v>2</v>
      </c>
      <c r="K161" s="150">
        <v>12</v>
      </c>
    </row>
    <row r="162" spans="1:11" ht="30" customHeight="1">
      <c r="A162" s="31">
        <v>15007</v>
      </c>
      <c r="B162" s="16" t="s">
        <v>75</v>
      </c>
      <c r="C162" s="15" t="s">
        <v>3099</v>
      </c>
      <c r="D162" s="15" t="s">
        <v>2359</v>
      </c>
      <c r="E162" s="15">
        <v>0.21</v>
      </c>
      <c r="F162" s="131">
        <v>63108.644214801374</v>
      </c>
      <c r="G162" s="17" t="e">
        <f t="shared" si="2"/>
        <v>#VALUE!</v>
      </c>
      <c r="H162" s="141">
        <v>189</v>
      </c>
      <c r="I162" s="141">
        <v>0</v>
      </c>
      <c r="J162" s="149">
        <v>5</v>
      </c>
      <c r="K162" s="150">
        <v>20</v>
      </c>
    </row>
    <row r="163" spans="1:11" ht="30" customHeight="1">
      <c r="A163" s="30">
        <v>15308</v>
      </c>
      <c r="B163" s="16" t="s">
        <v>75</v>
      </c>
      <c r="C163" s="15" t="s">
        <v>1925</v>
      </c>
      <c r="D163" s="15" t="s">
        <v>1828</v>
      </c>
      <c r="E163" s="15">
        <v>0.21</v>
      </c>
      <c r="F163" s="131">
        <v>17867.346144757783</v>
      </c>
      <c r="G163" s="17" t="e">
        <f t="shared" si="2"/>
        <v>#VALUE!</v>
      </c>
      <c r="H163" s="141">
        <v>489</v>
      </c>
      <c r="I163" s="141">
        <v>0</v>
      </c>
      <c r="J163" s="149">
        <v>6</v>
      </c>
      <c r="K163" s="150">
        <v>60</v>
      </c>
    </row>
    <row r="164" spans="1:11" ht="30" customHeight="1">
      <c r="A164" s="30">
        <v>15309</v>
      </c>
      <c r="B164" s="16" t="s">
        <v>75</v>
      </c>
      <c r="C164" s="15" t="s">
        <v>1925</v>
      </c>
      <c r="D164" s="15" t="s">
        <v>1829</v>
      </c>
      <c r="E164" s="15">
        <v>0.21</v>
      </c>
      <c r="F164" s="131">
        <v>24795.993485337312</v>
      </c>
      <c r="G164" s="17" t="e">
        <f t="shared" si="2"/>
        <v>#VALUE!</v>
      </c>
      <c r="H164" s="141">
        <v>628</v>
      </c>
      <c r="I164" s="141">
        <v>108</v>
      </c>
      <c r="J164" s="149">
        <v>6</v>
      </c>
      <c r="K164" s="150">
        <v>36</v>
      </c>
    </row>
    <row r="165" spans="1:11" ht="30" customHeight="1">
      <c r="A165" s="30">
        <v>15310</v>
      </c>
      <c r="B165" s="16" t="s">
        <v>75</v>
      </c>
      <c r="C165" s="15" t="s">
        <v>1925</v>
      </c>
      <c r="D165" s="15" t="s">
        <v>1830</v>
      </c>
      <c r="E165" s="15">
        <v>0.21</v>
      </c>
      <c r="F165" s="131">
        <v>33561.088856898423</v>
      </c>
      <c r="G165" s="17" t="e">
        <f t="shared" si="2"/>
        <v>#VALUE!</v>
      </c>
      <c r="H165" s="141">
        <v>803</v>
      </c>
      <c r="I165" s="141">
        <v>120</v>
      </c>
      <c r="J165" s="149">
        <v>6</v>
      </c>
      <c r="K165" s="150">
        <v>24</v>
      </c>
    </row>
    <row r="166" spans="1:11" ht="30" customHeight="1">
      <c r="A166" s="30">
        <v>15311</v>
      </c>
      <c r="B166" s="16" t="s">
        <v>75</v>
      </c>
      <c r="C166" s="15" t="s">
        <v>1925</v>
      </c>
      <c r="D166" s="15" t="s">
        <v>1831</v>
      </c>
      <c r="E166" s="15">
        <v>0.21</v>
      </c>
      <c r="F166" s="131">
        <v>47862.033936813903</v>
      </c>
      <c r="G166" s="17" t="e">
        <f t="shared" si="2"/>
        <v>#VALUE!</v>
      </c>
      <c r="H166" s="141">
        <v>485</v>
      </c>
      <c r="I166" s="141">
        <v>18</v>
      </c>
      <c r="J166" s="149">
        <v>6</v>
      </c>
      <c r="K166" s="150">
        <v>18</v>
      </c>
    </row>
    <row r="167" spans="1:11" ht="30" customHeight="1">
      <c r="A167" s="30">
        <v>15280</v>
      </c>
      <c r="B167" s="16" t="s">
        <v>75</v>
      </c>
      <c r="C167" s="15" t="s">
        <v>139</v>
      </c>
      <c r="D167" s="15" t="s">
        <v>140</v>
      </c>
      <c r="E167" s="15">
        <v>0.21</v>
      </c>
      <c r="F167" s="131">
        <v>28317.683589982415</v>
      </c>
      <c r="G167" s="17" t="e">
        <f t="shared" si="2"/>
        <v>#VALUE!</v>
      </c>
      <c r="H167" s="141">
        <v>163</v>
      </c>
      <c r="I167" s="141">
        <v>0</v>
      </c>
      <c r="J167" s="149">
        <v>6</v>
      </c>
      <c r="K167" s="150">
        <v>36</v>
      </c>
    </row>
    <row r="168" spans="1:11" ht="30" customHeight="1">
      <c r="A168" s="30">
        <v>15204</v>
      </c>
      <c r="B168" s="16" t="s">
        <v>75</v>
      </c>
      <c r="C168" s="15" t="s">
        <v>119</v>
      </c>
      <c r="D168" s="15" t="s">
        <v>80</v>
      </c>
      <c r="E168" s="15">
        <v>0.21</v>
      </c>
      <c r="F168" s="131">
        <v>12053.629002838847</v>
      </c>
      <c r="G168" s="17" t="e">
        <f t="shared" si="2"/>
        <v>#VALUE!</v>
      </c>
      <c r="H168" s="141">
        <v>805</v>
      </c>
      <c r="I168" s="141">
        <v>0</v>
      </c>
      <c r="J168" s="149">
        <v>10</v>
      </c>
      <c r="K168" s="150">
        <v>200</v>
      </c>
    </row>
    <row r="169" spans="1:11" ht="30" customHeight="1">
      <c r="A169" s="30">
        <v>15205</v>
      </c>
      <c r="B169" s="16" t="s">
        <v>75</v>
      </c>
      <c r="C169" s="15" t="s">
        <v>119</v>
      </c>
      <c r="D169" s="15" t="s">
        <v>120</v>
      </c>
      <c r="E169" s="15">
        <v>0.21</v>
      </c>
      <c r="F169" s="131">
        <v>12627.595151720316</v>
      </c>
      <c r="G169" s="17" t="e">
        <f t="shared" si="2"/>
        <v>#VALUE!</v>
      </c>
      <c r="H169" s="141">
        <v>1199</v>
      </c>
      <c r="I169" s="141">
        <v>0</v>
      </c>
      <c r="J169" s="149">
        <v>10</v>
      </c>
      <c r="K169" s="150">
        <v>200</v>
      </c>
    </row>
    <row r="170" spans="1:11" ht="30" customHeight="1">
      <c r="A170" s="30">
        <v>15206</v>
      </c>
      <c r="B170" s="16" t="s">
        <v>75</v>
      </c>
      <c r="C170" s="15" t="s">
        <v>119</v>
      </c>
      <c r="D170" s="15" t="s">
        <v>81</v>
      </c>
      <c r="E170" s="15">
        <v>0.21</v>
      </c>
      <c r="F170" s="131">
        <v>13086.768070825494</v>
      </c>
      <c r="G170" s="17" t="e">
        <f t="shared" si="2"/>
        <v>#VALUE!</v>
      </c>
      <c r="H170" s="141">
        <v>581</v>
      </c>
      <c r="I170" s="141">
        <v>200</v>
      </c>
      <c r="J170" s="149">
        <v>10</v>
      </c>
      <c r="K170" s="150">
        <v>200</v>
      </c>
    </row>
    <row r="171" spans="1:11" ht="30" customHeight="1">
      <c r="A171" s="30">
        <v>15207</v>
      </c>
      <c r="B171" s="16" t="s">
        <v>75</v>
      </c>
      <c r="C171" s="15" t="s">
        <v>119</v>
      </c>
      <c r="D171" s="15" t="s">
        <v>121</v>
      </c>
      <c r="E171" s="15">
        <v>0.21</v>
      </c>
      <c r="F171" s="131">
        <v>14660.598087967404</v>
      </c>
      <c r="G171" s="17" t="e">
        <f t="shared" si="2"/>
        <v>#VALUE!</v>
      </c>
      <c r="H171" s="141">
        <v>544</v>
      </c>
      <c r="I171" s="141">
        <v>0</v>
      </c>
      <c r="J171" s="149">
        <v>10</v>
      </c>
      <c r="K171" s="150">
        <v>200</v>
      </c>
    </row>
    <row r="172" spans="1:11" ht="30" customHeight="1">
      <c r="A172" s="30">
        <v>15208</v>
      </c>
      <c r="B172" s="16" t="s">
        <v>75</v>
      </c>
      <c r="C172" s="15" t="s">
        <v>119</v>
      </c>
      <c r="D172" s="15" t="s">
        <v>82</v>
      </c>
      <c r="E172" s="15">
        <v>0.21</v>
      </c>
      <c r="F172" s="131">
        <v>15385.984945552542</v>
      </c>
      <c r="G172" s="17" t="e">
        <f t="shared" si="2"/>
        <v>#VALUE!</v>
      </c>
      <c r="H172" s="141">
        <v>229</v>
      </c>
      <c r="I172" s="141">
        <v>0</v>
      </c>
      <c r="J172" s="149">
        <v>10</v>
      </c>
      <c r="K172" s="150">
        <v>100</v>
      </c>
    </row>
    <row r="173" spans="1:11" ht="30" customHeight="1">
      <c r="A173" s="30">
        <v>15209</v>
      </c>
      <c r="B173" s="16" t="s">
        <v>75</v>
      </c>
      <c r="C173" s="15" t="s">
        <v>119</v>
      </c>
      <c r="D173" s="15" t="s">
        <v>83</v>
      </c>
      <c r="E173" s="15">
        <v>0.21</v>
      </c>
      <c r="F173" s="131">
        <v>16542.825918902363</v>
      </c>
      <c r="G173" s="17" t="e">
        <f t="shared" si="2"/>
        <v>#VALUE!</v>
      </c>
      <c r="H173" s="141">
        <v>466</v>
      </c>
      <c r="I173" s="141">
        <v>200</v>
      </c>
      <c r="J173" s="149">
        <v>10</v>
      </c>
      <c r="K173" s="150">
        <v>100</v>
      </c>
    </row>
    <row r="174" spans="1:11" ht="30" customHeight="1">
      <c r="A174" s="30">
        <v>15210</v>
      </c>
      <c r="B174" s="16" t="s">
        <v>75</v>
      </c>
      <c r="C174" s="15" t="s">
        <v>119</v>
      </c>
      <c r="D174" s="15" t="s">
        <v>84</v>
      </c>
      <c r="E174" s="15">
        <v>0.21</v>
      </c>
      <c r="F174" s="131">
        <v>17583.982794917181</v>
      </c>
      <c r="G174" s="17" t="e">
        <f t="shared" si="2"/>
        <v>#VALUE!</v>
      </c>
      <c r="H174" s="141">
        <v>194</v>
      </c>
      <c r="I174" s="141">
        <v>100</v>
      </c>
      <c r="J174" s="149">
        <v>10</v>
      </c>
      <c r="K174" s="150">
        <v>100</v>
      </c>
    </row>
    <row r="175" spans="1:11" ht="30" customHeight="1">
      <c r="A175" s="30">
        <v>15211</v>
      </c>
      <c r="B175" s="16" t="s">
        <v>75</v>
      </c>
      <c r="C175" s="15" t="s">
        <v>119</v>
      </c>
      <c r="D175" s="15" t="s">
        <v>122</v>
      </c>
      <c r="E175" s="15">
        <v>0.21</v>
      </c>
      <c r="F175" s="131">
        <v>18625.139670932029</v>
      </c>
      <c r="G175" s="17" t="e">
        <f t="shared" si="2"/>
        <v>#VALUE!</v>
      </c>
      <c r="H175" s="141">
        <v>237</v>
      </c>
      <c r="I175" s="141">
        <v>0</v>
      </c>
      <c r="J175" s="149">
        <v>10</v>
      </c>
      <c r="K175" s="150">
        <v>100</v>
      </c>
    </row>
    <row r="176" spans="1:11" ht="30" customHeight="1">
      <c r="A176" s="30">
        <v>15212</v>
      </c>
      <c r="B176" s="16" t="s">
        <v>75</v>
      </c>
      <c r="C176" s="15" t="s">
        <v>119</v>
      </c>
      <c r="D176" s="15" t="s">
        <v>123</v>
      </c>
      <c r="E176" s="15">
        <v>0.21</v>
      </c>
      <c r="F176" s="131">
        <v>19744.945336014534</v>
      </c>
      <c r="G176" s="17" t="e">
        <f t="shared" si="2"/>
        <v>#VALUE!</v>
      </c>
      <c r="H176" s="141">
        <v>179</v>
      </c>
      <c r="I176" s="141">
        <v>0</v>
      </c>
      <c r="J176" s="149">
        <v>10</v>
      </c>
      <c r="K176" s="150">
        <v>100</v>
      </c>
    </row>
    <row r="177" spans="1:11" ht="30" customHeight="1">
      <c r="A177" s="30">
        <v>15213</v>
      </c>
      <c r="B177" s="16" t="s">
        <v>75</v>
      </c>
      <c r="C177" s="15" t="s">
        <v>119</v>
      </c>
      <c r="D177" s="15" t="s">
        <v>85</v>
      </c>
      <c r="E177" s="15">
        <v>0.21</v>
      </c>
      <c r="F177" s="131">
        <v>22095.662590981465</v>
      </c>
      <c r="G177" s="17" t="e">
        <f t="shared" si="2"/>
        <v>#VALUE!</v>
      </c>
      <c r="H177" s="141">
        <v>179</v>
      </c>
      <c r="I177" s="141">
        <v>100</v>
      </c>
      <c r="J177" s="149">
        <v>10</v>
      </c>
      <c r="K177" s="150">
        <v>100</v>
      </c>
    </row>
    <row r="178" spans="1:11" ht="30" customHeight="1">
      <c r="A178" s="30">
        <v>15214</v>
      </c>
      <c r="B178" s="16" t="s">
        <v>75</v>
      </c>
      <c r="C178" s="15" t="s">
        <v>119</v>
      </c>
      <c r="D178" s="15" t="s">
        <v>124</v>
      </c>
      <c r="E178" s="15">
        <v>0.21</v>
      </c>
      <c r="F178" s="131">
        <v>24207.03785227365</v>
      </c>
      <c r="G178" s="17" t="e">
        <f t="shared" si="2"/>
        <v>#VALUE!</v>
      </c>
      <c r="H178" s="141">
        <v>89</v>
      </c>
      <c r="I178" s="141">
        <v>0</v>
      </c>
      <c r="J178" s="149">
        <v>10</v>
      </c>
      <c r="K178" s="150">
        <v>50</v>
      </c>
    </row>
    <row r="179" spans="1:11" ht="30" customHeight="1">
      <c r="A179" s="30">
        <v>15215</v>
      </c>
      <c r="B179" s="16" t="s">
        <v>75</v>
      </c>
      <c r="C179" s="15" t="s">
        <v>119</v>
      </c>
      <c r="D179" s="15" t="s">
        <v>86</v>
      </c>
      <c r="E179" s="15">
        <v>0.21</v>
      </c>
      <c r="F179" s="131">
        <v>25116.288730668846</v>
      </c>
      <c r="G179" s="17" t="e">
        <f t="shared" si="2"/>
        <v>#VALUE!</v>
      </c>
      <c r="H179" s="141">
        <v>191</v>
      </c>
      <c r="I179" s="141">
        <v>50</v>
      </c>
      <c r="J179" s="149">
        <v>10</v>
      </c>
      <c r="K179" s="150">
        <v>50</v>
      </c>
    </row>
    <row r="180" spans="1:11" ht="30" customHeight="1">
      <c r="A180" s="30">
        <v>15216</v>
      </c>
      <c r="B180" s="16" t="s">
        <v>75</v>
      </c>
      <c r="C180" s="15" t="s">
        <v>119</v>
      </c>
      <c r="D180" s="15" t="s">
        <v>125</v>
      </c>
      <c r="E180" s="15">
        <v>0.21</v>
      </c>
      <c r="F180" s="131">
        <v>27070.078776385675</v>
      </c>
      <c r="G180" s="17" t="e">
        <f t="shared" si="2"/>
        <v>#VALUE!</v>
      </c>
      <c r="H180" s="141">
        <v>144</v>
      </c>
      <c r="I180" s="141">
        <v>0</v>
      </c>
      <c r="J180" s="149">
        <v>10</v>
      </c>
      <c r="K180" s="150">
        <v>50</v>
      </c>
    </row>
    <row r="181" spans="1:11" ht="30" customHeight="1">
      <c r="A181" s="30">
        <v>15217</v>
      </c>
      <c r="B181" s="16" t="s">
        <v>75</v>
      </c>
      <c r="C181" s="15" t="s">
        <v>119</v>
      </c>
      <c r="D181" s="15" t="s">
        <v>126</v>
      </c>
      <c r="E181" s="15">
        <v>0.21</v>
      </c>
      <c r="F181" s="131">
        <v>28226.919749735483</v>
      </c>
      <c r="G181" s="17" t="e">
        <f t="shared" si="2"/>
        <v>#VALUE!</v>
      </c>
      <c r="H181" s="141">
        <v>122</v>
      </c>
      <c r="I181" s="141">
        <v>0</v>
      </c>
      <c r="J181" s="149">
        <v>10</v>
      </c>
      <c r="K181" s="150">
        <v>50</v>
      </c>
    </row>
    <row r="182" spans="1:11" ht="30" customHeight="1">
      <c r="A182" s="30">
        <v>15218</v>
      </c>
      <c r="B182" s="16" t="s">
        <v>75</v>
      </c>
      <c r="C182" s="15" t="s">
        <v>119</v>
      </c>
      <c r="D182" s="15" t="s">
        <v>127</v>
      </c>
      <c r="E182" s="15">
        <v>0.21</v>
      </c>
      <c r="F182" s="131">
        <v>32503.369997717025</v>
      </c>
      <c r="G182" s="17" t="e">
        <f t="shared" si="2"/>
        <v>#VALUE!</v>
      </c>
      <c r="H182" s="141">
        <v>104</v>
      </c>
      <c r="I182" s="141">
        <v>0</v>
      </c>
      <c r="J182" s="149">
        <v>5</v>
      </c>
      <c r="K182" s="150">
        <v>50</v>
      </c>
    </row>
    <row r="183" spans="1:11" ht="30" customHeight="1">
      <c r="A183" s="30">
        <v>15219</v>
      </c>
      <c r="B183" s="16" t="s">
        <v>75</v>
      </c>
      <c r="C183" s="15" t="s">
        <v>119</v>
      </c>
      <c r="D183" s="15" t="s">
        <v>128</v>
      </c>
      <c r="E183" s="15">
        <v>0.21</v>
      </c>
      <c r="F183" s="131">
        <v>36481.066849684699</v>
      </c>
      <c r="G183" s="17" t="e">
        <f t="shared" si="2"/>
        <v>#VALUE!</v>
      </c>
      <c r="H183" s="141">
        <v>202</v>
      </c>
      <c r="I183" s="141">
        <v>0</v>
      </c>
      <c r="J183" s="149">
        <v>5</v>
      </c>
      <c r="K183" s="150">
        <v>50</v>
      </c>
    </row>
    <row r="184" spans="1:11" ht="30" customHeight="1">
      <c r="A184" s="30">
        <v>15220</v>
      </c>
      <c r="B184" s="16" t="s">
        <v>75</v>
      </c>
      <c r="C184" s="15" t="s">
        <v>119</v>
      </c>
      <c r="D184" s="15" t="s">
        <v>129</v>
      </c>
      <c r="E184" s="15">
        <v>0.21</v>
      </c>
      <c r="F184" s="131">
        <v>40004.179112974962</v>
      </c>
      <c r="G184" s="17" t="e">
        <f t="shared" si="2"/>
        <v>#VALUE!</v>
      </c>
      <c r="H184" s="141">
        <v>73</v>
      </c>
      <c r="I184" s="141">
        <v>0</v>
      </c>
      <c r="J184" s="149">
        <v>5</v>
      </c>
      <c r="K184" s="150">
        <v>50</v>
      </c>
    </row>
    <row r="185" spans="1:11" ht="30" customHeight="1">
      <c r="A185" s="30">
        <v>15221</v>
      </c>
      <c r="B185" s="16" t="s">
        <v>75</v>
      </c>
      <c r="C185" s="15" t="s">
        <v>119</v>
      </c>
      <c r="D185" s="15" t="s">
        <v>130</v>
      </c>
      <c r="E185" s="15">
        <v>0.21</v>
      </c>
      <c r="F185" s="131">
        <v>40913.348290329741</v>
      </c>
      <c r="G185" s="17" t="e">
        <f t="shared" si="2"/>
        <v>#VALUE!</v>
      </c>
      <c r="H185" s="141">
        <v>208</v>
      </c>
      <c r="I185" s="141">
        <v>0</v>
      </c>
      <c r="J185" s="149">
        <v>5</v>
      </c>
      <c r="K185" s="150">
        <v>50</v>
      </c>
    </row>
    <row r="186" spans="1:11" ht="30" customHeight="1">
      <c r="A186" s="30">
        <v>15223</v>
      </c>
      <c r="B186" s="16" t="s">
        <v>75</v>
      </c>
      <c r="C186" s="15" t="s">
        <v>119</v>
      </c>
      <c r="D186" s="15" t="s">
        <v>131</v>
      </c>
      <c r="E186" s="15">
        <v>0.21</v>
      </c>
      <c r="F186" s="131">
        <v>49821.536259141489</v>
      </c>
      <c r="G186" s="17" t="e">
        <f t="shared" si="2"/>
        <v>#VALUE!</v>
      </c>
      <c r="H186" s="141">
        <v>150</v>
      </c>
      <c r="I186" s="141">
        <v>0</v>
      </c>
      <c r="J186" s="149">
        <v>5</v>
      </c>
      <c r="K186" s="150">
        <v>40</v>
      </c>
    </row>
    <row r="187" spans="1:11" ht="30" customHeight="1">
      <c r="A187" s="30">
        <v>15226</v>
      </c>
      <c r="B187" s="16" t="s">
        <v>75</v>
      </c>
      <c r="C187" s="15" t="s">
        <v>119</v>
      </c>
      <c r="D187" s="15" t="s">
        <v>132</v>
      </c>
      <c r="E187" s="15">
        <v>0.21</v>
      </c>
      <c r="F187" s="131">
        <v>61142.689290635732</v>
      </c>
      <c r="G187" s="17" t="e">
        <f t="shared" si="2"/>
        <v>#VALUE!</v>
      </c>
      <c r="H187" s="141">
        <v>105</v>
      </c>
      <c r="I187" s="141">
        <v>0</v>
      </c>
      <c r="J187" s="149">
        <v>4</v>
      </c>
      <c r="K187" s="150">
        <v>24</v>
      </c>
    </row>
    <row r="188" spans="1:11" ht="30" customHeight="1">
      <c r="A188" s="30">
        <v>15228</v>
      </c>
      <c r="B188" s="16" t="s">
        <v>75</v>
      </c>
      <c r="C188" s="15" t="s">
        <v>119</v>
      </c>
      <c r="D188" s="15" t="s">
        <v>133</v>
      </c>
      <c r="E188" s="15">
        <v>0.21</v>
      </c>
      <c r="F188" s="131">
        <v>68984.436847401754</v>
      </c>
      <c r="G188" s="17" t="e">
        <f t="shared" si="2"/>
        <v>#VALUE!</v>
      </c>
      <c r="H188" s="141">
        <v>57</v>
      </c>
      <c r="I188" s="141">
        <v>0</v>
      </c>
      <c r="J188" s="149">
        <v>4</v>
      </c>
      <c r="K188" s="150">
        <v>16</v>
      </c>
    </row>
    <row r="189" spans="1:11" ht="30" customHeight="1">
      <c r="A189" s="30">
        <v>15303</v>
      </c>
      <c r="B189" s="16" t="s">
        <v>75</v>
      </c>
      <c r="C189" s="15" t="s">
        <v>1923</v>
      </c>
      <c r="D189" s="15" t="s">
        <v>355</v>
      </c>
      <c r="E189" s="15">
        <v>0.21</v>
      </c>
      <c r="F189" s="131">
        <v>46800.631776131042</v>
      </c>
      <c r="G189" s="17" t="e">
        <f t="shared" si="2"/>
        <v>#VALUE!</v>
      </c>
      <c r="H189" s="141">
        <v>118</v>
      </c>
      <c r="I189" s="141">
        <v>0</v>
      </c>
      <c r="J189" s="149">
        <v>6</v>
      </c>
      <c r="K189" s="150">
        <v>48</v>
      </c>
    </row>
    <row r="190" spans="1:11" ht="30" customHeight="1">
      <c r="A190" s="30">
        <v>15401</v>
      </c>
      <c r="B190" s="16" t="s">
        <v>75</v>
      </c>
      <c r="C190" s="15" t="s">
        <v>1924</v>
      </c>
      <c r="D190" s="15" t="s">
        <v>145</v>
      </c>
      <c r="E190" s="15">
        <v>0.21</v>
      </c>
      <c r="F190" s="131">
        <v>14073.406283653057</v>
      </c>
      <c r="G190" s="17" t="e">
        <f t="shared" si="2"/>
        <v>#VALUE!</v>
      </c>
      <c r="H190" s="141">
        <v>1620</v>
      </c>
      <c r="I190" s="141">
        <v>0</v>
      </c>
      <c r="J190" s="149">
        <v>10</v>
      </c>
      <c r="K190" s="150">
        <v>200</v>
      </c>
    </row>
    <row r="191" spans="1:11" ht="30" customHeight="1">
      <c r="A191" s="30">
        <v>15402</v>
      </c>
      <c r="B191" s="16" t="s">
        <v>75</v>
      </c>
      <c r="C191" s="15" t="s">
        <v>1924</v>
      </c>
      <c r="D191" s="15" t="s">
        <v>97</v>
      </c>
      <c r="E191" s="15">
        <v>0.21</v>
      </c>
      <c r="F191" s="131">
        <v>16550.325789575993</v>
      </c>
      <c r="G191" s="17" t="e">
        <f t="shared" si="2"/>
        <v>#VALUE!</v>
      </c>
      <c r="H191" s="141">
        <v>1577</v>
      </c>
      <c r="I191" s="141">
        <v>0</v>
      </c>
      <c r="J191" s="149" t="e">
        <v>#N/A</v>
      </c>
      <c r="K191" s="150" t="e">
        <v>#N/A</v>
      </c>
    </row>
    <row r="192" spans="1:11" ht="30" customHeight="1">
      <c r="A192" s="30">
        <v>15403</v>
      </c>
      <c r="B192" s="16" t="s">
        <v>75</v>
      </c>
      <c r="C192" s="15" t="s">
        <v>1924</v>
      </c>
      <c r="D192" s="15" t="s">
        <v>146</v>
      </c>
      <c r="E192" s="15">
        <v>0.21</v>
      </c>
      <c r="F192" s="131">
        <v>17113.262040922116</v>
      </c>
      <c r="G192" s="17" t="e">
        <f t="shared" si="2"/>
        <v>#VALUE!</v>
      </c>
      <c r="H192" s="141">
        <v>1520</v>
      </c>
      <c r="I192" s="141">
        <v>0</v>
      </c>
      <c r="J192" s="149" t="e">
        <v>#N/A</v>
      </c>
      <c r="K192" s="150" t="e">
        <v>#N/A</v>
      </c>
    </row>
    <row r="193" spans="1:11" ht="30" customHeight="1">
      <c r="A193" s="30">
        <v>15404</v>
      </c>
      <c r="B193" s="16" t="s">
        <v>75</v>
      </c>
      <c r="C193" s="15" t="s">
        <v>1924</v>
      </c>
      <c r="D193" s="15" t="s">
        <v>98</v>
      </c>
      <c r="E193" s="15">
        <v>0.21</v>
      </c>
      <c r="F193" s="131">
        <v>19477.59429657583</v>
      </c>
      <c r="G193" s="17" t="e">
        <f t="shared" si="2"/>
        <v>#VALUE!</v>
      </c>
      <c r="H193" s="141">
        <v>1001</v>
      </c>
      <c r="I193" s="141">
        <v>0</v>
      </c>
      <c r="J193" s="149" t="e">
        <v>#N/A</v>
      </c>
      <c r="K193" s="150" t="e">
        <v>#N/A</v>
      </c>
    </row>
    <row r="194" spans="1:11" ht="30" customHeight="1">
      <c r="A194" s="30">
        <v>15405</v>
      </c>
      <c r="B194" s="16" t="s">
        <v>75</v>
      </c>
      <c r="C194" s="15" t="s">
        <v>1924</v>
      </c>
      <c r="D194" s="15" t="s">
        <v>147</v>
      </c>
      <c r="E194" s="15">
        <v>0.21</v>
      </c>
      <c r="F194" s="131">
        <v>20716.054049537302</v>
      </c>
      <c r="G194" s="17" t="e">
        <f t="shared" si="2"/>
        <v>#VALUE!</v>
      </c>
      <c r="H194" s="141">
        <v>263</v>
      </c>
      <c r="I194" s="141">
        <v>0</v>
      </c>
      <c r="J194" s="149" t="e">
        <v>#N/A</v>
      </c>
      <c r="K194" s="150" t="e">
        <v>#N/A</v>
      </c>
    </row>
    <row r="195" spans="1:11" ht="30" customHeight="1">
      <c r="A195" s="30">
        <v>15406</v>
      </c>
      <c r="B195" s="16" t="s">
        <v>75</v>
      </c>
      <c r="C195" s="15" t="s">
        <v>1924</v>
      </c>
      <c r="D195" s="15" t="s">
        <v>148</v>
      </c>
      <c r="E195" s="15">
        <v>0.21</v>
      </c>
      <c r="F195" s="131">
        <v>22855.211804652572</v>
      </c>
      <c r="G195" s="17" t="e">
        <f t="shared" si="2"/>
        <v>#VALUE!</v>
      </c>
      <c r="H195" s="141">
        <v>775</v>
      </c>
      <c r="I195" s="141">
        <v>0</v>
      </c>
      <c r="J195" s="149" t="e">
        <v>#N/A</v>
      </c>
      <c r="K195" s="150" t="e">
        <v>#N/A</v>
      </c>
    </row>
    <row r="196" spans="1:11" ht="30" customHeight="1">
      <c r="A196" s="30">
        <v>15407</v>
      </c>
      <c r="B196" s="16" t="s">
        <v>75</v>
      </c>
      <c r="C196" s="15" t="s">
        <v>1924</v>
      </c>
      <c r="D196" s="15" t="s">
        <v>149</v>
      </c>
      <c r="E196" s="15">
        <v>0.21</v>
      </c>
      <c r="F196" s="131">
        <v>23868.49705707559</v>
      </c>
      <c r="G196" s="17" t="e">
        <f t="shared" si="2"/>
        <v>#VALUE!</v>
      </c>
      <c r="H196" s="141">
        <v>291</v>
      </c>
      <c r="I196" s="141">
        <v>0</v>
      </c>
      <c r="J196" s="149" t="e">
        <v>#N/A</v>
      </c>
      <c r="K196" s="150" t="e">
        <v>#N/A</v>
      </c>
    </row>
    <row r="197" spans="1:11" ht="30" customHeight="1">
      <c r="A197" s="30">
        <v>15408</v>
      </c>
      <c r="B197" s="16" t="s">
        <v>75</v>
      </c>
      <c r="C197" s="15" t="s">
        <v>1924</v>
      </c>
      <c r="D197" s="15" t="s">
        <v>150</v>
      </c>
      <c r="E197" s="15">
        <v>0.21</v>
      </c>
      <c r="F197" s="131">
        <v>26683.178313806209</v>
      </c>
      <c r="G197" s="17" t="e">
        <f t="shared" si="2"/>
        <v>#VALUE!</v>
      </c>
      <c r="H197" s="141">
        <v>191</v>
      </c>
      <c r="I197" s="141">
        <v>0</v>
      </c>
      <c r="J197" s="149" t="e">
        <v>#N/A</v>
      </c>
      <c r="K197" s="150" t="e">
        <v>#N/A</v>
      </c>
    </row>
    <row r="198" spans="1:11" ht="30" customHeight="1">
      <c r="A198" s="30">
        <v>15409</v>
      </c>
      <c r="B198" s="16" t="s">
        <v>75</v>
      </c>
      <c r="C198" s="15" t="s">
        <v>1924</v>
      </c>
      <c r="D198" s="15" t="s">
        <v>151</v>
      </c>
      <c r="E198" s="15">
        <v>0.21</v>
      </c>
      <c r="F198" s="131">
        <v>34001.349581305803</v>
      </c>
      <c r="G198" s="17" t="e">
        <f t="shared" si="2"/>
        <v>#VALUE!</v>
      </c>
      <c r="H198" s="141">
        <v>96</v>
      </c>
      <c r="I198" s="141">
        <v>0</v>
      </c>
      <c r="J198" s="149" t="e">
        <v>#N/A</v>
      </c>
      <c r="K198" s="150" t="e">
        <v>#N/A</v>
      </c>
    </row>
    <row r="199" spans="1:11" ht="30" customHeight="1">
      <c r="A199" s="30">
        <v>15410</v>
      </c>
      <c r="B199" s="16" t="s">
        <v>75</v>
      </c>
      <c r="C199" s="15" t="s">
        <v>1924</v>
      </c>
      <c r="D199" s="15" t="s">
        <v>152</v>
      </c>
      <c r="E199" s="15">
        <v>0.21</v>
      </c>
      <c r="F199" s="131">
        <v>37604.141589920975</v>
      </c>
      <c r="G199" s="17" t="e">
        <f t="shared" si="2"/>
        <v>#VALUE!</v>
      </c>
      <c r="H199" s="141">
        <v>316</v>
      </c>
      <c r="I199" s="141">
        <v>0</v>
      </c>
      <c r="J199" s="149" t="e">
        <v>#N/A</v>
      </c>
      <c r="K199" s="150" t="e">
        <v>#N/A</v>
      </c>
    </row>
    <row r="200" spans="1:11" ht="30" customHeight="1">
      <c r="A200" s="30">
        <v>15412</v>
      </c>
      <c r="B200" s="16" t="s">
        <v>75</v>
      </c>
      <c r="C200" s="15" t="s">
        <v>1924</v>
      </c>
      <c r="D200" s="15" t="s">
        <v>62</v>
      </c>
      <c r="E200" s="15">
        <v>0.21</v>
      </c>
      <c r="F200" s="131">
        <v>47061.470612535828</v>
      </c>
      <c r="G200" s="17" t="e">
        <f t="shared" ref="G200:G263" si="3">(F200*$G$6)</f>
        <v>#VALUE!</v>
      </c>
      <c r="H200" s="141">
        <v>397</v>
      </c>
      <c r="I200" s="141">
        <v>0</v>
      </c>
      <c r="J200" s="149" t="e">
        <v>#N/A</v>
      </c>
      <c r="K200" s="150" t="e">
        <v>#N/A</v>
      </c>
    </row>
    <row r="201" spans="1:11" ht="30" customHeight="1">
      <c r="A201" s="31">
        <v>15380</v>
      </c>
      <c r="B201" s="16" t="s">
        <v>75</v>
      </c>
      <c r="C201" s="15" t="s">
        <v>3100</v>
      </c>
      <c r="D201" s="15" t="s">
        <v>2554</v>
      </c>
      <c r="E201" s="15">
        <v>0.21</v>
      </c>
      <c r="F201" s="131">
        <v>463374.95259854652</v>
      </c>
      <c r="G201" s="17" t="e">
        <f t="shared" si="3"/>
        <v>#VALUE!</v>
      </c>
      <c r="H201" s="141">
        <v>35</v>
      </c>
      <c r="I201" s="141">
        <v>0</v>
      </c>
      <c r="J201" s="149">
        <v>0</v>
      </c>
      <c r="K201" s="150">
        <v>2</v>
      </c>
    </row>
    <row r="202" spans="1:11" ht="30" customHeight="1">
      <c r="A202" s="30">
        <v>15229</v>
      </c>
      <c r="B202" s="16" t="s">
        <v>75</v>
      </c>
      <c r="C202" s="15" t="s">
        <v>134</v>
      </c>
      <c r="D202" s="15" t="s">
        <v>135</v>
      </c>
      <c r="E202" s="15">
        <v>0.21</v>
      </c>
      <c r="F202" s="131">
        <v>132240.01531173722</v>
      </c>
      <c r="G202" s="17" t="e">
        <f t="shared" si="3"/>
        <v>#VALUE!</v>
      </c>
      <c r="H202" s="141">
        <v>92</v>
      </c>
      <c r="I202" s="141">
        <v>0</v>
      </c>
      <c r="J202" s="149">
        <v>5</v>
      </c>
      <c r="K202" s="150">
        <v>20</v>
      </c>
    </row>
    <row r="203" spans="1:11" ht="30" customHeight="1">
      <c r="A203" s="30">
        <v>15234</v>
      </c>
      <c r="B203" s="16" t="s">
        <v>75</v>
      </c>
      <c r="C203" s="15" t="s">
        <v>136</v>
      </c>
      <c r="D203" s="15" t="s">
        <v>80</v>
      </c>
      <c r="E203" s="15">
        <v>0.21</v>
      </c>
      <c r="F203" s="131">
        <v>16121.106682438662</v>
      </c>
      <c r="G203" s="17" t="e">
        <f t="shared" si="3"/>
        <v>#VALUE!</v>
      </c>
      <c r="H203" s="141">
        <v>483</v>
      </c>
      <c r="I203" s="141">
        <v>0</v>
      </c>
      <c r="J203" s="149">
        <v>10</v>
      </c>
      <c r="K203" s="150">
        <v>100</v>
      </c>
    </row>
    <row r="204" spans="1:11" ht="30" customHeight="1">
      <c r="A204" s="30">
        <v>15235</v>
      </c>
      <c r="B204" s="16" t="s">
        <v>75</v>
      </c>
      <c r="C204" s="15" t="s">
        <v>136</v>
      </c>
      <c r="D204" s="15" t="s">
        <v>120</v>
      </c>
      <c r="E204" s="15">
        <v>0.21</v>
      </c>
      <c r="F204" s="131">
        <v>16882.746360062796</v>
      </c>
      <c r="G204" s="17" t="e">
        <f t="shared" si="3"/>
        <v>#VALUE!</v>
      </c>
      <c r="H204" s="141">
        <v>536</v>
      </c>
      <c r="I204" s="141">
        <v>0</v>
      </c>
      <c r="J204" s="149">
        <v>10</v>
      </c>
      <c r="K204" s="150">
        <v>100</v>
      </c>
    </row>
    <row r="205" spans="1:11" ht="30" customHeight="1">
      <c r="A205" s="30">
        <v>15236</v>
      </c>
      <c r="B205" s="16" t="s">
        <v>75</v>
      </c>
      <c r="C205" s="15" t="s">
        <v>136</v>
      </c>
      <c r="D205" s="15" t="s">
        <v>81</v>
      </c>
      <c r="E205" s="15">
        <v>0.21</v>
      </c>
      <c r="F205" s="131">
        <v>17517.446091416248</v>
      </c>
      <c r="G205" s="17" t="e">
        <f t="shared" si="3"/>
        <v>#VALUE!</v>
      </c>
      <c r="H205" s="141">
        <v>337</v>
      </c>
      <c r="I205" s="141">
        <v>0</v>
      </c>
      <c r="J205" s="149">
        <v>10</v>
      </c>
      <c r="K205" s="150">
        <v>100</v>
      </c>
    </row>
    <row r="206" spans="1:11" ht="30" customHeight="1">
      <c r="A206" s="30">
        <v>15237</v>
      </c>
      <c r="B206" s="16" t="s">
        <v>75</v>
      </c>
      <c r="C206" s="15" t="s">
        <v>136</v>
      </c>
      <c r="D206" s="15" t="s">
        <v>121</v>
      </c>
      <c r="E206" s="15">
        <v>0.21</v>
      </c>
      <c r="F206" s="131">
        <v>20437.064855642126</v>
      </c>
      <c r="G206" s="17" t="e">
        <f t="shared" si="3"/>
        <v>#VALUE!</v>
      </c>
      <c r="H206" s="141">
        <v>467</v>
      </c>
      <c r="I206" s="141">
        <v>0</v>
      </c>
      <c r="J206" s="149">
        <v>10</v>
      </c>
      <c r="K206" s="150">
        <v>100</v>
      </c>
    </row>
    <row r="207" spans="1:11" ht="30" customHeight="1">
      <c r="A207" s="30">
        <v>15238</v>
      </c>
      <c r="B207" s="16" t="s">
        <v>75</v>
      </c>
      <c r="C207" s="15" t="s">
        <v>136</v>
      </c>
      <c r="D207" s="15" t="s">
        <v>82</v>
      </c>
      <c r="E207" s="15">
        <v>0.21</v>
      </c>
      <c r="F207" s="131">
        <v>21071.675755682576</v>
      </c>
      <c r="G207" s="17" t="e">
        <f t="shared" si="3"/>
        <v>#VALUE!</v>
      </c>
      <c r="H207" s="141">
        <v>526</v>
      </c>
      <c r="I207" s="141">
        <v>0</v>
      </c>
      <c r="J207" s="149">
        <v>10</v>
      </c>
      <c r="K207" s="150">
        <v>100</v>
      </c>
    </row>
    <row r="208" spans="1:11" ht="30" customHeight="1">
      <c r="A208" s="30">
        <v>15239</v>
      </c>
      <c r="B208" s="16" t="s">
        <v>75</v>
      </c>
      <c r="C208" s="15" t="s">
        <v>136</v>
      </c>
      <c r="D208" s="15" t="s">
        <v>83</v>
      </c>
      <c r="E208" s="15">
        <v>0.21</v>
      </c>
      <c r="F208" s="131">
        <v>22721.895057201556</v>
      </c>
      <c r="G208" s="17" t="e">
        <f t="shared" si="3"/>
        <v>#VALUE!</v>
      </c>
      <c r="H208" s="141">
        <v>194</v>
      </c>
      <c r="I208" s="141">
        <v>0</v>
      </c>
      <c r="J208" s="149">
        <v>10</v>
      </c>
      <c r="K208" s="150">
        <v>100</v>
      </c>
    </row>
    <row r="209" spans="1:11" ht="30" customHeight="1">
      <c r="A209" s="30">
        <v>15240</v>
      </c>
      <c r="B209" s="16" t="s">
        <v>75</v>
      </c>
      <c r="C209" s="15" t="s">
        <v>136</v>
      </c>
      <c r="D209" s="15" t="s">
        <v>84</v>
      </c>
      <c r="E209" s="15">
        <v>0.21</v>
      </c>
      <c r="F209" s="131">
        <v>24118.234466179143</v>
      </c>
      <c r="G209" s="17" t="e">
        <f t="shared" si="3"/>
        <v>#VALUE!</v>
      </c>
      <c r="H209" s="141">
        <v>303</v>
      </c>
      <c r="I209" s="141">
        <v>0</v>
      </c>
      <c r="J209" s="149">
        <v>10</v>
      </c>
      <c r="K209" s="150">
        <v>100</v>
      </c>
    </row>
    <row r="210" spans="1:11" ht="30" customHeight="1">
      <c r="A210" s="30">
        <v>15241</v>
      </c>
      <c r="B210" s="16" t="s">
        <v>75</v>
      </c>
      <c r="C210" s="15" t="s">
        <v>136</v>
      </c>
      <c r="D210" s="15" t="s">
        <v>122</v>
      </c>
      <c r="E210" s="15">
        <v>0.21</v>
      </c>
      <c r="F210" s="131">
        <v>25516.794657981631</v>
      </c>
      <c r="G210" s="17" t="e">
        <f t="shared" si="3"/>
        <v>#VALUE!</v>
      </c>
      <c r="H210" s="141">
        <v>166</v>
      </c>
      <c r="I210" s="141">
        <v>0</v>
      </c>
      <c r="J210" s="149">
        <v>10</v>
      </c>
      <c r="K210" s="150">
        <v>80</v>
      </c>
    </row>
    <row r="211" spans="1:11" ht="30" customHeight="1">
      <c r="A211" s="30">
        <v>15242</v>
      </c>
      <c r="B211" s="16" t="s">
        <v>75</v>
      </c>
      <c r="C211" s="15" t="s">
        <v>136</v>
      </c>
      <c r="D211" s="15" t="s">
        <v>123</v>
      </c>
      <c r="E211" s="15">
        <v>0.21</v>
      </c>
      <c r="F211" s="131">
        <v>26276.213552780879</v>
      </c>
      <c r="G211" s="17" t="e">
        <f t="shared" si="3"/>
        <v>#VALUE!</v>
      </c>
      <c r="H211" s="141">
        <v>264</v>
      </c>
      <c r="I211" s="141">
        <v>0</v>
      </c>
      <c r="J211" s="149">
        <v>10</v>
      </c>
      <c r="K211" s="150">
        <v>80</v>
      </c>
    </row>
    <row r="212" spans="1:11" ht="30" customHeight="1">
      <c r="A212" s="30">
        <v>15243</v>
      </c>
      <c r="B212" s="16" t="s">
        <v>75</v>
      </c>
      <c r="C212" s="15" t="s">
        <v>136</v>
      </c>
      <c r="D212" s="15" t="s">
        <v>85</v>
      </c>
      <c r="E212" s="15">
        <v>0.21</v>
      </c>
      <c r="F212" s="131">
        <v>30211.263055859261</v>
      </c>
      <c r="G212" s="17" t="e">
        <f t="shared" si="3"/>
        <v>#VALUE!</v>
      </c>
      <c r="H212" s="141">
        <v>233</v>
      </c>
      <c r="I212" s="141">
        <v>0</v>
      </c>
      <c r="J212" s="149">
        <v>10</v>
      </c>
      <c r="K212" s="150">
        <v>80</v>
      </c>
    </row>
    <row r="213" spans="1:11" ht="30" customHeight="1">
      <c r="A213" s="30">
        <v>15244</v>
      </c>
      <c r="B213" s="16" t="s">
        <v>75</v>
      </c>
      <c r="C213" s="15" t="s">
        <v>136</v>
      </c>
      <c r="D213" s="15" t="s">
        <v>124</v>
      </c>
      <c r="E213" s="15">
        <v>0.21</v>
      </c>
      <c r="F213" s="131">
        <v>33765.492720125592</v>
      </c>
      <c r="G213" s="17" t="e">
        <f t="shared" si="3"/>
        <v>#VALUE!</v>
      </c>
      <c r="H213" s="141">
        <v>154</v>
      </c>
      <c r="I213" s="141">
        <v>0</v>
      </c>
      <c r="J213" s="149">
        <v>10</v>
      </c>
      <c r="K213" s="150">
        <v>50</v>
      </c>
    </row>
    <row r="214" spans="1:11" ht="30" customHeight="1">
      <c r="A214" s="30">
        <v>15245</v>
      </c>
      <c r="B214" s="16" t="s">
        <v>75</v>
      </c>
      <c r="C214" s="15" t="s">
        <v>136</v>
      </c>
      <c r="D214" s="15" t="s">
        <v>86</v>
      </c>
      <c r="E214" s="15">
        <v>0.21</v>
      </c>
      <c r="F214" s="131">
        <v>35034.892182832496</v>
      </c>
      <c r="G214" s="17" t="e">
        <f t="shared" si="3"/>
        <v>#VALUE!</v>
      </c>
      <c r="H214" s="141">
        <v>127</v>
      </c>
      <c r="I214" s="141">
        <v>0</v>
      </c>
      <c r="J214" s="149">
        <v>10</v>
      </c>
      <c r="K214" s="150">
        <v>50</v>
      </c>
    </row>
    <row r="215" spans="1:11" ht="30" customHeight="1">
      <c r="A215" s="30">
        <v>15246</v>
      </c>
      <c r="B215" s="16" t="s">
        <v>75</v>
      </c>
      <c r="C215" s="15" t="s">
        <v>136</v>
      </c>
      <c r="D215" s="15" t="s">
        <v>125</v>
      </c>
      <c r="E215" s="15">
        <v>0.21</v>
      </c>
      <c r="F215" s="131">
        <v>37319.811215704933</v>
      </c>
      <c r="G215" s="17" t="e">
        <f t="shared" si="3"/>
        <v>#VALUE!</v>
      </c>
      <c r="H215" s="141">
        <v>167</v>
      </c>
      <c r="I215" s="141">
        <v>0</v>
      </c>
      <c r="J215" s="149">
        <v>5</v>
      </c>
      <c r="K215" s="150">
        <v>50</v>
      </c>
    </row>
    <row r="216" spans="1:11" ht="30" customHeight="1">
      <c r="A216" s="30">
        <v>15247</v>
      </c>
      <c r="B216" s="16" t="s">
        <v>75</v>
      </c>
      <c r="C216" s="15" t="s">
        <v>136</v>
      </c>
      <c r="D216" s="15" t="s">
        <v>126</v>
      </c>
      <c r="E216" s="15">
        <v>0.21</v>
      </c>
      <c r="F216" s="131">
        <v>39097.148126120584</v>
      </c>
      <c r="G216" s="17" t="e">
        <f t="shared" si="3"/>
        <v>#VALUE!</v>
      </c>
      <c r="H216" s="141">
        <v>143</v>
      </c>
      <c r="I216" s="141">
        <v>0</v>
      </c>
      <c r="J216" s="149">
        <v>5</v>
      </c>
      <c r="K216" s="150">
        <v>50</v>
      </c>
    </row>
    <row r="217" spans="1:11" ht="30" customHeight="1">
      <c r="A217" s="30">
        <v>15248</v>
      </c>
      <c r="B217" s="16" t="s">
        <v>75</v>
      </c>
      <c r="C217" s="15" t="s">
        <v>136</v>
      </c>
      <c r="D217" s="15" t="s">
        <v>127</v>
      </c>
      <c r="E217" s="15">
        <v>0.21</v>
      </c>
      <c r="F217" s="131">
        <v>45443.790114403113</v>
      </c>
      <c r="G217" s="17" t="e">
        <f t="shared" si="3"/>
        <v>#VALUE!</v>
      </c>
      <c r="H217" s="141">
        <v>104</v>
      </c>
      <c r="I217" s="141">
        <v>0</v>
      </c>
      <c r="J217" s="149">
        <v>5</v>
      </c>
      <c r="K217" s="150">
        <v>40</v>
      </c>
    </row>
    <row r="218" spans="1:11" ht="30" customHeight="1">
      <c r="A218" s="30">
        <v>15249</v>
      </c>
      <c r="B218" s="16" t="s">
        <v>75</v>
      </c>
      <c r="C218" s="15" t="s">
        <v>136</v>
      </c>
      <c r="D218" s="15" t="s">
        <v>128</v>
      </c>
      <c r="E218" s="15">
        <v>0.21</v>
      </c>
      <c r="F218" s="131">
        <v>51029.058919000461</v>
      </c>
      <c r="G218" s="17" t="e">
        <f t="shared" si="3"/>
        <v>#VALUE!</v>
      </c>
      <c r="H218" s="141">
        <v>127</v>
      </c>
      <c r="I218" s="141">
        <v>0</v>
      </c>
      <c r="J218" s="149">
        <v>5</v>
      </c>
      <c r="K218" s="150">
        <v>40</v>
      </c>
    </row>
    <row r="219" spans="1:11" ht="30" customHeight="1">
      <c r="A219" s="30">
        <v>15250</v>
      </c>
      <c r="B219" s="16" t="s">
        <v>75</v>
      </c>
      <c r="C219" s="15" t="s">
        <v>136</v>
      </c>
      <c r="D219" s="15" t="s">
        <v>129</v>
      </c>
      <c r="E219" s="15">
        <v>0.21</v>
      </c>
      <c r="F219" s="131">
        <v>55979.716823557392</v>
      </c>
      <c r="G219" s="17" t="e">
        <f t="shared" si="3"/>
        <v>#VALUE!</v>
      </c>
      <c r="H219" s="141">
        <v>87</v>
      </c>
      <c r="I219" s="141">
        <v>0</v>
      </c>
      <c r="J219" s="149">
        <v>5</v>
      </c>
      <c r="K219" s="150">
        <v>40</v>
      </c>
    </row>
    <row r="220" spans="1:11" ht="30" customHeight="1">
      <c r="A220" s="30">
        <v>15259</v>
      </c>
      <c r="B220" s="16" t="s">
        <v>75</v>
      </c>
      <c r="C220" s="15" t="s">
        <v>137</v>
      </c>
      <c r="D220" s="15" t="s">
        <v>138</v>
      </c>
      <c r="E220" s="15">
        <v>0.21</v>
      </c>
      <c r="F220" s="131">
        <v>173706.04514445589</v>
      </c>
      <c r="G220" s="17" t="e">
        <f t="shared" si="3"/>
        <v>#VALUE!</v>
      </c>
      <c r="H220" s="141">
        <v>46</v>
      </c>
      <c r="I220" s="141">
        <v>40</v>
      </c>
      <c r="J220" s="149">
        <v>5</v>
      </c>
      <c r="K220" s="150">
        <v>20</v>
      </c>
    </row>
    <row r="221" spans="1:11" ht="30" customHeight="1">
      <c r="A221" s="30">
        <v>15014</v>
      </c>
      <c r="B221" s="16" t="s">
        <v>75</v>
      </c>
      <c r="C221" s="15" t="s">
        <v>2501</v>
      </c>
      <c r="D221" s="15" t="s">
        <v>318</v>
      </c>
      <c r="E221" s="15">
        <v>0.21</v>
      </c>
      <c r="F221" s="131">
        <v>4728.2447963497389</v>
      </c>
      <c r="G221" s="17" t="e">
        <f t="shared" si="3"/>
        <v>#VALUE!</v>
      </c>
      <c r="H221" s="141">
        <v>380</v>
      </c>
      <c r="I221" s="141">
        <v>0</v>
      </c>
      <c r="J221" s="149" t="e">
        <v>#N/A</v>
      </c>
      <c r="K221" s="150" t="e">
        <v>#N/A</v>
      </c>
    </row>
    <row r="222" spans="1:11" ht="30" customHeight="1">
      <c r="A222" s="30">
        <v>15814</v>
      </c>
      <c r="B222" s="16" t="s">
        <v>75</v>
      </c>
      <c r="C222" s="15" t="s">
        <v>2502</v>
      </c>
      <c r="D222" s="15" t="s">
        <v>318</v>
      </c>
      <c r="E222" s="15">
        <v>0.21</v>
      </c>
      <c r="F222" s="131">
        <v>4728.2039271017802</v>
      </c>
      <c r="G222" s="17" t="e">
        <f t="shared" si="3"/>
        <v>#VALUE!</v>
      </c>
      <c r="H222" s="141">
        <v>4448</v>
      </c>
      <c r="I222" s="141">
        <v>0</v>
      </c>
      <c r="J222" s="149">
        <v>12</v>
      </c>
      <c r="K222" s="150">
        <v>240</v>
      </c>
    </row>
    <row r="223" spans="1:11" ht="30" customHeight="1">
      <c r="A223" s="30">
        <v>15015</v>
      </c>
      <c r="B223" s="16" t="s">
        <v>75</v>
      </c>
      <c r="C223" s="15" t="s">
        <v>2503</v>
      </c>
      <c r="D223" s="15" t="s">
        <v>719</v>
      </c>
      <c r="E223" s="15">
        <v>0.21</v>
      </c>
      <c r="F223" s="131">
        <v>4849.4399252325948</v>
      </c>
      <c r="G223" s="17" t="e">
        <f t="shared" si="3"/>
        <v>#VALUE!</v>
      </c>
      <c r="H223" s="141">
        <v>2</v>
      </c>
      <c r="I223" s="141">
        <v>0</v>
      </c>
      <c r="J223" s="149" t="e">
        <v>#N/A</v>
      </c>
      <c r="K223" s="150" t="e">
        <v>#N/A</v>
      </c>
    </row>
    <row r="224" spans="1:11" ht="30" customHeight="1">
      <c r="A224" s="30">
        <v>15815</v>
      </c>
      <c r="B224" s="16" t="s">
        <v>75</v>
      </c>
      <c r="C224" s="15" t="s">
        <v>2504</v>
      </c>
      <c r="D224" s="15" t="s">
        <v>719</v>
      </c>
      <c r="E224" s="15">
        <v>0.21</v>
      </c>
      <c r="F224" s="131">
        <v>4849.4399252325948</v>
      </c>
      <c r="G224" s="17" t="e">
        <f t="shared" si="3"/>
        <v>#VALUE!</v>
      </c>
      <c r="H224" s="141">
        <v>2344</v>
      </c>
      <c r="I224" s="141">
        <v>0</v>
      </c>
      <c r="J224" s="149">
        <v>12</v>
      </c>
      <c r="K224" s="150">
        <v>240</v>
      </c>
    </row>
    <row r="225" spans="1:11" ht="30" customHeight="1">
      <c r="A225" s="30">
        <v>15016</v>
      </c>
      <c r="B225" s="16" t="s">
        <v>75</v>
      </c>
      <c r="C225" s="15" t="s">
        <v>2505</v>
      </c>
      <c r="D225" s="15" t="s">
        <v>80</v>
      </c>
      <c r="E225" s="15">
        <v>0.21</v>
      </c>
      <c r="F225" s="131">
        <v>4970.7098651711885</v>
      </c>
      <c r="G225" s="17" t="e">
        <f t="shared" si="3"/>
        <v>#VALUE!</v>
      </c>
      <c r="H225" s="141">
        <v>1</v>
      </c>
      <c r="I225" s="141">
        <v>0</v>
      </c>
      <c r="J225" s="149">
        <v>12</v>
      </c>
      <c r="K225" s="150">
        <v>360</v>
      </c>
    </row>
    <row r="226" spans="1:11" ht="30" customHeight="1">
      <c r="A226" s="30">
        <v>15816</v>
      </c>
      <c r="B226" s="16" t="s">
        <v>75</v>
      </c>
      <c r="C226" s="15" t="s">
        <v>2506</v>
      </c>
      <c r="D226" s="15" t="s">
        <v>80</v>
      </c>
      <c r="E226" s="15">
        <v>0.21</v>
      </c>
      <c r="F226" s="131">
        <v>4970.6759233634111</v>
      </c>
      <c r="G226" s="17" t="e">
        <f t="shared" si="3"/>
        <v>#VALUE!</v>
      </c>
      <c r="H226" s="141">
        <v>3428</v>
      </c>
      <c r="I226" s="141">
        <v>0</v>
      </c>
      <c r="J226" s="149">
        <v>12</v>
      </c>
      <c r="K226" s="150">
        <v>240</v>
      </c>
    </row>
    <row r="227" spans="1:11" ht="30" customHeight="1">
      <c r="A227" s="30">
        <v>15017</v>
      </c>
      <c r="B227" s="16" t="s">
        <v>75</v>
      </c>
      <c r="C227" s="15" t="s">
        <v>2507</v>
      </c>
      <c r="D227" s="15" t="s">
        <v>120</v>
      </c>
      <c r="E227" s="15">
        <v>0.21</v>
      </c>
      <c r="F227" s="131">
        <v>5576.8725372248082</v>
      </c>
      <c r="G227" s="17" t="e">
        <f t="shared" si="3"/>
        <v>#VALUE!</v>
      </c>
      <c r="H227" s="141">
        <v>6</v>
      </c>
      <c r="I227" s="141">
        <v>0</v>
      </c>
      <c r="J227" s="149" t="e">
        <v>#N/A</v>
      </c>
      <c r="K227" s="150" t="e">
        <v>#N/A</v>
      </c>
    </row>
    <row r="228" spans="1:11" ht="30" customHeight="1">
      <c r="A228" s="30">
        <v>15817</v>
      </c>
      <c r="B228" s="16" t="s">
        <v>75</v>
      </c>
      <c r="C228" s="15" t="s">
        <v>2508</v>
      </c>
      <c r="D228" s="15" t="s">
        <v>120</v>
      </c>
      <c r="E228" s="15">
        <v>0.21</v>
      </c>
      <c r="F228" s="131">
        <v>5576.8559140174857</v>
      </c>
      <c r="G228" s="17" t="e">
        <f t="shared" si="3"/>
        <v>#VALUE!</v>
      </c>
      <c r="H228" s="141">
        <v>3110</v>
      </c>
      <c r="I228" s="141">
        <v>0</v>
      </c>
      <c r="J228" s="149">
        <v>12</v>
      </c>
      <c r="K228" s="150">
        <v>240</v>
      </c>
    </row>
    <row r="229" spans="1:11" ht="30" customHeight="1">
      <c r="A229" s="30">
        <v>15818</v>
      </c>
      <c r="B229" s="16" t="s">
        <v>75</v>
      </c>
      <c r="C229" s="15" t="s">
        <v>2509</v>
      </c>
      <c r="D229" s="15" t="s">
        <v>81</v>
      </c>
      <c r="E229" s="15">
        <v>0.21</v>
      </c>
      <c r="F229" s="131">
        <v>5819.3279102791112</v>
      </c>
      <c r="G229" s="17" t="e">
        <f t="shared" si="3"/>
        <v>#VALUE!</v>
      </c>
      <c r="H229" s="141">
        <v>6138</v>
      </c>
      <c r="I229" s="141">
        <v>480</v>
      </c>
      <c r="J229" s="149">
        <v>12</v>
      </c>
      <c r="K229" s="150">
        <v>240</v>
      </c>
    </row>
    <row r="230" spans="1:11" ht="30" customHeight="1">
      <c r="A230" s="30">
        <v>15819</v>
      </c>
      <c r="B230" s="16" t="s">
        <v>75</v>
      </c>
      <c r="C230" s="15" t="s">
        <v>2510</v>
      </c>
      <c r="D230" s="15" t="s">
        <v>121</v>
      </c>
      <c r="E230" s="15">
        <v>0.21</v>
      </c>
      <c r="F230" s="131">
        <v>6183.0359046715585</v>
      </c>
      <c r="G230" s="17" t="e">
        <f t="shared" si="3"/>
        <v>#VALUE!</v>
      </c>
      <c r="H230" s="141">
        <v>4497</v>
      </c>
      <c r="I230" s="141">
        <v>480</v>
      </c>
      <c r="J230" s="149">
        <v>12</v>
      </c>
      <c r="K230" s="150">
        <v>240</v>
      </c>
    </row>
    <row r="231" spans="1:11" ht="30" customHeight="1">
      <c r="A231" s="30">
        <v>15820</v>
      </c>
      <c r="B231" s="16" t="s">
        <v>75</v>
      </c>
      <c r="C231" s="15" t="s">
        <v>2511</v>
      </c>
      <c r="D231" s="15" t="s">
        <v>82</v>
      </c>
      <c r="E231" s="15">
        <v>0.21</v>
      </c>
      <c r="F231" s="131">
        <v>6667.9798971948212</v>
      </c>
      <c r="G231" s="17" t="e">
        <f t="shared" si="3"/>
        <v>#VALUE!</v>
      </c>
      <c r="H231" s="141">
        <v>2218</v>
      </c>
      <c r="I231" s="141">
        <v>240</v>
      </c>
      <c r="J231" s="149">
        <v>12</v>
      </c>
      <c r="K231" s="150">
        <v>240</v>
      </c>
    </row>
    <row r="232" spans="1:11" ht="30" customHeight="1">
      <c r="A232" s="30">
        <v>15821</v>
      </c>
      <c r="B232" s="16" t="s">
        <v>75</v>
      </c>
      <c r="C232" s="15" t="s">
        <v>2512</v>
      </c>
      <c r="D232" s="15" t="s">
        <v>83</v>
      </c>
      <c r="E232" s="15">
        <v>0.21</v>
      </c>
      <c r="F232" s="131">
        <v>7031.6878915872649</v>
      </c>
      <c r="G232" s="17" t="e">
        <f t="shared" si="3"/>
        <v>#VALUE!</v>
      </c>
      <c r="H232" s="141">
        <v>5137</v>
      </c>
      <c r="I232" s="141">
        <v>360</v>
      </c>
      <c r="J232" s="149">
        <v>12</v>
      </c>
      <c r="K232" s="150">
        <v>180</v>
      </c>
    </row>
    <row r="233" spans="1:11" ht="30" customHeight="1">
      <c r="A233" s="30">
        <v>15822</v>
      </c>
      <c r="B233" s="16" t="s">
        <v>75</v>
      </c>
      <c r="C233" s="15" t="s">
        <v>2513</v>
      </c>
      <c r="D233" s="15" t="s">
        <v>84</v>
      </c>
      <c r="E233" s="15">
        <v>0.21</v>
      </c>
      <c r="F233" s="131">
        <v>7399.5834573419179</v>
      </c>
      <c r="G233" s="17" t="e">
        <f t="shared" si="3"/>
        <v>#VALUE!</v>
      </c>
      <c r="H233" s="141">
        <v>2964</v>
      </c>
      <c r="I233" s="141">
        <v>240</v>
      </c>
      <c r="J233" s="149">
        <v>12</v>
      </c>
      <c r="K233" s="150">
        <v>120</v>
      </c>
    </row>
    <row r="234" spans="1:11" ht="30" customHeight="1">
      <c r="A234" s="30">
        <v>15823</v>
      </c>
      <c r="B234" s="16" t="s">
        <v>75</v>
      </c>
      <c r="C234" s="15" t="s">
        <v>2514</v>
      </c>
      <c r="D234" s="15" t="s">
        <v>122</v>
      </c>
      <c r="E234" s="15">
        <v>0.21</v>
      </c>
      <c r="F234" s="131">
        <v>9105.2583538548261</v>
      </c>
      <c r="G234" s="17" t="e">
        <f t="shared" si="3"/>
        <v>#VALUE!</v>
      </c>
      <c r="H234" s="141">
        <v>2176</v>
      </c>
      <c r="I234" s="141">
        <v>240</v>
      </c>
      <c r="J234" s="149">
        <v>12</v>
      </c>
      <c r="K234" s="150">
        <v>120</v>
      </c>
    </row>
    <row r="235" spans="1:11" ht="30" customHeight="1">
      <c r="A235" s="30">
        <v>15824</v>
      </c>
      <c r="B235" s="16" t="s">
        <v>75</v>
      </c>
      <c r="C235" s="15" t="s">
        <v>2515</v>
      </c>
      <c r="D235" s="15" t="s">
        <v>123</v>
      </c>
      <c r="E235" s="15">
        <v>0.21</v>
      </c>
      <c r="F235" s="131">
        <v>9932.9739224298719</v>
      </c>
      <c r="G235" s="17" t="e">
        <f t="shared" si="3"/>
        <v>#VALUE!</v>
      </c>
      <c r="H235" s="141">
        <v>1791</v>
      </c>
      <c r="I235" s="141">
        <v>360</v>
      </c>
      <c r="J235" s="149">
        <v>12</v>
      </c>
      <c r="K235" s="150">
        <v>120</v>
      </c>
    </row>
    <row r="236" spans="1:11" ht="30" customHeight="1">
      <c r="A236" s="30">
        <v>15825</v>
      </c>
      <c r="B236" s="16" t="s">
        <v>75</v>
      </c>
      <c r="C236" s="15" t="s">
        <v>2516</v>
      </c>
      <c r="D236" s="15" t="s">
        <v>85</v>
      </c>
      <c r="E236" s="15">
        <v>0.21</v>
      </c>
      <c r="F236" s="131">
        <v>10484.784301479904</v>
      </c>
      <c r="G236" s="17" t="e">
        <f t="shared" si="3"/>
        <v>#VALUE!</v>
      </c>
      <c r="H236" s="141">
        <v>2653</v>
      </c>
      <c r="I236" s="141">
        <v>270</v>
      </c>
      <c r="J236" s="149">
        <v>6</v>
      </c>
      <c r="K236" s="150">
        <v>90</v>
      </c>
    </row>
    <row r="237" spans="1:11" ht="30" customHeight="1">
      <c r="A237" s="30">
        <v>15826</v>
      </c>
      <c r="B237" s="16" t="s">
        <v>75</v>
      </c>
      <c r="C237" s="15" t="s">
        <v>2517</v>
      </c>
      <c r="D237" s="15" t="s">
        <v>124</v>
      </c>
      <c r="E237" s="15">
        <v>0.21</v>
      </c>
      <c r="F237" s="131">
        <v>12687.922562669202</v>
      </c>
      <c r="G237" s="17" t="e">
        <f t="shared" si="3"/>
        <v>#VALUE!</v>
      </c>
      <c r="H237" s="141">
        <v>1387</v>
      </c>
      <c r="I237" s="141">
        <v>270</v>
      </c>
      <c r="J237" s="149">
        <v>6</v>
      </c>
      <c r="K237" s="150">
        <v>90</v>
      </c>
    </row>
    <row r="238" spans="1:11" ht="30" customHeight="1">
      <c r="A238" s="30">
        <v>15827</v>
      </c>
      <c r="B238" s="16" t="s">
        <v>75</v>
      </c>
      <c r="C238" s="15" t="s">
        <v>2518</v>
      </c>
      <c r="D238" s="15" t="s">
        <v>86</v>
      </c>
      <c r="E238" s="15">
        <v>0.21</v>
      </c>
      <c r="F238" s="131">
        <v>13022.678803316821</v>
      </c>
      <c r="G238" s="17" t="e">
        <f t="shared" si="3"/>
        <v>#VALUE!</v>
      </c>
      <c r="H238" s="141">
        <v>2233</v>
      </c>
      <c r="I238" s="141">
        <v>90</v>
      </c>
      <c r="J238" s="149">
        <v>6</v>
      </c>
      <c r="K238" s="150">
        <v>90</v>
      </c>
    </row>
    <row r="239" spans="1:11" ht="30" customHeight="1">
      <c r="A239" s="30">
        <v>15828</v>
      </c>
      <c r="B239" s="16" t="s">
        <v>75</v>
      </c>
      <c r="C239" s="15" t="s">
        <v>2519</v>
      </c>
      <c r="D239" s="15" t="s">
        <v>125</v>
      </c>
      <c r="E239" s="15">
        <v>0.21</v>
      </c>
      <c r="F239" s="131">
        <v>14968.687137385741</v>
      </c>
      <c r="G239" s="17" t="e">
        <f t="shared" si="3"/>
        <v>#VALUE!</v>
      </c>
      <c r="H239" s="141">
        <v>603</v>
      </c>
      <c r="I239" s="141">
        <v>0</v>
      </c>
      <c r="J239" s="149">
        <v>6</v>
      </c>
      <c r="K239" s="150">
        <v>90</v>
      </c>
    </row>
    <row r="240" spans="1:11" ht="30" customHeight="1">
      <c r="A240" s="30">
        <v>15829</v>
      </c>
      <c r="B240" s="16" t="s">
        <v>75</v>
      </c>
      <c r="C240" s="15" t="s">
        <v>2520</v>
      </c>
      <c r="D240" s="15" t="s">
        <v>126</v>
      </c>
      <c r="E240" s="15">
        <v>0.21</v>
      </c>
      <c r="F240" s="131">
        <v>16261.285968795557</v>
      </c>
      <c r="G240" s="17" t="e">
        <f t="shared" si="3"/>
        <v>#VALUE!</v>
      </c>
      <c r="H240" s="141">
        <v>731</v>
      </c>
      <c r="I240" s="141">
        <v>60</v>
      </c>
      <c r="J240" s="149">
        <v>6</v>
      </c>
      <c r="K240" s="150">
        <v>60</v>
      </c>
    </row>
    <row r="241" spans="1:11" ht="30" customHeight="1">
      <c r="A241" s="30">
        <v>15830</v>
      </c>
      <c r="B241" s="16" t="s">
        <v>75</v>
      </c>
      <c r="C241" s="15" t="s">
        <v>2521</v>
      </c>
      <c r="D241" s="15" t="s">
        <v>127</v>
      </c>
      <c r="E241" s="15">
        <v>0.21</v>
      </c>
      <c r="F241" s="131">
        <v>17388.238339701875</v>
      </c>
      <c r="G241" s="17" t="e">
        <f t="shared" si="3"/>
        <v>#VALUE!</v>
      </c>
      <c r="H241" s="141">
        <v>1312</v>
      </c>
      <c r="I241" s="141">
        <v>120</v>
      </c>
      <c r="J241" s="149">
        <v>6</v>
      </c>
      <c r="K241" s="150">
        <v>60</v>
      </c>
    </row>
    <row r="242" spans="1:11" ht="30" customHeight="1">
      <c r="A242" s="30">
        <v>15831</v>
      </c>
      <c r="B242" s="16" t="s">
        <v>75</v>
      </c>
      <c r="C242" s="15" t="s">
        <v>2522</v>
      </c>
      <c r="D242" s="15" t="s">
        <v>128</v>
      </c>
      <c r="E242" s="15">
        <v>0.21</v>
      </c>
      <c r="F242" s="131">
        <v>22862.424079207925</v>
      </c>
      <c r="G242" s="17" t="e">
        <f t="shared" si="3"/>
        <v>#VALUE!</v>
      </c>
      <c r="H242" s="141">
        <v>456</v>
      </c>
      <c r="I242" s="141">
        <v>0</v>
      </c>
      <c r="J242" s="149">
        <v>6</v>
      </c>
      <c r="K242" s="150">
        <v>60</v>
      </c>
    </row>
    <row r="243" spans="1:11" ht="30" customHeight="1">
      <c r="A243" s="30">
        <v>15832</v>
      </c>
      <c r="B243" s="16" t="s">
        <v>75</v>
      </c>
      <c r="C243" s="15" t="s">
        <v>2523</v>
      </c>
      <c r="D243" s="15" t="s">
        <v>129</v>
      </c>
      <c r="E243" s="15">
        <v>0.21</v>
      </c>
      <c r="F243" s="131">
        <v>23828.383254270466</v>
      </c>
      <c r="G243" s="17" t="e">
        <f t="shared" si="3"/>
        <v>#VALUE!</v>
      </c>
      <c r="H243" s="141">
        <v>1365</v>
      </c>
      <c r="I243" s="141">
        <v>240</v>
      </c>
      <c r="J243" s="149">
        <v>6</v>
      </c>
      <c r="K243" s="150">
        <v>48</v>
      </c>
    </row>
    <row r="244" spans="1:11" ht="30" customHeight="1">
      <c r="A244" s="30">
        <v>15833</v>
      </c>
      <c r="B244" s="16" t="s">
        <v>75</v>
      </c>
      <c r="C244" s="15" t="s">
        <v>2524</v>
      </c>
      <c r="D244" s="15" t="s">
        <v>130</v>
      </c>
      <c r="E244" s="15">
        <v>0.21</v>
      </c>
      <c r="F244" s="131">
        <v>30751.507756370345</v>
      </c>
      <c r="G244" s="17" t="e">
        <f t="shared" si="3"/>
        <v>#VALUE!</v>
      </c>
      <c r="H244" s="141">
        <v>489</v>
      </c>
      <c r="I244" s="141">
        <v>0</v>
      </c>
      <c r="J244" s="149">
        <v>6</v>
      </c>
      <c r="K244" s="150">
        <v>48</v>
      </c>
    </row>
    <row r="245" spans="1:11" ht="30" customHeight="1">
      <c r="A245" s="30">
        <v>15834</v>
      </c>
      <c r="B245" s="16" t="s">
        <v>75</v>
      </c>
      <c r="C245" s="15" t="s">
        <v>2525</v>
      </c>
      <c r="D245" s="15" t="s">
        <v>720</v>
      </c>
      <c r="E245" s="15">
        <v>0.21</v>
      </c>
      <c r="F245" s="131">
        <v>31395.480539745375</v>
      </c>
      <c r="G245" s="17" t="e">
        <f t="shared" si="3"/>
        <v>#VALUE!</v>
      </c>
      <c r="H245" s="141">
        <v>237</v>
      </c>
      <c r="I245" s="141">
        <v>0</v>
      </c>
      <c r="J245" s="149">
        <v>6</v>
      </c>
      <c r="K245" s="150">
        <v>48</v>
      </c>
    </row>
    <row r="246" spans="1:11" ht="30" customHeight="1">
      <c r="A246" s="30">
        <v>15835</v>
      </c>
      <c r="B246" s="16" t="s">
        <v>75</v>
      </c>
      <c r="C246" s="15" t="s">
        <v>2526</v>
      </c>
      <c r="D246" s="15" t="s">
        <v>131</v>
      </c>
      <c r="E246" s="15">
        <v>0.21</v>
      </c>
      <c r="F246" s="131">
        <v>32844.558329278625</v>
      </c>
      <c r="G246" s="17" t="e">
        <f t="shared" si="3"/>
        <v>#VALUE!</v>
      </c>
      <c r="H246" s="141">
        <v>612</v>
      </c>
      <c r="I246" s="141">
        <v>48</v>
      </c>
      <c r="J246" s="149">
        <v>6</v>
      </c>
      <c r="K246" s="150">
        <v>48</v>
      </c>
    </row>
    <row r="247" spans="1:11" ht="30" customHeight="1">
      <c r="A247" s="30">
        <v>15836</v>
      </c>
      <c r="B247" s="16" t="s">
        <v>75</v>
      </c>
      <c r="C247" s="15" t="s">
        <v>2527</v>
      </c>
      <c r="D247" s="15" t="s">
        <v>721</v>
      </c>
      <c r="E247" s="15">
        <v>0.21</v>
      </c>
      <c r="F247" s="131">
        <v>33488.531112653647</v>
      </c>
      <c r="G247" s="17" t="e">
        <f t="shared" si="3"/>
        <v>#VALUE!</v>
      </c>
      <c r="H247" s="141">
        <v>465</v>
      </c>
      <c r="I247" s="141">
        <v>60</v>
      </c>
      <c r="J247" s="149">
        <v>6</v>
      </c>
      <c r="K247" s="150">
        <v>30</v>
      </c>
    </row>
    <row r="248" spans="1:11" ht="30" customHeight="1">
      <c r="A248" s="30">
        <v>15837</v>
      </c>
      <c r="B248" s="16" t="s">
        <v>75</v>
      </c>
      <c r="C248" s="15" t="s">
        <v>2528</v>
      </c>
      <c r="D248" s="15" t="s">
        <v>722</v>
      </c>
      <c r="E248" s="15">
        <v>0.21</v>
      </c>
      <c r="F248" s="131">
        <v>35259.595293874416</v>
      </c>
      <c r="G248" s="17" t="e">
        <f t="shared" si="3"/>
        <v>#VALUE!</v>
      </c>
      <c r="H248" s="141">
        <v>237</v>
      </c>
      <c r="I248" s="141">
        <v>0</v>
      </c>
      <c r="J248" s="149">
        <v>6</v>
      </c>
      <c r="K248" s="150">
        <v>30</v>
      </c>
    </row>
    <row r="249" spans="1:11" ht="30" customHeight="1">
      <c r="A249" s="30">
        <v>15838</v>
      </c>
      <c r="B249" s="16" t="s">
        <v>75</v>
      </c>
      <c r="C249" s="15" t="s">
        <v>2529</v>
      </c>
      <c r="D249" s="15" t="s">
        <v>132</v>
      </c>
      <c r="E249" s="15">
        <v>0.21</v>
      </c>
      <c r="F249" s="131">
        <v>40572.648810597289</v>
      </c>
      <c r="G249" s="17" t="e">
        <f t="shared" si="3"/>
        <v>#VALUE!</v>
      </c>
      <c r="H249" s="141">
        <v>373</v>
      </c>
      <c r="I249" s="141">
        <v>0</v>
      </c>
      <c r="J249" s="149">
        <v>6</v>
      </c>
      <c r="K249" s="150">
        <v>30</v>
      </c>
    </row>
    <row r="250" spans="1:11" ht="30" customHeight="1">
      <c r="A250" s="30">
        <v>15839</v>
      </c>
      <c r="B250" s="16" t="s">
        <v>75</v>
      </c>
      <c r="C250" s="15" t="s">
        <v>2530</v>
      </c>
      <c r="D250" s="15" t="s">
        <v>133</v>
      </c>
      <c r="E250" s="15">
        <v>0.21</v>
      </c>
      <c r="F250" s="131">
        <v>45241.729543945126</v>
      </c>
      <c r="G250" s="17" t="e">
        <f t="shared" si="3"/>
        <v>#VALUE!</v>
      </c>
      <c r="H250" s="141">
        <v>458</v>
      </c>
      <c r="I250" s="141">
        <v>30</v>
      </c>
      <c r="J250" s="149">
        <v>6</v>
      </c>
      <c r="K250" s="150">
        <v>30</v>
      </c>
    </row>
    <row r="251" spans="1:11" ht="30" customHeight="1">
      <c r="A251" s="31">
        <v>15840</v>
      </c>
      <c r="B251" s="16" t="s">
        <v>75</v>
      </c>
      <c r="C251" s="15" t="s">
        <v>2531</v>
      </c>
      <c r="D251" s="15" t="s">
        <v>290</v>
      </c>
      <c r="E251" s="15">
        <v>0.21</v>
      </c>
      <c r="F251" s="131">
        <v>89368.812999696238</v>
      </c>
      <c r="G251" s="17" t="e">
        <f t="shared" si="3"/>
        <v>#VALUE!</v>
      </c>
      <c r="H251" s="141">
        <v>162</v>
      </c>
      <c r="I251" s="141">
        <v>0</v>
      </c>
      <c r="J251" s="149">
        <v>5</v>
      </c>
      <c r="K251" s="150">
        <v>20</v>
      </c>
    </row>
    <row r="252" spans="1:11" ht="30" customHeight="1">
      <c r="A252" s="30">
        <v>15841</v>
      </c>
      <c r="B252" s="16" t="s">
        <v>75</v>
      </c>
      <c r="C252" s="15" t="s">
        <v>2532</v>
      </c>
      <c r="D252" s="15" t="s">
        <v>723</v>
      </c>
      <c r="E252" s="15">
        <v>0.21</v>
      </c>
      <c r="F252" s="131">
        <v>91587.748637837387</v>
      </c>
      <c r="G252" s="17" t="e">
        <f t="shared" si="3"/>
        <v>#VALUE!</v>
      </c>
      <c r="H252" s="141">
        <v>234</v>
      </c>
      <c r="I252" s="141">
        <v>0</v>
      </c>
      <c r="J252" s="149">
        <v>5</v>
      </c>
      <c r="K252" s="150">
        <v>20</v>
      </c>
    </row>
    <row r="253" spans="1:11" ht="30" customHeight="1">
      <c r="A253" s="30">
        <v>15842</v>
      </c>
      <c r="B253" s="16" t="s">
        <v>75</v>
      </c>
      <c r="C253" s="15" t="s">
        <v>2533</v>
      </c>
      <c r="D253" s="15" t="s">
        <v>724</v>
      </c>
      <c r="E253" s="15">
        <v>0.21</v>
      </c>
      <c r="F253" s="131">
        <v>91587.748637837387</v>
      </c>
      <c r="G253" s="17" t="e">
        <f t="shared" si="3"/>
        <v>#VALUE!</v>
      </c>
      <c r="H253" s="141">
        <v>199</v>
      </c>
      <c r="I253" s="141">
        <v>0</v>
      </c>
      <c r="J253" s="149">
        <v>5</v>
      </c>
      <c r="K253" s="150">
        <v>20</v>
      </c>
    </row>
    <row r="254" spans="1:11" ht="30" customHeight="1">
      <c r="A254" s="31">
        <v>15843</v>
      </c>
      <c r="B254" s="16" t="s">
        <v>75</v>
      </c>
      <c r="C254" s="15" t="s">
        <v>2534</v>
      </c>
      <c r="D254" s="15" t="s">
        <v>725</v>
      </c>
      <c r="E254" s="15">
        <v>0.21</v>
      </c>
      <c r="F254" s="131">
        <v>127647.88637495223</v>
      </c>
      <c r="G254" s="17" t="e">
        <f t="shared" si="3"/>
        <v>#VALUE!</v>
      </c>
      <c r="H254" s="141">
        <v>75</v>
      </c>
      <c r="I254" s="141">
        <v>20</v>
      </c>
      <c r="J254" s="149">
        <v>5</v>
      </c>
      <c r="K254" s="150">
        <v>10</v>
      </c>
    </row>
    <row r="255" spans="1:11" ht="30" customHeight="1">
      <c r="A255" s="30">
        <v>15314</v>
      </c>
      <c r="B255" s="16" t="s">
        <v>75</v>
      </c>
      <c r="C255" s="15" t="s">
        <v>2537</v>
      </c>
      <c r="D255" s="15" t="s">
        <v>96</v>
      </c>
      <c r="E255" s="15">
        <v>0.21</v>
      </c>
      <c r="F255" s="131">
        <v>4849.4399252325948</v>
      </c>
      <c r="G255" s="17" t="e">
        <f t="shared" si="3"/>
        <v>#VALUE!</v>
      </c>
      <c r="H255" s="141">
        <v>2067</v>
      </c>
      <c r="I255" s="141">
        <v>0</v>
      </c>
      <c r="J255" s="149" t="e">
        <v>#N/A</v>
      </c>
      <c r="K255" s="150" t="e">
        <v>#N/A</v>
      </c>
    </row>
    <row r="256" spans="1:11" ht="30" customHeight="1">
      <c r="A256" s="31">
        <v>15461</v>
      </c>
      <c r="B256" s="16" t="s">
        <v>75</v>
      </c>
      <c r="C256" s="15" t="s">
        <v>2538</v>
      </c>
      <c r="D256" s="15" t="s">
        <v>96</v>
      </c>
      <c r="E256" s="15">
        <v>0.21</v>
      </c>
      <c r="F256" s="131">
        <v>4849.4399252325948</v>
      </c>
      <c r="G256" s="17" t="e">
        <f t="shared" si="3"/>
        <v>#VALUE!</v>
      </c>
      <c r="H256" s="141">
        <v>5398</v>
      </c>
      <c r="I256" s="141">
        <v>0</v>
      </c>
      <c r="J256" s="149">
        <v>15</v>
      </c>
      <c r="K256" s="150">
        <v>360</v>
      </c>
    </row>
    <row r="257" spans="1:11" ht="30" customHeight="1">
      <c r="A257" s="30">
        <v>15316</v>
      </c>
      <c r="B257" s="16" t="s">
        <v>75</v>
      </c>
      <c r="C257" s="15" t="s">
        <v>2539</v>
      </c>
      <c r="D257" s="15" t="s">
        <v>145</v>
      </c>
      <c r="E257" s="15">
        <v>0.21</v>
      </c>
      <c r="F257" s="131">
        <v>5213.1479196250402</v>
      </c>
      <c r="G257" s="17" t="e">
        <f t="shared" si="3"/>
        <v>#VALUE!</v>
      </c>
      <c r="H257" s="141">
        <v>4165</v>
      </c>
      <c r="I257" s="141">
        <v>0</v>
      </c>
      <c r="J257" s="149" t="e">
        <v>#N/A</v>
      </c>
      <c r="K257" s="150" t="e">
        <v>#N/A</v>
      </c>
    </row>
    <row r="258" spans="1:11" ht="30" customHeight="1">
      <c r="A258" s="31">
        <v>15462</v>
      </c>
      <c r="B258" s="16" t="s">
        <v>75</v>
      </c>
      <c r="C258" s="15" t="s">
        <v>4199</v>
      </c>
      <c r="D258" s="15" t="s">
        <v>145</v>
      </c>
      <c r="E258" s="15">
        <v>0.21</v>
      </c>
      <c r="F258" s="131">
        <v>5213.1250614150467</v>
      </c>
      <c r="G258" s="17" t="e">
        <f t="shared" si="3"/>
        <v>#VALUE!</v>
      </c>
      <c r="H258" s="141">
        <v>1794</v>
      </c>
      <c r="I258" s="141">
        <v>0</v>
      </c>
      <c r="J258" s="149">
        <v>15</v>
      </c>
      <c r="K258" s="150">
        <v>360</v>
      </c>
    </row>
    <row r="259" spans="1:11" ht="30" customHeight="1">
      <c r="A259" s="30">
        <v>15318</v>
      </c>
      <c r="B259" s="16" t="s">
        <v>75</v>
      </c>
      <c r="C259" s="15" t="s">
        <v>2540</v>
      </c>
      <c r="D259" s="15" t="s">
        <v>97</v>
      </c>
      <c r="E259" s="15">
        <v>0.21</v>
      </c>
      <c r="F259" s="131">
        <v>6061.7999065407448</v>
      </c>
      <c r="G259" s="17" t="e">
        <f t="shared" si="3"/>
        <v>#VALUE!</v>
      </c>
      <c r="H259" s="141">
        <v>3994</v>
      </c>
      <c r="I259" s="141">
        <v>0</v>
      </c>
      <c r="J259" s="149" t="e">
        <v>#N/A</v>
      </c>
      <c r="K259" s="150" t="e">
        <v>#N/A</v>
      </c>
    </row>
    <row r="260" spans="1:11" ht="30" customHeight="1">
      <c r="A260" s="31">
        <v>15463</v>
      </c>
      <c r="B260" s="16" t="s">
        <v>75</v>
      </c>
      <c r="C260" s="15" t="s">
        <v>4200</v>
      </c>
      <c r="D260" s="15" t="s">
        <v>97</v>
      </c>
      <c r="E260" s="15">
        <v>0.21</v>
      </c>
      <c r="F260" s="131">
        <v>6061.7936805691497</v>
      </c>
      <c r="G260" s="17" t="e">
        <f t="shared" si="3"/>
        <v>#VALUE!</v>
      </c>
      <c r="H260" s="141">
        <v>1436</v>
      </c>
      <c r="I260" s="141">
        <v>0</v>
      </c>
      <c r="J260" s="149">
        <v>15</v>
      </c>
      <c r="K260" s="150">
        <v>300</v>
      </c>
    </row>
    <row r="261" spans="1:11" ht="30" customHeight="1">
      <c r="A261" s="30">
        <v>15319</v>
      </c>
      <c r="B261" s="16" t="s">
        <v>75</v>
      </c>
      <c r="C261" s="15" t="s">
        <v>2541</v>
      </c>
      <c r="D261" s="15" t="s">
        <v>146</v>
      </c>
      <c r="E261" s="15">
        <v>0.21</v>
      </c>
      <c r="F261" s="131">
        <v>6546.7438990640048</v>
      </c>
      <c r="G261" s="17" t="e">
        <f t="shared" si="3"/>
        <v>#VALUE!</v>
      </c>
      <c r="H261" s="141">
        <v>2832</v>
      </c>
      <c r="I261" s="141">
        <v>0</v>
      </c>
      <c r="J261" s="149" t="e">
        <v>#N/A</v>
      </c>
      <c r="K261" s="150" t="e">
        <v>#N/A</v>
      </c>
    </row>
    <row r="262" spans="1:11" ht="30" customHeight="1">
      <c r="A262" s="31">
        <v>15464</v>
      </c>
      <c r="B262" s="16" t="s">
        <v>75</v>
      </c>
      <c r="C262" s="15" t="s">
        <v>3101</v>
      </c>
      <c r="D262" s="15" t="s">
        <v>146</v>
      </c>
      <c r="E262" s="15">
        <v>0.21</v>
      </c>
      <c r="F262" s="131">
        <v>6546.7183246883815</v>
      </c>
      <c r="G262" s="17" t="e">
        <f t="shared" si="3"/>
        <v>#VALUE!</v>
      </c>
      <c r="H262" s="141">
        <v>1169</v>
      </c>
      <c r="I262" s="141">
        <v>0</v>
      </c>
      <c r="J262" s="149">
        <v>15</v>
      </c>
      <c r="K262" s="150">
        <v>240</v>
      </c>
    </row>
    <row r="263" spans="1:11" ht="30" customHeight="1">
      <c r="A263" s="30">
        <v>15321</v>
      </c>
      <c r="B263" s="16" t="s">
        <v>75</v>
      </c>
      <c r="C263" s="15" t="s">
        <v>2542</v>
      </c>
      <c r="D263" s="15" t="s">
        <v>98</v>
      </c>
      <c r="E263" s="15">
        <v>0.21</v>
      </c>
      <c r="F263" s="131">
        <v>7274.1598878488958</v>
      </c>
      <c r="G263" s="17" t="e">
        <f t="shared" si="3"/>
        <v>#VALUE!</v>
      </c>
      <c r="H263" s="141">
        <v>0</v>
      </c>
      <c r="I263" s="141">
        <v>0</v>
      </c>
      <c r="J263" s="149" t="e">
        <v>#N/A</v>
      </c>
      <c r="K263" s="150" t="e">
        <v>#N/A</v>
      </c>
    </row>
    <row r="264" spans="1:11" ht="30" customHeight="1">
      <c r="A264" s="31">
        <v>15465</v>
      </c>
      <c r="B264" s="16" t="s">
        <v>75</v>
      </c>
      <c r="C264" s="15" t="s">
        <v>2543</v>
      </c>
      <c r="D264" s="15" t="s">
        <v>98</v>
      </c>
      <c r="E264" s="15">
        <v>0.21</v>
      </c>
      <c r="F264" s="131">
        <v>7274.1598878488958</v>
      </c>
      <c r="G264" s="17" t="e">
        <f t="shared" ref="G264:G327" si="4">(F264*$G$6)</f>
        <v>#VALUE!</v>
      </c>
      <c r="H264" s="141">
        <v>1252</v>
      </c>
      <c r="I264" s="141">
        <v>0</v>
      </c>
      <c r="J264" s="149">
        <v>15</v>
      </c>
      <c r="K264" s="150">
        <v>180</v>
      </c>
    </row>
    <row r="265" spans="1:11" ht="30" customHeight="1">
      <c r="A265" s="31">
        <v>15466</v>
      </c>
      <c r="B265" s="16" t="s">
        <v>75</v>
      </c>
      <c r="C265" s="15" t="s">
        <v>2544</v>
      </c>
      <c r="D265" s="15" t="s">
        <v>147</v>
      </c>
      <c r="E265" s="15">
        <v>0.21</v>
      </c>
      <c r="F265" s="131">
        <v>7987.0275568580837</v>
      </c>
      <c r="G265" s="17" t="e">
        <f t="shared" si="4"/>
        <v>#VALUE!</v>
      </c>
      <c r="H265" s="141">
        <v>540</v>
      </c>
      <c r="I265" s="141">
        <v>0</v>
      </c>
      <c r="J265" s="149">
        <v>15</v>
      </c>
      <c r="K265" s="150">
        <v>120</v>
      </c>
    </row>
    <row r="266" spans="1:11" ht="30" customHeight="1">
      <c r="A266" s="30">
        <v>15324</v>
      </c>
      <c r="B266" s="16" t="s">
        <v>75</v>
      </c>
      <c r="C266" s="15" t="s">
        <v>2545</v>
      </c>
      <c r="D266" s="15" t="s">
        <v>148</v>
      </c>
      <c r="E266" s="15">
        <v>0.21</v>
      </c>
      <c r="F266" s="131">
        <v>9125.7834266255213</v>
      </c>
      <c r="G266" s="17" t="e">
        <f t="shared" si="4"/>
        <v>#VALUE!</v>
      </c>
      <c r="H266" s="141">
        <v>1431</v>
      </c>
      <c r="I266" s="141">
        <v>0</v>
      </c>
      <c r="J266" s="149" t="e">
        <v>#N/A</v>
      </c>
      <c r="K266" s="150" t="e">
        <v>#N/A</v>
      </c>
    </row>
    <row r="267" spans="1:11" ht="30" customHeight="1">
      <c r="A267" s="31">
        <v>15467</v>
      </c>
      <c r="B267" s="16" t="s">
        <v>75</v>
      </c>
      <c r="C267" s="15" t="s">
        <v>3102</v>
      </c>
      <c r="D267" s="15" t="s">
        <v>148</v>
      </c>
      <c r="E267" s="15">
        <v>0.21</v>
      </c>
      <c r="F267" s="131">
        <v>9855.8419418350022</v>
      </c>
      <c r="G267" s="17" t="e">
        <f t="shared" si="4"/>
        <v>#VALUE!</v>
      </c>
      <c r="H267" s="141">
        <v>529</v>
      </c>
      <c r="I267" s="141">
        <v>0</v>
      </c>
      <c r="J267" s="149">
        <v>15</v>
      </c>
      <c r="K267" s="150">
        <v>120</v>
      </c>
    </row>
    <row r="268" spans="1:11" ht="30" customHeight="1">
      <c r="A268" s="31">
        <v>15468</v>
      </c>
      <c r="B268" s="16" t="s">
        <v>75</v>
      </c>
      <c r="C268" s="15" t="s">
        <v>3103</v>
      </c>
      <c r="D268" s="15" t="s">
        <v>149</v>
      </c>
      <c r="E268" s="15">
        <v>0.21</v>
      </c>
      <c r="F268" s="131">
        <v>10141.440542733008</v>
      </c>
      <c r="G268" s="17" t="e">
        <f t="shared" si="4"/>
        <v>#VALUE!</v>
      </c>
      <c r="H268" s="141">
        <v>408</v>
      </c>
      <c r="I268" s="141">
        <v>0</v>
      </c>
      <c r="J268" s="149">
        <v>6</v>
      </c>
      <c r="K268" s="150">
        <v>90</v>
      </c>
    </row>
    <row r="269" spans="1:11" ht="30" customHeight="1">
      <c r="A269" s="30">
        <v>15327</v>
      </c>
      <c r="B269" s="16" t="s">
        <v>75</v>
      </c>
      <c r="C269" s="15" t="s">
        <v>2546</v>
      </c>
      <c r="D269" s="15" t="s">
        <v>150</v>
      </c>
      <c r="E269" s="15">
        <v>0.21</v>
      </c>
      <c r="F269" s="131">
        <v>11412.925804764556</v>
      </c>
      <c r="G269" s="17" t="e">
        <f t="shared" si="4"/>
        <v>#VALUE!</v>
      </c>
      <c r="H269" s="141">
        <v>957</v>
      </c>
      <c r="I269" s="141">
        <v>0</v>
      </c>
      <c r="J269" s="149" t="e">
        <v>#N/A</v>
      </c>
      <c r="K269" s="150" t="e">
        <v>#N/A</v>
      </c>
    </row>
    <row r="270" spans="1:11" ht="30" customHeight="1">
      <c r="A270" s="31">
        <v>15469</v>
      </c>
      <c r="B270" s="16" t="s">
        <v>75</v>
      </c>
      <c r="C270" s="15" t="s">
        <v>2547</v>
      </c>
      <c r="D270" s="15" t="s">
        <v>150</v>
      </c>
      <c r="E270" s="15">
        <v>0.21</v>
      </c>
      <c r="F270" s="131">
        <v>12325.964464316688</v>
      </c>
      <c r="G270" s="17" t="e">
        <f t="shared" si="4"/>
        <v>#VALUE!</v>
      </c>
      <c r="H270" s="141">
        <v>435</v>
      </c>
      <c r="I270" s="141">
        <v>0</v>
      </c>
      <c r="J270" s="149">
        <v>6</v>
      </c>
      <c r="K270" s="150">
        <v>90</v>
      </c>
    </row>
    <row r="271" spans="1:11" ht="30" customHeight="1">
      <c r="A271" s="31">
        <v>15470</v>
      </c>
      <c r="B271" s="16" t="s">
        <v>75</v>
      </c>
      <c r="C271" s="15" t="s">
        <v>3104</v>
      </c>
      <c r="D271" s="15" t="s">
        <v>151</v>
      </c>
      <c r="E271" s="15">
        <v>0.21</v>
      </c>
      <c r="F271" s="131">
        <v>14691.023346702252</v>
      </c>
      <c r="G271" s="17" t="e">
        <f t="shared" si="4"/>
        <v>#VALUE!</v>
      </c>
      <c r="H271" s="141">
        <v>304</v>
      </c>
      <c r="I271" s="141">
        <v>0</v>
      </c>
      <c r="J271" s="149">
        <v>6</v>
      </c>
      <c r="K271" s="150">
        <v>60</v>
      </c>
    </row>
    <row r="272" spans="1:11" ht="30" customHeight="1">
      <c r="A272" s="30">
        <v>15330</v>
      </c>
      <c r="B272" s="16" t="s">
        <v>75</v>
      </c>
      <c r="C272" s="15" t="s">
        <v>2535</v>
      </c>
      <c r="D272" s="15" t="s">
        <v>152</v>
      </c>
      <c r="E272" s="15">
        <v>0.21</v>
      </c>
      <c r="F272" s="131">
        <v>14516.232349614975</v>
      </c>
      <c r="G272" s="17" t="e">
        <f t="shared" si="4"/>
        <v>#VALUE!</v>
      </c>
      <c r="H272" s="141">
        <v>36</v>
      </c>
      <c r="I272" s="141">
        <v>0</v>
      </c>
      <c r="J272" s="149" t="e">
        <v>#N/A</v>
      </c>
      <c r="K272" s="150" t="e">
        <v>#N/A</v>
      </c>
    </row>
    <row r="273" spans="1:11" ht="30" customHeight="1">
      <c r="A273" s="31">
        <v>15471</v>
      </c>
      <c r="B273" s="16" t="s">
        <v>75</v>
      </c>
      <c r="C273" s="15" t="s">
        <v>3105</v>
      </c>
      <c r="D273" s="15" t="s">
        <v>152</v>
      </c>
      <c r="E273" s="15">
        <v>0.21</v>
      </c>
      <c r="F273" s="131">
        <v>15677.530937584166</v>
      </c>
      <c r="G273" s="17" t="e">
        <f t="shared" si="4"/>
        <v>#VALUE!</v>
      </c>
      <c r="H273" s="141">
        <v>408</v>
      </c>
      <c r="I273" s="141">
        <v>0</v>
      </c>
      <c r="J273" s="149">
        <v>6</v>
      </c>
      <c r="K273" s="150">
        <v>60</v>
      </c>
    </row>
    <row r="274" spans="1:11" ht="30" customHeight="1">
      <c r="A274" s="31">
        <v>15472</v>
      </c>
      <c r="B274" s="16" t="s">
        <v>75</v>
      </c>
      <c r="C274" s="15" t="s">
        <v>3106</v>
      </c>
      <c r="D274" s="15" t="s">
        <v>167</v>
      </c>
      <c r="E274" s="15">
        <v>0.21</v>
      </c>
      <c r="F274" s="131">
        <v>21320.211848961924</v>
      </c>
      <c r="G274" s="17" t="e">
        <f t="shared" si="4"/>
        <v>#VALUE!</v>
      </c>
      <c r="H274" s="141">
        <v>160</v>
      </c>
      <c r="I274" s="141">
        <v>0</v>
      </c>
      <c r="J274" s="149">
        <v>8</v>
      </c>
      <c r="K274" s="150">
        <v>48</v>
      </c>
    </row>
    <row r="275" spans="1:11" ht="30" customHeight="1">
      <c r="A275" s="30">
        <v>15333</v>
      </c>
      <c r="B275" s="16" t="s">
        <v>75</v>
      </c>
      <c r="C275" s="15" t="s">
        <v>2536</v>
      </c>
      <c r="D275" s="15" t="s">
        <v>62</v>
      </c>
      <c r="E275" s="15">
        <v>0.21</v>
      </c>
      <c r="F275" s="131">
        <v>25471.940823949531</v>
      </c>
      <c r="G275" s="17" t="e">
        <f t="shared" si="4"/>
        <v>#VALUE!</v>
      </c>
      <c r="H275" s="141">
        <v>9</v>
      </c>
      <c r="I275" s="141">
        <v>0</v>
      </c>
      <c r="J275" s="149" t="e">
        <v>#N/A</v>
      </c>
      <c r="K275" s="150" t="e">
        <v>#N/A</v>
      </c>
    </row>
    <row r="276" spans="1:11" ht="30" customHeight="1">
      <c r="A276" s="31">
        <v>15473</v>
      </c>
      <c r="B276" s="16" t="s">
        <v>75</v>
      </c>
      <c r="C276" s="15" t="s">
        <v>3107</v>
      </c>
      <c r="D276" s="15" t="s">
        <v>62</v>
      </c>
      <c r="E276" s="15">
        <v>0.21</v>
      </c>
      <c r="F276" s="131">
        <v>27509.6599392483</v>
      </c>
      <c r="G276" s="17" t="e">
        <f t="shared" si="4"/>
        <v>#VALUE!</v>
      </c>
      <c r="H276" s="141">
        <v>341</v>
      </c>
      <c r="I276" s="141">
        <v>0</v>
      </c>
      <c r="J276" s="149">
        <v>8</v>
      </c>
      <c r="K276" s="150">
        <v>48</v>
      </c>
    </row>
    <row r="277" spans="1:11" ht="30" customHeight="1">
      <c r="A277" s="30">
        <v>15335</v>
      </c>
      <c r="B277" s="16" t="s">
        <v>75</v>
      </c>
      <c r="C277" s="15" t="s">
        <v>2548</v>
      </c>
      <c r="D277" s="15" t="s">
        <v>726</v>
      </c>
      <c r="E277" s="15">
        <v>0.21</v>
      </c>
      <c r="F277" s="131">
        <v>27205.706829488085</v>
      </c>
      <c r="G277" s="17" t="e">
        <f t="shared" si="4"/>
        <v>#VALUE!</v>
      </c>
      <c r="H277" s="141">
        <v>7</v>
      </c>
      <c r="I277" s="141">
        <v>0</v>
      </c>
      <c r="J277" s="149" t="e">
        <v>#N/A</v>
      </c>
      <c r="K277" s="150" t="e">
        <v>#N/A</v>
      </c>
    </row>
    <row r="278" spans="1:11" ht="30" customHeight="1">
      <c r="A278" s="31">
        <v>15474</v>
      </c>
      <c r="B278" s="16" t="s">
        <v>75</v>
      </c>
      <c r="C278" s="15" t="s">
        <v>3108</v>
      </c>
      <c r="D278" s="15" t="s">
        <v>726</v>
      </c>
      <c r="E278" s="15">
        <v>0.21</v>
      </c>
      <c r="F278" s="131">
        <v>29382.192110207387</v>
      </c>
      <c r="G278" s="17" t="e">
        <f t="shared" si="4"/>
        <v>#VALUE!</v>
      </c>
      <c r="H278" s="141">
        <v>117</v>
      </c>
      <c r="I278" s="141">
        <v>48</v>
      </c>
      <c r="J278" s="149">
        <v>8</v>
      </c>
      <c r="K278" s="150">
        <v>48</v>
      </c>
    </row>
    <row r="279" spans="1:11" ht="30" customHeight="1">
      <c r="A279" s="30">
        <v>15337</v>
      </c>
      <c r="B279" s="16" t="s">
        <v>75</v>
      </c>
      <c r="C279" s="15" t="s">
        <v>2549</v>
      </c>
      <c r="D279" s="15" t="s">
        <v>168</v>
      </c>
      <c r="E279" s="15">
        <v>0.21</v>
      </c>
      <c r="F279" s="131">
        <v>29428.361945128538</v>
      </c>
      <c r="G279" s="17" t="e">
        <f t="shared" si="4"/>
        <v>#VALUE!</v>
      </c>
      <c r="H279" s="141">
        <v>0</v>
      </c>
      <c r="I279" s="141">
        <v>0</v>
      </c>
      <c r="J279" s="149" t="e">
        <v>#N/A</v>
      </c>
      <c r="K279" s="150" t="e">
        <v>#N/A</v>
      </c>
    </row>
    <row r="280" spans="1:11" ht="30" customHeight="1">
      <c r="A280" s="31">
        <v>15475</v>
      </c>
      <c r="B280" s="16" t="s">
        <v>75</v>
      </c>
      <c r="C280" s="15" t="s">
        <v>3109</v>
      </c>
      <c r="D280" s="15" t="s">
        <v>168</v>
      </c>
      <c r="E280" s="15">
        <v>0.21</v>
      </c>
      <c r="F280" s="131">
        <v>31782.659984099395</v>
      </c>
      <c r="G280" s="17" t="e">
        <f t="shared" si="4"/>
        <v>#VALUE!</v>
      </c>
      <c r="H280" s="141">
        <v>90</v>
      </c>
      <c r="I280" s="141">
        <v>90</v>
      </c>
      <c r="J280" s="149">
        <v>6</v>
      </c>
      <c r="K280" s="150">
        <v>30</v>
      </c>
    </row>
    <row r="281" spans="1:11" ht="30" customHeight="1">
      <c r="A281" s="30">
        <v>15339</v>
      </c>
      <c r="B281" s="16" t="s">
        <v>75</v>
      </c>
      <c r="C281" s="15" t="s">
        <v>2550</v>
      </c>
      <c r="D281" s="15" t="s">
        <v>170</v>
      </c>
      <c r="E281" s="15">
        <v>0.21</v>
      </c>
      <c r="F281" s="131">
        <v>37841.882237799611</v>
      </c>
      <c r="G281" s="17" t="e">
        <f t="shared" si="4"/>
        <v>#VALUE!</v>
      </c>
      <c r="H281" s="141">
        <v>19</v>
      </c>
      <c r="I281" s="141">
        <v>0</v>
      </c>
      <c r="J281" s="149" t="e">
        <v>#N/A</v>
      </c>
      <c r="K281" s="150" t="e">
        <v>#N/A</v>
      </c>
    </row>
    <row r="282" spans="1:11" ht="30" customHeight="1">
      <c r="A282" s="31">
        <v>15476</v>
      </c>
      <c r="B282" s="16" t="s">
        <v>75</v>
      </c>
      <c r="C282" s="15" t="s">
        <v>3110</v>
      </c>
      <c r="D282" s="15" t="s">
        <v>170</v>
      </c>
      <c r="E282" s="15">
        <v>0.21</v>
      </c>
      <c r="F282" s="131">
        <v>40869.247038586902</v>
      </c>
      <c r="G282" s="17" t="e">
        <f t="shared" si="4"/>
        <v>#VALUE!</v>
      </c>
      <c r="H282" s="141">
        <v>81</v>
      </c>
      <c r="I282" s="141">
        <v>60</v>
      </c>
      <c r="J282" s="149">
        <v>6</v>
      </c>
      <c r="K282" s="150">
        <v>30</v>
      </c>
    </row>
    <row r="283" spans="1:11" ht="30" customHeight="1">
      <c r="A283" s="31">
        <v>15477</v>
      </c>
      <c r="B283" s="16" t="s">
        <v>75</v>
      </c>
      <c r="C283" s="15" t="s">
        <v>2551</v>
      </c>
      <c r="D283" s="15" t="s">
        <v>727</v>
      </c>
      <c r="E283" s="15">
        <v>0.21</v>
      </c>
      <c r="F283" s="131">
        <v>88017.364281819086</v>
      </c>
      <c r="G283" s="17" t="e">
        <f t="shared" si="4"/>
        <v>#VALUE!</v>
      </c>
      <c r="H283" s="141">
        <v>53</v>
      </c>
      <c r="I283" s="141">
        <v>20</v>
      </c>
      <c r="J283" s="149">
        <v>5</v>
      </c>
      <c r="K283" s="150">
        <v>20</v>
      </c>
    </row>
    <row r="284" spans="1:11" ht="30" customHeight="1">
      <c r="A284" s="31">
        <v>15478</v>
      </c>
      <c r="B284" s="16" t="s">
        <v>75</v>
      </c>
      <c r="C284" s="15" t="s">
        <v>2552</v>
      </c>
      <c r="D284" s="15" t="s">
        <v>728</v>
      </c>
      <c r="E284" s="15">
        <v>0.21</v>
      </c>
      <c r="F284" s="131">
        <v>89326.675653454964</v>
      </c>
      <c r="G284" s="17" t="e">
        <f t="shared" si="4"/>
        <v>#VALUE!</v>
      </c>
      <c r="H284" s="141">
        <v>132</v>
      </c>
      <c r="I284" s="141">
        <v>20</v>
      </c>
      <c r="J284" s="149">
        <v>5</v>
      </c>
      <c r="K284" s="150">
        <v>20</v>
      </c>
    </row>
    <row r="285" spans="1:11" ht="30" customHeight="1">
      <c r="A285" s="30">
        <v>15342</v>
      </c>
      <c r="B285" s="16" t="s">
        <v>75</v>
      </c>
      <c r="C285" s="15" t="s">
        <v>2553</v>
      </c>
      <c r="D285" s="15" t="s">
        <v>729</v>
      </c>
      <c r="E285" s="15">
        <v>0.21</v>
      </c>
      <c r="F285" s="131">
        <v>116795.81389613224</v>
      </c>
      <c r="G285" s="17" t="e">
        <f t="shared" si="4"/>
        <v>#VALUE!</v>
      </c>
      <c r="H285" s="141">
        <v>0</v>
      </c>
      <c r="I285" s="141">
        <v>0</v>
      </c>
      <c r="J285" s="149" t="e">
        <v>#N/A</v>
      </c>
      <c r="K285" s="150" t="e">
        <v>#N/A</v>
      </c>
    </row>
    <row r="286" spans="1:11" ht="30" customHeight="1">
      <c r="A286" s="31">
        <v>15479</v>
      </c>
      <c r="B286" s="16" t="s">
        <v>75</v>
      </c>
      <c r="C286" s="15" t="s">
        <v>3111</v>
      </c>
      <c r="D286" s="15" t="s">
        <v>729</v>
      </c>
      <c r="E286" s="15">
        <v>0.21</v>
      </c>
      <c r="F286" s="131">
        <v>126139.47900782281</v>
      </c>
      <c r="G286" s="17" t="e">
        <f t="shared" si="4"/>
        <v>#VALUE!</v>
      </c>
      <c r="H286" s="141">
        <v>40</v>
      </c>
      <c r="I286" s="141">
        <v>40</v>
      </c>
      <c r="J286" s="149">
        <v>5</v>
      </c>
      <c r="K286" s="150">
        <v>10</v>
      </c>
    </row>
    <row r="287" spans="1:11" ht="30" customHeight="1">
      <c r="A287" s="31">
        <v>15851</v>
      </c>
      <c r="B287" s="16" t="s">
        <v>75</v>
      </c>
      <c r="C287" s="15" t="s">
        <v>2072</v>
      </c>
      <c r="D287" s="15" t="s">
        <v>1832</v>
      </c>
      <c r="E287" s="15">
        <v>0.21</v>
      </c>
      <c r="F287" s="131">
        <v>4893.5257427347087</v>
      </c>
      <c r="G287" s="17" t="e">
        <f t="shared" si="4"/>
        <v>#VALUE!</v>
      </c>
      <c r="H287" s="141">
        <v>1122</v>
      </c>
      <c r="I287" s="141">
        <v>0</v>
      </c>
      <c r="J287" s="149">
        <v>12</v>
      </c>
      <c r="K287" s="150">
        <v>240</v>
      </c>
    </row>
    <row r="288" spans="1:11" ht="30" customHeight="1">
      <c r="A288" s="31">
        <v>15852</v>
      </c>
      <c r="B288" s="16" t="s">
        <v>75</v>
      </c>
      <c r="C288" s="15" t="s">
        <v>2073</v>
      </c>
      <c r="D288" s="15" t="s">
        <v>172</v>
      </c>
      <c r="E288" s="15">
        <v>0.21</v>
      </c>
      <c r="F288" s="131">
        <v>5422.5555527600836</v>
      </c>
      <c r="G288" s="17" t="e">
        <f t="shared" si="4"/>
        <v>#VALUE!</v>
      </c>
      <c r="H288" s="141">
        <v>1045</v>
      </c>
      <c r="I288" s="141">
        <v>0</v>
      </c>
      <c r="J288" s="149">
        <v>12</v>
      </c>
      <c r="K288" s="150">
        <v>240</v>
      </c>
    </row>
    <row r="289" spans="1:11" ht="30" customHeight="1">
      <c r="A289" s="31">
        <v>15853</v>
      </c>
      <c r="B289" s="16" t="s">
        <v>75</v>
      </c>
      <c r="C289" s="15" t="s">
        <v>2074</v>
      </c>
      <c r="D289" s="15" t="s">
        <v>173</v>
      </c>
      <c r="E289" s="15">
        <v>0.21</v>
      </c>
      <c r="F289" s="131">
        <v>5819.3279102791175</v>
      </c>
      <c r="G289" s="17" t="e">
        <f t="shared" si="4"/>
        <v>#VALUE!</v>
      </c>
      <c r="H289" s="141">
        <v>1242</v>
      </c>
      <c r="I289" s="141">
        <v>0</v>
      </c>
      <c r="J289" s="149">
        <v>12</v>
      </c>
      <c r="K289" s="150">
        <v>240</v>
      </c>
    </row>
    <row r="290" spans="1:11" ht="30" customHeight="1">
      <c r="A290" s="31">
        <v>15854</v>
      </c>
      <c r="B290" s="16" t="s">
        <v>75</v>
      </c>
      <c r="C290" s="15" t="s">
        <v>2075</v>
      </c>
      <c r="D290" s="15" t="s">
        <v>174</v>
      </c>
      <c r="E290" s="15">
        <v>0.21</v>
      </c>
      <c r="F290" s="131">
        <v>6216.100267798146</v>
      </c>
      <c r="G290" s="17" t="e">
        <f t="shared" si="4"/>
        <v>#VALUE!</v>
      </c>
      <c r="H290" s="141">
        <v>1264</v>
      </c>
      <c r="I290" s="141">
        <v>0</v>
      </c>
      <c r="J290" s="149">
        <v>12</v>
      </c>
      <c r="K290" s="150">
        <v>240</v>
      </c>
    </row>
    <row r="291" spans="1:11" ht="30" customHeight="1">
      <c r="A291" s="31">
        <v>15855</v>
      </c>
      <c r="B291" s="16" t="s">
        <v>75</v>
      </c>
      <c r="C291" s="15" t="s">
        <v>2076</v>
      </c>
      <c r="D291" s="15" t="s">
        <v>175</v>
      </c>
      <c r="E291" s="15">
        <v>0.21</v>
      </c>
      <c r="F291" s="131">
        <v>7803.1896978742652</v>
      </c>
      <c r="G291" s="17" t="e">
        <f t="shared" si="4"/>
        <v>#VALUE!</v>
      </c>
      <c r="H291" s="141">
        <v>412</v>
      </c>
      <c r="I291" s="141">
        <v>0</v>
      </c>
      <c r="J291" s="149">
        <v>12</v>
      </c>
      <c r="K291" s="150">
        <v>120</v>
      </c>
    </row>
    <row r="292" spans="1:11" ht="30" customHeight="1">
      <c r="A292" s="31">
        <v>15856</v>
      </c>
      <c r="B292" s="16" t="s">
        <v>75</v>
      </c>
      <c r="C292" s="15" t="s">
        <v>2077</v>
      </c>
      <c r="D292" s="15" t="s">
        <v>1833</v>
      </c>
      <c r="E292" s="15">
        <v>0.21</v>
      </c>
      <c r="F292" s="131">
        <v>8861.2493179250123</v>
      </c>
      <c r="G292" s="17" t="e">
        <f t="shared" si="4"/>
        <v>#VALUE!</v>
      </c>
      <c r="H292" s="141">
        <v>625</v>
      </c>
      <c r="I292" s="141">
        <v>0</v>
      </c>
      <c r="J292" s="149">
        <v>12</v>
      </c>
      <c r="K292" s="150">
        <v>120</v>
      </c>
    </row>
    <row r="293" spans="1:11" ht="30" customHeight="1">
      <c r="A293" s="31">
        <v>15857</v>
      </c>
      <c r="B293" s="16" t="s">
        <v>75</v>
      </c>
      <c r="C293" s="15" t="s">
        <v>2078</v>
      </c>
      <c r="D293" s="15" t="s">
        <v>1834</v>
      </c>
      <c r="E293" s="15">
        <v>0.21</v>
      </c>
      <c r="F293" s="131">
        <v>10183.823842988455</v>
      </c>
      <c r="G293" s="17" t="e">
        <f t="shared" si="4"/>
        <v>#VALUE!</v>
      </c>
      <c r="H293" s="141">
        <v>165</v>
      </c>
      <c r="I293" s="141">
        <v>0</v>
      </c>
      <c r="J293" s="149">
        <v>6</v>
      </c>
      <c r="K293" s="150">
        <v>60</v>
      </c>
    </row>
    <row r="294" spans="1:11" ht="30" customHeight="1">
      <c r="A294" s="31">
        <v>15858</v>
      </c>
      <c r="B294" s="16" t="s">
        <v>75</v>
      </c>
      <c r="C294" s="15" t="s">
        <v>2079</v>
      </c>
      <c r="D294" s="15" t="s">
        <v>1835</v>
      </c>
      <c r="E294" s="15">
        <v>0.21</v>
      </c>
      <c r="F294" s="131">
        <v>12299.943083089944</v>
      </c>
      <c r="G294" s="17" t="e">
        <f t="shared" si="4"/>
        <v>#VALUE!</v>
      </c>
      <c r="H294" s="141">
        <v>250</v>
      </c>
      <c r="I294" s="141">
        <v>0</v>
      </c>
      <c r="J294" s="149">
        <v>6</v>
      </c>
      <c r="K294" s="150">
        <v>60</v>
      </c>
    </row>
    <row r="295" spans="1:11" ht="30" customHeight="1">
      <c r="A295" s="31">
        <v>15859</v>
      </c>
      <c r="B295" s="16" t="s">
        <v>75</v>
      </c>
      <c r="C295" s="15" t="s">
        <v>2080</v>
      </c>
      <c r="D295" s="15" t="s">
        <v>1836</v>
      </c>
      <c r="E295" s="15">
        <v>0.21</v>
      </c>
      <c r="F295" s="131">
        <v>14680.577228204131</v>
      </c>
      <c r="G295" s="17" t="e">
        <f t="shared" si="4"/>
        <v>#VALUE!</v>
      </c>
      <c r="H295" s="141">
        <v>338</v>
      </c>
      <c r="I295" s="141">
        <v>0</v>
      </c>
      <c r="J295" s="149">
        <v>6</v>
      </c>
      <c r="K295" s="150">
        <v>60</v>
      </c>
    </row>
    <row r="296" spans="1:11" ht="30" customHeight="1">
      <c r="A296" s="31">
        <v>15860</v>
      </c>
      <c r="B296" s="16" t="s">
        <v>75</v>
      </c>
      <c r="C296" s="15" t="s">
        <v>2081</v>
      </c>
      <c r="D296" s="15" t="s">
        <v>1837</v>
      </c>
      <c r="E296" s="15">
        <v>0.21</v>
      </c>
      <c r="F296" s="131">
        <v>19838.617875951528</v>
      </c>
      <c r="G296" s="17" t="e">
        <f t="shared" si="4"/>
        <v>#VALUE!</v>
      </c>
      <c r="H296" s="141">
        <v>156</v>
      </c>
      <c r="I296" s="141">
        <v>0</v>
      </c>
      <c r="J296" s="149">
        <v>6</v>
      </c>
      <c r="K296" s="150">
        <v>30</v>
      </c>
    </row>
    <row r="297" spans="1:11" ht="30" customHeight="1">
      <c r="A297" s="31">
        <v>15861</v>
      </c>
      <c r="B297" s="16" t="s">
        <v>75</v>
      </c>
      <c r="C297" s="15" t="s">
        <v>2082</v>
      </c>
      <c r="D297" s="15" t="s">
        <v>1838</v>
      </c>
      <c r="E297" s="15">
        <v>0.21</v>
      </c>
      <c r="F297" s="131">
        <v>24467.628713673555</v>
      </c>
      <c r="G297" s="17" t="e">
        <f t="shared" si="4"/>
        <v>#VALUE!</v>
      </c>
      <c r="H297" s="141">
        <v>166</v>
      </c>
      <c r="I297" s="141">
        <v>0</v>
      </c>
      <c r="J297" s="149">
        <v>6</v>
      </c>
      <c r="K297" s="150">
        <v>30</v>
      </c>
    </row>
    <row r="298" spans="1:11" ht="30" customHeight="1">
      <c r="A298" s="31">
        <v>15862</v>
      </c>
      <c r="B298" s="16" t="s">
        <v>75</v>
      </c>
      <c r="C298" s="15" t="s">
        <v>2083</v>
      </c>
      <c r="D298" s="15" t="s">
        <v>1839</v>
      </c>
      <c r="E298" s="15">
        <v>0.21</v>
      </c>
      <c r="F298" s="131">
        <v>27641.807573825794</v>
      </c>
      <c r="G298" s="17" t="e">
        <f t="shared" si="4"/>
        <v>#VALUE!</v>
      </c>
      <c r="H298" s="141">
        <v>149</v>
      </c>
      <c r="I298" s="141">
        <v>0</v>
      </c>
      <c r="J298" s="149">
        <v>6</v>
      </c>
      <c r="K298" s="150">
        <v>30</v>
      </c>
    </row>
    <row r="299" spans="1:11" ht="30" customHeight="1">
      <c r="A299" s="31">
        <v>15871</v>
      </c>
      <c r="B299" s="16" t="s">
        <v>75</v>
      </c>
      <c r="C299" s="15" t="s">
        <v>2029</v>
      </c>
      <c r="D299" s="15" t="s">
        <v>2030</v>
      </c>
      <c r="E299" s="15">
        <v>0.21</v>
      </c>
      <c r="F299" s="131">
        <v>5687.345413098491</v>
      </c>
      <c r="G299" s="17" t="e">
        <f t="shared" si="4"/>
        <v>#VALUE!</v>
      </c>
      <c r="H299" s="141">
        <v>198</v>
      </c>
      <c r="I299" s="141">
        <v>0</v>
      </c>
      <c r="J299" s="149">
        <v>12</v>
      </c>
      <c r="K299" s="150">
        <v>240</v>
      </c>
    </row>
    <row r="300" spans="1:11" ht="30" customHeight="1">
      <c r="A300" s="31">
        <v>15872</v>
      </c>
      <c r="B300" s="16" t="s">
        <v>75</v>
      </c>
      <c r="C300" s="15" t="s">
        <v>2029</v>
      </c>
      <c r="D300" s="15" t="s">
        <v>172</v>
      </c>
      <c r="E300" s="15">
        <v>0.21</v>
      </c>
      <c r="F300" s="131">
        <v>6480.8768278192138</v>
      </c>
      <c r="G300" s="17" t="e">
        <f t="shared" si="4"/>
        <v>#VALUE!</v>
      </c>
      <c r="H300" s="141">
        <v>176</v>
      </c>
      <c r="I300" s="141">
        <v>0</v>
      </c>
      <c r="J300" s="149">
        <v>12</v>
      </c>
      <c r="K300" s="150">
        <v>240</v>
      </c>
    </row>
    <row r="301" spans="1:11" ht="30" customHeight="1">
      <c r="A301" s="31">
        <v>15873</v>
      </c>
      <c r="B301" s="16" t="s">
        <v>75</v>
      </c>
      <c r="C301" s="15" t="s">
        <v>2029</v>
      </c>
      <c r="D301" s="15" t="s">
        <v>173</v>
      </c>
      <c r="E301" s="15">
        <v>0.21</v>
      </c>
      <c r="F301" s="131">
        <v>7274.475565133871</v>
      </c>
      <c r="G301" s="17" t="e">
        <f t="shared" si="4"/>
        <v>#VALUE!</v>
      </c>
      <c r="H301" s="141">
        <v>93</v>
      </c>
      <c r="I301" s="141">
        <v>0</v>
      </c>
      <c r="J301" s="149">
        <v>12</v>
      </c>
      <c r="K301" s="150">
        <v>180</v>
      </c>
    </row>
    <row r="302" spans="1:11" ht="30" customHeight="1">
      <c r="A302" s="31">
        <v>15874</v>
      </c>
      <c r="B302" s="16" t="s">
        <v>75</v>
      </c>
      <c r="C302" s="15" t="s">
        <v>2029</v>
      </c>
      <c r="D302" s="15" t="s">
        <v>174</v>
      </c>
      <c r="E302" s="15">
        <v>0.21</v>
      </c>
      <c r="F302" s="131">
        <v>7935.7854053647761</v>
      </c>
      <c r="G302" s="17" t="e">
        <f t="shared" si="4"/>
        <v>#VALUE!</v>
      </c>
      <c r="H302" s="141">
        <v>84</v>
      </c>
      <c r="I302" s="141">
        <v>0</v>
      </c>
      <c r="J302" s="149">
        <v>12</v>
      </c>
      <c r="K302" s="150">
        <v>180</v>
      </c>
    </row>
    <row r="303" spans="1:11" ht="30" customHeight="1">
      <c r="A303" s="31">
        <v>15875</v>
      </c>
      <c r="B303" s="16" t="s">
        <v>75</v>
      </c>
      <c r="C303" s="15" t="s">
        <v>2029</v>
      </c>
      <c r="D303" s="15" t="s">
        <v>175</v>
      </c>
      <c r="E303" s="15">
        <v>0.21</v>
      </c>
      <c r="F303" s="131">
        <v>10052.00382314124</v>
      </c>
      <c r="G303" s="17" t="e">
        <f t="shared" si="4"/>
        <v>#VALUE!</v>
      </c>
      <c r="H303" s="141">
        <v>41</v>
      </c>
      <c r="I303" s="141">
        <v>0</v>
      </c>
      <c r="J303" s="149">
        <v>12</v>
      </c>
      <c r="K303" s="150">
        <v>120</v>
      </c>
    </row>
    <row r="304" spans="1:11" ht="30" customHeight="1">
      <c r="A304" s="31">
        <v>15876</v>
      </c>
      <c r="B304" s="16" t="s">
        <v>75</v>
      </c>
      <c r="C304" s="15" t="s">
        <v>2029</v>
      </c>
      <c r="D304" s="15" t="s">
        <v>1833</v>
      </c>
      <c r="E304" s="15">
        <v>0.21</v>
      </c>
      <c r="F304" s="131">
        <v>11771.422872260373</v>
      </c>
      <c r="G304" s="17" t="e">
        <f t="shared" si="4"/>
        <v>#VALUE!</v>
      </c>
      <c r="H304" s="141">
        <v>52</v>
      </c>
      <c r="I304" s="141">
        <v>0</v>
      </c>
      <c r="J304" s="149">
        <v>12</v>
      </c>
      <c r="K304" s="150">
        <v>120</v>
      </c>
    </row>
    <row r="305" spans="1:11" ht="30" customHeight="1">
      <c r="A305" s="31">
        <v>15877</v>
      </c>
      <c r="B305" s="16" t="s">
        <v>75</v>
      </c>
      <c r="C305" s="15" t="s">
        <v>2029</v>
      </c>
      <c r="D305" s="15" t="s">
        <v>1834</v>
      </c>
      <c r="E305" s="15">
        <v>0.21</v>
      </c>
      <c r="F305" s="131">
        <v>13623.130818463269</v>
      </c>
      <c r="G305" s="17" t="e">
        <f t="shared" si="4"/>
        <v>#VALUE!</v>
      </c>
      <c r="H305" s="141">
        <v>10</v>
      </c>
      <c r="I305" s="141">
        <v>0</v>
      </c>
      <c r="J305" s="149">
        <v>6</v>
      </c>
      <c r="K305" s="150">
        <v>60</v>
      </c>
    </row>
    <row r="306" spans="1:11" ht="30" customHeight="1">
      <c r="A306" s="31">
        <v>15878</v>
      </c>
      <c r="B306" s="16" t="s">
        <v>75</v>
      </c>
      <c r="C306" s="15" t="s">
        <v>2029</v>
      </c>
      <c r="D306" s="15" t="s">
        <v>1835</v>
      </c>
      <c r="E306" s="15">
        <v>0.21</v>
      </c>
      <c r="F306" s="131">
        <v>15871.570810729552</v>
      </c>
      <c r="G306" s="17" t="e">
        <f t="shared" si="4"/>
        <v>#VALUE!</v>
      </c>
      <c r="H306" s="141">
        <v>22</v>
      </c>
      <c r="I306" s="141">
        <v>0</v>
      </c>
      <c r="J306" s="149">
        <v>6</v>
      </c>
      <c r="K306" s="150">
        <v>60</v>
      </c>
    </row>
    <row r="307" spans="1:11" ht="30" customHeight="1">
      <c r="A307" s="31">
        <v>15879</v>
      </c>
      <c r="B307" s="16" t="s">
        <v>75</v>
      </c>
      <c r="C307" s="15" t="s">
        <v>2029</v>
      </c>
      <c r="D307" s="15" t="s">
        <v>1836</v>
      </c>
      <c r="E307" s="15">
        <v>0.21</v>
      </c>
      <c r="F307" s="131">
        <v>18913.609540310503</v>
      </c>
      <c r="G307" s="17" t="e">
        <f t="shared" si="4"/>
        <v>#VALUE!</v>
      </c>
      <c r="H307" s="141">
        <v>26</v>
      </c>
      <c r="I307" s="141">
        <v>0</v>
      </c>
      <c r="J307" s="149">
        <v>6</v>
      </c>
      <c r="K307" s="150">
        <v>60</v>
      </c>
    </row>
    <row r="308" spans="1:11" ht="30" customHeight="1">
      <c r="A308" s="31">
        <v>15880</v>
      </c>
      <c r="B308" s="16" t="s">
        <v>75</v>
      </c>
      <c r="C308" s="15" t="s">
        <v>4201</v>
      </c>
      <c r="D308" s="15" t="s">
        <v>1837</v>
      </c>
      <c r="E308" s="15">
        <v>0.21</v>
      </c>
      <c r="F308" s="131">
        <v>25141.906800000001</v>
      </c>
      <c r="G308" s="17" t="e">
        <f t="shared" si="4"/>
        <v>#VALUE!</v>
      </c>
      <c r="H308" s="141">
        <v>21</v>
      </c>
      <c r="I308" s="141">
        <v>0</v>
      </c>
      <c r="J308" s="149">
        <v>6</v>
      </c>
      <c r="K308" s="150">
        <v>30</v>
      </c>
    </row>
    <row r="309" spans="1:11" ht="30" customHeight="1">
      <c r="A309" s="31">
        <v>15881</v>
      </c>
      <c r="B309" s="16" t="s">
        <v>75</v>
      </c>
      <c r="C309" s="15" t="s">
        <v>2029</v>
      </c>
      <c r="D309" s="15" t="s">
        <v>1838</v>
      </c>
      <c r="E309" s="15">
        <v>0.21</v>
      </c>
      <c r="F309" s="131">
        <v>32007.719415626616</v>
      </c>
      <c r="G309" s="17" t="e">
        <f t="shared" si="4"/>
        <v>#VALUE!</v>
      </c>
      <c r="H309" s="141">
        <v>10</v>
      </c>
      <c r="I309" s="141">
        <v>0</v>
      </c>
      <c r="J309" s="149">
        <v>6</v>
      </c>
      <c r="K309" s="150">
        <v>30</v>
      </c>
    </row>
    <row r="310" spans="1:11" ht="30" customHeight="1">
      <c r="A310" s="31">
        <v>15882</v>
      </c>
      <c r="B310" s="16" t="s">
        <v>75</v>
      </c>
      <c r="C310" s="15" t="s">
        <v>2029</v>
      </c>
      <c r="D310" s="15" t="s">
        <v>1839</v>
      </c>
      <c r="E310" s="15">
        <v>0.21</v>
      </c>
      <c r="F310" s="131">
        <v>37165.976562984026</v>
      </c>
      <c r="G310" s="17" t="e">
        <f t="shared" si="4"/>
        <v>#VALUE!</v>
      </c>
      <c r="H310" s="141">
        <v>16</v>
      </c>
      <c r="I310" s="141">
        <v>0</v>
      </c>
      <c r="J310" s="149">
        <v>6</v>
      </c>
      <c r="K310" s="150">
        <v>30</v>
      </c>
    </row>
    <row r="311" spans="1:11" ht="30" customHeight="1">
      <c r="A311" s="31">
        <v>15887</v>
      </c>
      <c r="B311" s="16" t="s">
        <v>75</v>
      </c>
      <c r="C311" s="15" t="s">
        <v>1927</v>
      </c>
      <c r="D311" s="15" t="s">
        <v>1842</v>
      </c>
      <c r="E311" s="15">
        <v>0.21</v>
      </c>
      <c r="F311" s="131">
        <v>58909.181959494184</v>
      </c>
      <c r="G311" s="17" t="e">
        <f t="shared" si="4"/>
        <v>#VALUE!</v>
      </c>
      <c r="H311" s="141">
        <v>1300</v>
      </c>
      <c r="I311" s="141">
        <v>120</v>
      </c>
      <c r="J311" s="149">
        <v>6</v>
      </c>
      <c r="K311" s="150">
        <v>12</v>
      </c>
    </row>
    <row r="312" spans="1:11" ht="30" customHeight="1">
      <c r="A312" s="31">
        <v>15888</v>
      </c>
      <c r="B312" s="16" t="s">
        <v>75</v>
      </c>
      <c r="C312" s="15" t="s">
        <v>1926</v>
      </c>
      <c r="D312" s="15" t="s">
        <v>1840</v>
      </c>
      <c r="E312" s="15">
        <v>0.21</v>
      </c>
      <c r="F312" s="131">
        <v>93295.572242076712</v>
      </c>
      <c r="G312" s="17" t="e">
        <f t="shared" si="4"/>
        <v>#VALUE!</v>
      </c>
      <c r="H312" s="141">
        <v>975</v>
      </c>
      <c r="I312" s="141">
        <v>60</v>
      </c>
      <c r="J312" s="149">
        <v>6</v>
      </c>
      <c r="K312" s="150">
        <v>12</v>
      </c>
    </row>
    <row r="313" spans="1:11" ht="30" customHeight="1">
      <c r="A313" s="31">
        <v>15889</v>
      </c>
      <c r="B313" s="16" t="s">
        <v>75</v>
      </c>
      <c r="C313" s="15" t="s">
        <v>1928</v>
      </c>
      <c r="D313" s="15" t="s">
        <v>1843</v>
      </c>
      <c r="E313" s="15">
        <v>0.21</v>
      </c>
      <c r="F313" s="131">
        <v>203026.32335721047</v>
      </c>
      <c r="G313" s="17" t="e">
        <f t="shared" si="4"/>
        <v>#VALUE!</v>
      </c>
      <c r="H313" s="141">
        <v>120</v>
      </c>
      <c r="I313" s="141">
        <v>20</v>
      </c>
      <c r="J313" s="149">
        <v>0</v>
      </c>
      <c r="K313" s="150">
        <v>4</v>
      </c>
    </row>
    <row r="314" spans="1:11" ht="30" customHeight="1">
      <c r="A314" s="31">
        <v>15891</v>
      </c>
      <c r="B314" s="16" t="s">
        <v>75</v>
      </c>
      <c r="C314" s="15" t="s">
        <v>4202</v>
      </c>
      <c r="D314" s="15" t="s">
        <v>1841</v>
      </c>
      <c r="E314" s="15">
        <v>0.21</v>
      </c>
      <c r="F314" s="131">
        <v>70480.685576842181</v>
      </c>
      <c r="G314" s="17" t="e">
        <f t="shared" si="4"/>
        <v>#VALUE!</v>
      </c>
      <c r="H314" s="141">
        <v>37</v>
      </c>
      <c r="I314" s="141">
        <v>0</v>
      </c>
      <c r="J314" s="149">
        <v>6</v>
      </c>
      <c r="K314" s="150">
        <v>12</v>
      </c>
    </row>
    <row r="315" spans="1:11" ht="30" customHeight="1">
      <c r="A315" s="31">
        <v>15892</v>
      </c>
      <c r="B315" s="16" t="s">
        <v>75</v>
      </c>
      <c r="C315" s="15" t="s">
        <v>4203</v>
      </c>
      <c r="D315" s="15" t="s">
        <v>1844</v>
      </c>
      <c r="E315" s="15">
        <v>0.21</v>
      </c>
      <c r="F315" s="131">
        <v>157091.18748674757</v>
      </c>
      <c r="G315" s="17" t="e">
        <f t="shared" si="4"/>
        <v>#VALUE!</v>
      </c>
      <c r="H315" s="141">
        <v>20</v>
      </c>
      <c r="I315" s="141">
        <v>4</v>
      </c>
      <c r="J315" s="149">
        <v>0</v>
      </c>
      <c r="K315" s="150">
        <v>4</v>
      </c>
    </row>
    <row r="316" spans="1:11" ht="30" customHeight="1">
      <c r="A316" s="31">
        <v>15895</v>
      </c>
      <c r="B316" s="16" t="s">
        <v>75</v>
      </c>
      <c r="C316" s="15" t="s">
        <v>2085</v>
      </c>
      <c r="D316" s="15" t="s">
        <v>2031</v>
      </c>
      <c r="E316" s="15">
        <v>0.21</v>
      </c>
      <c r="F316" s="131">
        <v>86737.281933622595</v>
      </c>
      <c r="G316" s="17" t="e">
        <f t="shared" si="4"/>
        <v>#VALUE!</v>
      </c>
      <c r="H316" s="141">
        <v>18</v>
      </c>
      <c r="I316" s="141">
        <v>0</v>
      </c>
      <c r="J316" s="149">
        <v>0</v>
      </c>
      <c r="K316" s="150">
        <v>12</v>
      </c>
    </row>
    <row r="317" spans="1:11" ht="30" customHeight="1">
      <c r="A317" s="31">
        <v>15896</v>
      </c>
      <c r="B317" s="16" t="s">
        <v>75</v>
      </c>
      <c r="C317" s="15" t="s">
        <v>2209</v>
      </c>
      <c r="D317" s="15" t="s">
        <v>2210</v>
      </c>
      <c r="E317" s="15">
        <v>0.21</v>
      </c>
      <c r="F317" s="131">
        <v>196110.59342799999</v>
      </c>
      <c r="G317" s="17" t="e">
        <f t="shared" si="4"/>
        <v>#VALUE!</v>
      </c>
      <c r="H317" s="141">
        <v>36</v>
      </c>
      <c r="I317" s="141">
        <v>0</v>
      </c>
      <c r="J317" s="149">
        <v>0</v>
      </c>
      <c r="K317" s="150">
        <v>4</v>
      </c>
    </row>
    <row r="318" spans="1:11" ht="30" customHeight="1">
      <c r="A318" s="31">
        <v>15886</v>
      </c>
      <c r="B318" s="16" t="s">
        <v>75</v>
      </c>
      <c r="C318" s="15" t="s">
        <v>2084</v>
      </c>
      <c r="D318" s="15" t="s">
        <v>1845</v>
      </c>
      <c r="E318" s="15">
        <v>0.21</v>
      </c>
      <c r="F318" s="131">
        <v>40865.597000000002</v>
      </c>
      <c r="G318" s="17" t="e">
        <f t="shared" si="4"/>
        <v>#VALUE!</v>
      </c>
      <c r="H318" s="141">
        <v>577</v>
      </c>
      <c r="I318" s="141">
        <v>0</v>
      </c>
      <c r="J318" s="149">
        <v>12</v>
      </c>
      <c r="K318" s="150">
        <v>24</v>
      </c>
    </row>
    <row r="319" spans="1:11" ht="30" customHeight="1">
      <c r="A319" s="31">
        <v>15486</v>
      </c>
      <c r="B319" s="16" t="s">
        <v>75</v>
      </c>
      <c r="C319" s="15" t="s">
        <v>2068</v>
      </c>
      <c r="D319" s="15" t="s">
        <v>1846</v>
      </c>
      <c r="E319" s="15">
        <v>0.21</v>
      </c>
      <c r="F319" s="131">
        <v>73010.363457526822</v>
      </c>
      <c r="G319" s="17" t="e">
        <f t="shared" si="4"/>
        <v>#VALUE!</v>
      </c>
      <c r="H319" s="141">
        <v>177</v>
      </c>
      <c r="I319" s="141">
        <v>0</v>
      </c>
      <c r="J319" s="149">
        <v>6</v>
      </c>
      <c r="K319" s="150">
        <v>12</v>
      </c>
    </row>
    <row r="320" spans="1:11" ht="30" customHeight="1">
      <c r="A320" s="31">
        <v>15487</v>
      </c>
      <c r="B320" s="16" t="s">
        <v>75</v>
      </c>
      <c r="C320" s="15" t="s">
        <v>2069</v>
      </c>
      <c r="D320" s="15" t="s">
        <v>1847</v>
      </c>
      <c r="E320" s="15">
        <v>0.21</v>
      </c>
      <c r="F320" s="131">
        <v>130752.80250939663</v>
      </c>
      <c r="G320" s="17" t="e">
        <f t="shared" si="4"/>
        <v>#VALUE!</v>
      </c>
      <c r="H320" s="141">
        <v>254</v>
      </c>
      <c r="I320" s="141">
        <v>0</v>
      </c>
      <c r="J320" s="149">
        <v>5</v>
      </c>
      <c r="K320" s="150">
        <v>10</v>
      </c>
    </row>
    <row r="321" spans="1:11" ht="30" customHeight="1">
      <c r="A321" s="30">
        <v>17021</v>
      </c>
      <c r="B321" s="16" t="s">
        <v>75</v>
      </c>
      <c r="C321" s="15" t="s">
        <v>1931</v>
      </c>
      <c r="D321" s="15" t="s">
        <v>172</v>
      </c>
      <c r="E321" s="15">
        <v>0.21</v>
      </c>
      <c r="F321" s="131">
        <v>18055.692348380533</v>
      </c>
      <c r="G321" s="17" t="e">
        <f t="shared" si="4"/>
        <v>#VALUE!</v>
      </c>
      <c r="H321" s="141">
        <v>116</v>
      </c>
      <c r="I321" s="141">
        <v>0</v>
      </c>
      <c r="J321" s="149">
        <v>12</v>
      </c>
      <c r="K321" s="150">
        <v>96</v>
      </c>
    </row>
    <row r="322" spans="1:11" ht="30" customHeight="1">
      <c r="A322" s="30">
        <v>17022</v>
      </c>
      <c r="B322" s="16" t="s">
        <v>75</v>
      </c>
      <c r="C322" s="15" t="s">
        <v>1931</v>
      </c>
      <c r="D322" s="15" t="s">
        <v>173</v>
      </c>
      <c r="E322" s="15">
        <v>0.21</v>
      </c>
      <c r="F322" s="131">
        <v>20512.225313358129</v>
      </c>
      <c r="G322" s="17" t="e">
        <f t="shared" si="4"/>
        <v>#VALUE!</v>
      </c>
      <c r="H322" s="141">
        <v>69</v>
      </c>
      <c r="I322" s="141">
        <v>0</v>
      </c>
      <c r="J322" s="149">
        <v>12</v>
      </c>
      <c r="K322" s="150">
        <v>96</v>
      </c>
    </row>
    <row r="323" spans="1:11" ht="30" customHeight="1">
      <c r="A323" s="30">
        <v>17023</v>
      </c>
      <c r="B323" s="16" t="s">
        <v>75</v>
      </c>
      <c r="C323" s="15" t="s">
        <v>1931</v>
      </c>
      <c r="D323" s="15" t="s">
        <v>174</v>
      </c>
      <c r="E323" s="15">
        <v>0.21</v>
      </c>
      <c r="F323" s="131">
        <v>23582.954039506971</v>
      </c>
      <c r="G323" s="17" t="e">
        <f t="shared" si="4"/>
        <v>#VALUE!</v>
      </c>
      <c r="H323" s="141">
        <v>37</v>
      </c>
      <c r="I323" s="141">
        <v>0</v>
      </c>
      <c r="J323" s="149">
        <v>12</v>
      </c>
      <c r="K323" s="150">
        <v>72</v>
      </c>
    </row>
    <row r="324" spans="1:11" ht="30" customHeight="1">
      <c r="A324" s="30">
        <v>17024</v>
      </c>
      <c r="B324" s="16" t="s">
        <v>75</v>
      </c>
      <c r="C324" s="15" t="s">
        <v>1931</v>
      </c>
      <c r="D324" s="15" t="s">
        <v>175</v>
      </c>
      <c r="E324" s="15">
        <v>0.21</v>
      </c>
      <c r="F324" s="131">
        <v>26776.471901948586</v>
      </c>
      <c r="G324" s="17" t="e">
        <f t="shared" si="4"/>
        <v>#VALUE!</v>
      </c>
      <c r="H324" s="141">
        <v>59</v>
      </c>
      <c r="I324" s="141">
        <v>0</v>
      </c>
      <c r="J324" s="149">
        <v>6</v>
      </c>
      <c r="K324" s="150">
        <v>60</v>
      </c>
    </row>
    <row r="325" spans="1:11" ht="30" customHeight="1">
      <c r="A325" s="30">
        <v>17025</v>
      </c>
      <c r="B325" s="16" t="s">
        <v>75</v>
      </c>
      <c r="C325" s="15" t="s">
        <v>1931</v>
      </c>
      <c r="D325" s="15" t="s">
        <v>176</v>
      </c>
      <c r="E325" s="15">
        <v>0.21</v>
      </c>
      <c r="F325" s="131">
        <v>32303.733593075034</v>
      </c>
      <c r="G325" s="17" t="e">
        <f t="shared" si="4"/>
        <v>#VALUE!</v>
      </c>
      <c r="H325" s="141">
        <v>54</v>
      </c>
      <c r="I325" s="141">
        <v>0</v>
      </c>
      <c r="J325" s="149">
        <v>6</v>
      </c>
      <c r="K325" s="150">
        <v>48</v>
      </c>
    </row>
    <row r="326" spans="1:11" ht="30" customHeight="1">
      <c r="A326" s="30">
        <v>17026</v>
      </c>
      <c r="B326" s="16" t="s">
        <v>75</v>
      </c>
      <c r="C326" s="15" t="s">
        <v>1931</v>
      </c>
      <c r="D326" s="15" t="s">
        <v>177</v>
      </c>
      <c r="E326" s="15">
        <v>0.21</v>
      </c>
      <c r="F326" s="131">
        <v>36479.877145493061</v>
      </c>
      <c r="G326" s="17" t="e">
        <f t="shared" si="4"/>
        <v>#VALUE!</v>
      </c>
      <c r="H326" s="141">
        <v>46</v>
      </c>
      <c r="I326" s="141">
        <v>0</v>
      </c>
      <c r="J326" s="149">
        <v>6</v>
      </c>
      <c r="K326" s="150">
        <v>48</v>
      </c>
    </row>
    <row r="327" spans="1:11" ht="30" customHeight="1">
      <c r="A327" s="30">
        <v>15282</v>
      </c>
      <c r="B327" s="16" t="s">
        <v>75</v>
      </c>
      <c r="C327" s="15" t="s">
        <v>141</v>
      </c>
      <c r="D327" s="15" t="s">
        <v>142</v>
      </c>
      <c r="E327" s="15">
        <v>0.21</v>
      </c>
      <c r="F327" s="131">
        <v>26690.139663277103</v>
      </c>
      <c r="G327" s="17" t="e">
        <f t="shared" si="4"/>
        <v>#VALUE!</v>
      </c>
      <c r="H327" s="141">
        <v>312</v>
      </c>
      <c r="I327" s="141">
        <v>0</v>
      </c>
      <c r="J327" s="149">
        <v>6</v>
      </c>
      <c r="K327" s="150">
        <v>24</v>
      </c>
    </row>
    <row r="328" spans="1:11" ht="30" customHeight="1">
      <c r="A328" s="30">
        <v>15079</v>
      </c>
      <c r="B328" s="16" t="s">
        <v>75</v>
      </c>
      <c r="C328" s="15" t="s">
        <v>1929</v>
      </c>
      <c r="D328" s="15" t="s">
        <v>78</v>
      </c>
      <c r="E328" s="15">
        <v>0.21</v>
      </c>
      <c r="F328" s="131">
        <v>35971.042760000004</v>
      </c>
      <c r="G328" s="17" t="e">
        <f t="shared" ref="G328:G391" si="5">(F328*$G$6)</f>
        <v>#VALUE!</v>
      </c>
      <c r="H328" s="141">
        <v>966</v>
      </c>
      <c r="I328" s="141">
        <v>120</v>
      </c>
      <c r="J328" s="149">
        <v>0</v>
      </c>
      <c r="K328" s="150">
        <v>12</v>
      </c>
    </row>
    <row r="329" spans="1:11" ht="30" customHeight="1">
      <c r="A329" s="30">
        <v>15087</v>
      </c>
      <c r="B329" s="16" t="s">
        <v>75</v>
      </c>
      <c r="C329" s="15" t="s">
        <v>79</v>
      </c>
      <c r="D329" s="15" t="s">
        <v>80</v>
      </c>
      <c r="E329" s="15">
        <v>0.21</v>
      </c>
      <c r="F329" s="131">
        <v>11287.979325207736</v>
      </c>
      <c r="G329" s="17" t="e">
        <f t="shared" si="5"/>
        <v>#VALUE!</v>
      </c>
      <c r="H329" s="141">
        <v>62</v>
      </c>
      <c r="I329" s="141">
        <v>0</v>
      </c>
      <c r="J329" s="149">
        <v>10</v>
      </c>
      <c r="K329" s="150">
        <v>120</v>
      </c>
    </row>
    <row r="330" spans="1:11" ht="30" customHeight="1">
      <c r="A330" s="30">
        <v>15089</v>
      </c>
      <c r="B330" s="16" t="s">
        <v>75</v>
      </c>
      <c r="C330" s="15" t="s">
        <v>79</v>
      </c>
      <c r="D330" s="15" t="s">
        <v>81</v>
      </c>
      <c r="E330" s="15">
        <v>0.21</v>
      </c>
      <c r="F330" s="131">
        <v>12165.933272723889</v>
      </c>
      <c r="G330" s="17" t="e">
        <f t="shared" si="5"/>
        <v>#VALUE!</v>
      </c>
      <c r="H330" s="141">
        <v>113</v>
      </c>
      <c r="I330" s="141">
        <v>0</v>
      </c>
      <c r="J330" s="149">
        <v>10</v>
      </c>
      <c r="K330" s="150">
        <v>100</v>
      </c>
    </row>
    <row r="331" spans="1:11" ht="30" customHeight="1">
      <c r="A331" s="30">
        <v>15091</v>
      </c>
      <c r="B331" s="16" t="s">
        <v>75</v>
      </c>
      <c r="C331" s="15" t="s">
        <v>79</v>
      </c>
      <c r="D331" s="15" t="s">
        <v>82</v>
      </c>
      <c r="E331" s="15">
        <v>0.21</v>
      </c>
      <c r="F331" s="131">
        <v>14925.217107774668</v>
      </c>
      <c r="G331" s="17" t="e">
        <f t="shared" si="5"/>
        <v>#VALUE!</v>
      </c>
      <c r="H331" s="141">
        <v>62</v>
      </c>
      <c r="I331" s="141">
        <v>0</v>
      </c>
      <c r="J331" s="149">
        <v>10</v>
      </c>
      <c r="K331" s="150">
        <v>60</v>
      </c>
    </row>
    <row r="332" spans="1:11" ht="30" customHeight="1">
      <c r="A332" s="30">
        <v>15092</v>
      </c>
      <c r="B332" s="16" t="s">
        <v>75</v>
      </c>
      <c r="C332" s="15" t="s">
        <v>79</v>
      </c>
      <c r="D332" s="15" t="s">
        <v>83</v>
      </c>
      <c r="E332" s="15">
        <v>0.21</v>
      </c>
      <c r="F332" s="131">
        <v>15803.171055290826</v>
      </c>
      <c r="G332" s="17" t="e">
        <f t="shared" si="5"/>
        <v>#VALUE!</v>
      </c>
      <c r="H332" s="141">
        <v>97</v>
      </c>
      <c r="I332" s="141">
        <v>0</v>
      </c>
      <c r="J332" s="149">
        <v>5</v>
      </c>
      <c r="K332" s="150">
        <v>60</v>
      </c>
    </row>
    <row r="333" spans="1:11" ht="30" customHeight="1">
      <c r="A333" s="30">
        <v>15093</v>
      </c>
      <c r="B333" s="16" t="s">
        <v>75</v>
      </c>
      <c r="C333" s="15" t="s">
        <v>79</v>
      </c>
      <c r="D333" s="15" t="s">
        <v>84</v>
      </c>
      <c r="E333" s="15">
        <v>0.21</v>
      </c>
      <c r="F333" s="131">
        <v>17308.234965318519</v>
      </c>
      <c r="G333" s="17" t="e">
        <f t="shared" si="5"/>
        <v>#VALUE!</v>
      </c>
      <c r="H333" s="141">
        <v>67</v>
      </c>
      <c r="I333" s="141">
        <v>0</v>
      </c>
      <c r="J333" s="149">
        <v>5</v>
      </c>
      <c r="K333" s="150">
        <v>60</v>
      </c>
    </row>
    <row r="334" spans="1:11" ht="30" customHeight="1">
      <c r="A334" s="30">
        <v>15096</v>
      </c>
      <c r="B334" s="16" t="s">
        <v>75</v>
      </c>
      <c r="C334" s="15" t="s">
        <v>79</v>
      </c>
      <c r="D334" s="15" t="s">
        <v>85</v>
      </c>
      <c r="E334" s="15">
        <v>0.21</v>
      </c>
      <c r="F334" s="131">
        <v>20318.36278537392</v>
      </c>
      <c r="G334" s="17" t="e">
        <f t="shared" si="5"/>
        <v>#VALUE!</v>
      </c>
      <c r="H334" s="141">
        <v>39</v>
      </c>
      <c r="I334" s="141">
        <v>0</v>
      </c>
      <c r="J334" s="149">
        <v>5</v>
      </c>
      <c r="K334" s="150">
        <v>40</v>
      </c>
    </row>
    <row r="335" spans="1:11" ht="30" customHeight="1">
      <c r="A335" s="30">
        <v>15098</v>
      </c>
      <c r="B335" s="16" t="s">
        <v>75</v>
      </c>
      <c r="C335" s="15" t="s">
        <v>79</v>
      </c>
      <c r="D335" s="15" t="s">
        <v>86</v>
      </c>
      <c r="E335" s="15">
        <v>0.21</v>
      </c>
      <c r="F335" s="131">
        <v>24206.444552945461</v>
      </c>
      <c r="G335" s="17" t="e">
        <f t="shared" si="5"/>
        <v>#VALUE!</v>
      </c>
      <c r="H335" s="141">
        <v>21</v>
      </c>
      <c r="I335" s="141">
        <v>0</v>
      </c>
      <c r="J335" s="149">
        <v>5</v>
      </c>
      <c r="K335" s="150">
        <v>30</v>
      </c>
    </row>
    <row r="336" spans="1:11" ht="30" customHeight="1">
      <c r="A336" s="30">
        <v>15110</v>
      </c>
      <c r="B336" s="16" t="s">
        <v>75</v>
      </c>
      <c r="C336" s="15" t="s">
        <v>1930</v>
      </c>
      <c r="D336" s="15" t="s">
        <v>87</v>
      </c>
      <c r="E336" s="15">
        <v>0.21</v>
      </c>
      <c r="F336" s="131">
        <v>10623.242764945504</v>
      </c>
      <c r="G336" s="17" t="e">
        <f t="shared" si="5"/>
        <v>#VALUE!</v>
      </c>
      <c r="H336" s="141">
        <v>1380</v>
      </c>
      <c r="I336" s="141">
        <v>60</v>
      </c>
      <c r="J336" s="149">
        <v>15</v>
      </c>
      <c r="K336" s="150">
        <v>60</v>
      </c>
    </row>
    <row r="337" spans="1:11" ht="30" customHeight="1">
      <c r="A337" s="30">
        <v>15111</v>
      </c>
      <c r="B337" s="16" t="s">
        <v>75</v>
      </c>
      <c r="C337" s="15" t="s">
        <v>1930</v>
      </c>
      <c r="D337" s="15" t="s">
        <v>88</v>
      </c>
      <c r="E337" s="15">
        <v>0.21</v>
      </c>
      <c r="F337" s="131">
        <v>10622.781767255194</v>
      </c>
      <c r="G337" s="17" t="e">
        <f t="shared" si="5"/>
        <v>#VALUE!</v>
      </c>
      <c r="H337" s="141">
        <v>358</v>
      </c>
      <c r="I337" s="141">
        <v>60</v>
      </c>
      <c r="J337" s="149">
        <v>15</v>
      </c>
      <c r="K337" s="150">
        <v>60</v>
      </c>
    </row>
    <row r="338" spans="1:11" ht="30" customHeight="1">
      <c r="A338" s="30">
        <v>15112</v>
      </c>
      <c r="B338" s="16" t="s">
        <v>75</v>
      </c>
      <c r="C338" s="15" t="s">
        <v>1930</v>
      </c>
      <c r="D338" s="15" t="s">
        <v>89</v>
      </c>
      <c r="E338" s="15">
        <v>0.21</v>
      </c>
      <c r="F338" s="131">
        <v>10622.781767255194</v>
      </c>
      <c r="G338" s="17" t="e">
        <f t="shared" si="5"/>
        <v>#VALUE!</v>
      </c>
      <c r="H338" s="141">
        <v>1160</v>
      </c>
      <c r="I338" s="141">
        <v>0</v>
      </c>
      <c r="J338" s="149">
        <v>15</v>
      </c>
      <c r="K338" s="150">
        <v>60</v>
      </c>
    </row>
    <row r="339" spans="1:11" ht="30" customHeight="1">
      <c r="A339" s="30">
        <v>15113</v>
      </c>
      <c r="B339" s="16" t="s">
        <v>75</v>
      </c>
      <c r="C339" s="15" t="s">
        <v>1930</v>
      </c>
      <c r="D339" s="15" t="s">
        <v>90</v>
      </c>
      <c r="E339" s="15">
        <v>0.21</v>
      </c>
      <c r="F339" s="131">
        <v>10622.781767255194</v>
      </c>
      <c r="G339" s="17" t="e">
        <f t="shared" si="5"/>
        <v>#VALUE!</v>
      </c>
      <c r="H339" s="141">
        <v>305</v>
      </c>
      <c r="I339" s="141">
        <v>0</v>
      </c>
      <c r="J339" s="149">
        <v>15</v>
      </c>
      <c r="K339" s="150">
        <v>60</v>
      </c>
    </row>
    <row r="340" spans="1:11" ht="30" customHeight="1">
      <c r="A340" s="30">
        <v>15114</v>
      </c>
      <c r="B340" s="16" t="s">
        <v>75</v>
      </c>
      <c r="C340" s="15" t="s">
        <v>1930</v>
      </c>
      <c r="D340" s="15" t="s">
        <v>91</v>
      </c>
      <c r="E340" s="15">
        <v>0.21</v>
      </c>
      <c r="F340" s="131">
        <v>10622.781767255194</v>
      </c>
      <c r="G340" s="17" t="e">
        <f t="shared" si="5"/>
        <v>#VALUE!</v>
      </c>
      <c r="H340" s="141">
        <v>606</v>
      </c>
      <c r="I340" s="141">
        <v>0</v>
      </c>
      <c r="J340" s="149">
        <v>15</v>
      </c>
      <c r="K340" s="150">
        <v>60</v>
      </c>
    </row>
    <row r="341" spans="1:11" ht="30" customHeight="1">
      <c r="A341" s="30">
        <v>15115</v>
      </c>
      <c r="B341" s="16" t="s">
        <v>75</v>
      </c>
      <c r="C341" s="15" t="s">
        <v>1930</v>
      </c>
      <c r="D341" s="15" t="s">
        <v>92</v>
      </c>
      <c r="E341" s="15">
        <v>0.21</v>
      </c>
      <c r="F341" s="131">
        <v>10622.781767255194</v>
      </c>
      <c r="G341" s="17" t="e">
        <f t="shared" si="5"/>
        <v>#VALUE!</v>
      </c>
      <c r="H341" s="141">
        <v>331</v>
      </c>
      <c r="I341" s="141">
        <v>0</v>
      </c>
      <c r="J341" s="149">
        <v>15</v>
      </c>
      <c r="K341" s="150">
        <v>60</v>
      </c>
    </row>
    <row r="342" spans="1:11" ht="30" customHeight="1">
      <c r="A342" s="30">
        <v>15116</v>
      </c>
      <c r="B342" s="16" t="s">
        <v>75</v>
      </c>
      <c r="C342" s="15" t="s">
        <v>1930</v>
      </c>
      <c r="D342" s="15" t="s">
        <v>93</v>
      </c>
      <c r="E342" s="15">
        <v>0.21</v>
      </c>
      <c r="F342" s="131">
        <v>13243.987657876609</v>
      </c>
      <c r="G342" s="17" t="e">
        <f t="shared" si="5"/>
        <v>#VALUE!</v>
      </c>
      <c r="H342" s="141">
        <v>188</v>
      </c>
      <c r="I342" s="141">
        <v>0</v>
      </c>
      <c r="J342" s="149">
        <v>15</v>
      </c>
      <c r="K342" s="150">
        <v>60</v>
      </c>
    </row>
    <row r="343" spans="1:11" ht="30" customHeight="1">
      <c r="A343" s="30">
        <v>15117</v>
      </c>
      <c r="B343" s="16" t="s">
        <v>75</v>
      </c>
      <c r="C343" s="15" t="s">
        <v>1930</v>
      </c>
      <c r="D343" s="15" t="s">
        <v>94</v>
      </c>
      <c r="E343" s="15">
        <v>0.21</v>
      </c>
      <c r="F343" s="131">
        <v>13243.987657876609</v>
      </c>
      <c r="G343" s="17" t="e">
        <f t="shared" si="5"/>
        <v>#VALUE!</v>
      </c>
      <c r="H343" s="141">
        <v>306</v>
      </c>
      <c r="I343" s="141">
        <v>0</v>
      </c>
      <c r="J343" s="149">
        <v>15</v>
      </c>
      <c r="K343" s="150">
        <v>60</v>
      </c>
    </row>
    <row r="344" spans="1:11" ht="30" customHeight="1">
      <c r="A344" s="30">
        <v>15118</v>
      </c>
      <c r="B344" s="16" t="s">
        <v>75</v>
      </c>
      <c r="C344" s="15" t="s">
        <v>95</v>
      </c>
      <c r="D344" s="15" t="s">
        <v>96</v>
      </c>
      <c r="E344" s="15">
        <v>0.21</v>
      </c>
      <c r="F344" s="131">
        <v>24904.496144953326</v>
      </c>
      <c r="G344" s="17" t="e">
        <f t="shared" si="5"/>
        <v>#VALUE!</v>
      </c>
      <c r="H344" s="141">
        <v>1438</v>
      </c>
      <c r="I344" s="141">
        <v>210</v>
      </c>
      <c r="J344" s="149">
        <v>10</v>
      </c>
      <c r="K344" s="150">
        <v>30</v>
      </c>
    </row>
    <row r="345" spans="1:11" ht="30" customHeight="1">
      <c r="A345" s="30">
        <v>15119</v>
      </c>
      <c r="B345" s="16" t="s">
        <v>75</v>
      </c>
      <c r="C345" s="15" t="s">
        <v>95</v>
      </c>
      <c r="D345" s="15" t="s">
        <v>97</v>
      </c>
      <c r="E345" s="15">
        <v>0.21</v>
      </c>
      <c r="F345" s="131">
        <v>34625.883368289455</v>
      </c>
      <c r="G345" s="17" t="e">
        <f t="shared" si="5"/>
        <v>#VALUE!</v>
      </c>
      <c r="H345" s="141">
        <v>615</v>
      </c>
      <c r="I345" s="141">
        <v>100</v>
      </c>
      <c r="J345" s="149">
        <v>5</v>
      </c>
      <c r="K345" s="150">
        <v>20</v>
      </c>
    </row>
    <row r="346" spans="1:11" ht="30" customHeight="1">
      <c r="A346" s="30">
        <v>15120</v>
      </c>
      <c r="B346" s="16" t="s">
        <v>75</v>
      </c>
      <c r="C346" s="15" t="s">
        <v>95</v>
      </c>
      <c r="D346" s="15" t="s">
        <v>98</v>
      </c>
      <c r="E346" s="15">
        <v>0.21</v>
      </c>
      <c r="F346" s="131">
        <v>43364.277783951118</v>
      </c>
      <c r="G346" s="17" t="e">
        <f t="shared" si="5"/>
        <v>#VALUE!</v>
      </c>
      <c r="H346" s="141">
        <v>1793</v>
      </c>
      <c r="I346" s="141">
        <v>200</v>
      </c>
      <c r="J346" s="149">
        <v>5</v>
      </c>
      <c r="K346" s="150">
        <v>20</v>
      </c>
    </row>
    <row r="347" spans="1:11" ht="30" customHeight="1">
      <c r="A347" s="30">
        <v>15121</v>
      </c>
      <c r="B347" s="16" t="s">
        <v>75</v>
      </c>
      <c r="C347" s="15" t="s">
        <v>99</v>
      </c>
      <c r="D347" s="15" t="s">
        <v>100</v>
      </c>
      <c r="E347" s="15">
        <v>0.21</v>
      </c>
      <c r="F347" s="131">
        <v>2810.1072838891628</v>
      </c>
      <c r="G347" s="17" t="e">
        <f t="shared" si="5"/>
        <v>#VALUE!</v>
      </c>
      <c r="H347" s="141">
        <v>421</v>
      </c>
      <c r="I347" s="141">
        <v>0</v>
      </c>
      <c r="J347" s="149">
        <v>24</v>
      </c>
      <c r="K347" s="150">
        <v>144</v>
      </c>
    </row>
    <row r="348" spans="1:11" ht="30" customHeight="1">
      <c r="A348" s="30">
        <v>15122</v>
      </c>
      <c r="B348" s="16" t="s">
        <v>75</v>
      </c>
      <c r="C348" s="15" t="s">
        <v>99</v>
      </c>
      <c r="D348" s="15" t="s">
        <v>101</v>
      </c>
      <c r="E348" s="15">
        <v>0.21</v>
      </c>
      <c r="F348" s="131">
        <v>3434.6300365581183</v>
      </c>
      <c r="G348" s="17" t="e">
        <f t="shared" si="5"/>
        <v>#VALUE!</v>
      </c>
      <c r="H348" s="141">
        <v>380</v>
      </c>
      <c r="I348" s="141">
        <v>72</v>
      </c>
      <c r="J348" s="149">
        <v>24</v>
      </c>
      <c r="K348" s="150">
        <v>72</v>
      </c>
    </row>
    <row r="349" spans="1:11" ht="30" customHeight="1">
      <c r="A349" s="30">
        <v>15123</v>
      </c>
      <c r="B349" s="16" t="s">
        <v>75</v>
      </c>
      <c r="C349" s="15" t="s">
        <v>99</v>
      </c>
      <c r="D349" s="15" t="s">
        <v>102</v>
      </c>
      <c r="E349" s="15">
        <v>0.21</v>
      </c>
      <c r="F349" s="131">
        <v>5203.8660659990228</v>
      </c>
      <c r="G349" s="17" t="e">
        <f t="shared" si="5"/>
        <v>#VALUE!</v>
      </c>
      <c r="H349" s="141">
        <v>277</v>
      </c>
      <c r="I349" s="141">
        <v>72</v>
      </c>
      <c r="J349" s="149">
        <v>12</v>
      </c>
      <c r="K349" s="150">
        <v>72</v>
      </c>
    </row>
    <row r="350" spans="1:11" ht="30" customHeight="1">
      <c r="A350" s="30">
        <v>15124</v>
      </c>
      <c r="B350" s="16" t="s">
        <v>75</v>
      </c>
      <c r="C350" s="15" t="s">
        <v>99</v>
      </c>
      <c r="D350" s="15" t="s">
        <v>103</v>
      </c>
      <c r="E350" s="15">
        <v>0.21</v>
      </c>
      <c r="F350" s="131">
        <v>7701.7936745940851</v>
      </c>
      <c r="G350" s="17" t="e">
        <f t="shared" si="5"/>
        <v>#VALUE!</v>
      </c>
      <c r="H350" s="141">
        <v>298</v>
      </c>
      <c r="I350" s="141">
        <v>0</v>
      </c>
      <c r="J350" s="149">
        <v>12</v>
      </c>
      <c r="K350" s="150">
        <v>72</v>
      </c>
    </row>
    <row r="351" spans="1:11" ht="30" customHeight="1">
      <c r="A351" s="30">
        <v>15127</v>
      </c>
      <c r="B351" s="16" t="s">
        <v>75</v>
      </c>
      <c r="C351" s="15" t="s">
        <v>99</v>
      </c>
      <c r="D351" s="15" t="s">
        <v>104</v>
      </c>
      <c r="E351" s="15">
        <v>0.21</v>
      </c>
      <c r="F351" s="131">
        <v>8706.6118939432163</v>
      </c>
      <c r="G351" s="17" t="e">
        <f t="shared" si="5"/>
        <v>#VALUE!</v>
      </c>
      <c r="H351" s="141">
        <v>2587</v>
      </c>
      <c r="I351" s="141">
        <v>0</v>
      </c>
      <c r="J351" s="149">
        <v>12</v>
      </c>
      <c r="K351" s="150">
        <v>72</v>
      </c>
    </row>
    <row r="352" spans="1:11" ht="30" customHeight="1">
      <c r="A352" s="30">
        <v>15128</v>
      </c>
      <c r="B352" s="16" t="s">
        <v>75</v>
      </c>
      <c r="C352" s="15" t="s">
        <v>99</v>
      </c>
      <c r="D352" s="15" t="s">
        <v>105</v>
      </c>
      <c r="E352" s="15">
        <v>0.21</v>
      </c>
      <c r="F352" s="131">
        <v>16705.239600000001</v>
      </c>
      <c r="G352" s="17" t="e">
        <f t="shared" si="5"/>
        <v>#VALUE!</v>
      </c>
      <c r="H352" s="141">
        <v>751</v>
      </c>
      <c r="I352" s="141">
        <v>0</v>
      </c>
      <c r="J352" s="149">
        <v>6</v>
      </c>
      <c r="K352" s="150">
        <v>36</v>
      </c>
    </row>
    <row r="353" spans="1:11" ht="30" customHeight="1">
      <c r="A353" s="30">
        <v>16127</v>
      </c>
      <c r="B353" s="16" t="s">
        <v>75</v>
      </c>
      <c r="C353" s="15" t="s">
        <v>3112</v>
      </c>
      <c r="D353" s="15" t="s">
        <v>2086</v>
      </c>
      <c r="E353" s="15">
        <v>0.21</v>
      </c>
      <c r="F353" s="131">
        <v>35329.6198</v>
      </c>
      <c r="G353" s="17" t="e">
        <f t="shared" si="5"/>
        <v>#VALUE!</v>
      </c>
      <c r="H353" s="141">
        <v>812</v>
      </c>
      <c r="I353" s="141">
        <v>125</v>
      </c>
      <c r="J353" s="149">
        <v>5</v>
      </c>
      <c r="K353" s="150">
        <v>25</v>
      </c>
    </row>
    <row r="354" spans="1:11" ht="30" customHeight="1">
      <c r="A354" s="30">
        <v>16128</v>
      </c>
      <c r="B354" s="16" t="s">
        <v>75</v>
      </c>
      <c r="C354" s="15" t="s">
        <v>3112</v>
      </c>
      <c r="D354" s="15" t="s">
        <v>2087</v>
      </c>
      <c r="E354" s="15">
        <v>0.21</v>
      </c>
      <c r="F354" s="131">
        <v>44489.143400000001</v>
      </c>
      <c r="G354" s="17" t="e">
        <f t="shared" si="5"/>
        <v>#VALUE!</v>
      </c>
      <c r="H354" s="141">
        <v>866</v>
      </c>
      <c r="I354" s="141">
        <v>0</v>
      </c>
      <c r="J354" s="149">
        <v>5</v>
      </c>
      <c r="K354" s="150">
        <v>25</v>
      </c>
    </row>
    <row r="355" spans="1:11" ht="30" customHeight="1">
      <c r="A355" s="30">
        <v>15129</v>
      </c>
      <c r="B355" s="16" t="s">
        <v>75</v>
      </c>
      <c r="C355" s="15" t="s">
        <v>106</v>
      </c>
      <c r="D355" s="15" t="s">
        <v>107</v>
      </c>
      <c r="E355" s="15">
        <v>0.21</v>
      </c>
      <c r="F355" s="131">
        <v>5223.1182000000008</v>
      </c>
      <c r="G355" s="17" t="e">
        <f t="shared" si="5"/>
        <v>#VALUE!</v>
      </c>
      <c r="H355" s="141">
        <v>433</v>
      </c>
      <c r="I355" s="141">
        <v>0</v>
      </c>
      <c r="J355" s="149">
        <v>12</v>
      </c>
      <c r="K355" s="150">
        <v>144</v>
      </c>
    </row>
    <row r="356" spans="1:11" ht="30" customHeight="1">
      <c r="A356" s="30">
        <v>15130</v>
      </c>
      <c r="B356" s="16" t="s">
        <v>75</v>
      </c>
      <c r="C356" s="15" t="s">
        <v>106</v>
      </c>
      <c r="D356" s="15" t="s">
        <v>108</v>
      </c>
      <c r="E356" s="15">
        <v>0.21</v>
      </c>
      <c r="F356" s="131">
        <v>10500.752200000001</v>
      </c>
      <c r="G356" s="17" t="e">
        <f t="shared" si="5"/>
        <v>#VALUE!</v>
      </c>
      <c r="H356" s="141">
        <v>213</v>
      </c>
      <c r="I356" s="141">
        <v>0</v>
      </c>
      <c r="J356" s="149">
        <v>12</v>
      </c>
      <c r="K356" s="150">
        <v>72</v>
      </c>
    </row>
    <row r="357" spans="1:11" ht="30" customHeight="1">
      <c r="A357" s="30">
        <v>15131</v>
      </c>
      <c r="B357" s="16" t="s">
        <v>75</v>
      </c>
      <c r="C357" s="15" t="s">
        <v>106</v>
      </c>
      <c r="D357" s="15" t="s">
        <v>105</v>
      </c>
      <c r="E357" s="15">
        <v>0.21</v>
      </c>
      <c r="F357" s="131">
        <v>17806.558400000002</v>
      </c>
      <c r="G357" s="17" t="e">
        <f t="shared" si="5"/>
        <v>#VALUE!</v>
      </c>
      <c r="H357" s="141">
        <v>816</v>
      </c>
      <c r="I357" s="141">
        <v>0</v>
      </c>
      <c r="J357" s="149">
        <v>6</v>
      </c>
      <c r="K357" s="150">
        <v>36</v>
      </c>
    </row>
    <row r="358" spans="1:11" ht="30" customHeight="1">
      <c r="A358" s="31">
        <v>15086</v>
      </c>
      <c r="B358" s="16" t="s">
        <v>75</v>
      </c>
      <c r="C358" s="15" t="s">
        <v>3113</v>
      </c>
      <c r="D358" s="15" t="s">
        <v>2562</v>
      </c>
      <c r="E358" s="15">
        <v>0.21</v>
      </c>
      <c r="F358" s="131">
        <v>199696.49348204982</v>
      </c>
      <c r="G358" s="17" t="e">
        <f t="shared" si="5"/>
        <v>#VALUE!</v>
      </c>
      <c r="H358" s="141">
        <v>64</v>
      </c>
      <c r="I358" s="141">
        <v>0</v>
      </c>
      <c r="J358" s="149">
        <v>2</v>
      </c>
      <c r="K358" s="150">
        <v>10</v>
      </c>
    </row>
    <row r="359" spans="1:11" ht="30" customHeight="1">
      <c r="A359" s="31">
        <v>15085</v>
      </c>
      <c r="B359" s="16" t="s">
        <v>75</v>
      </c>
      <c r="C359" s="15" t="s">
        <v>3114</v>
      </c>
      <c r="D359" s="15" t="s">
        <v>2563</v>
      </c>
      <c r="E359" s="15">
        <v>0.21</v>
      </c>
      <c r="F359" s="131">
        <v>77901.404388047129</v>
      </c>
      <c r="G359" s="17" t="e">
        <f t="shared" si="5"/>
        <v>#VALUE!</v>
      </c>
      <c r="H359" s="141">
        <v>87</v>
      </c>
      <c r="I359" s="141">
        <v>0</v>
      </c>
      <c r="J359" s="149">
        <v>4</v>
      </c>
      <c r="K359" s="150">
        <v>16</v>
      </c>
    </row>
    <row r="360" spans="1:11" ht="30" customHeight="1">
      <c r="A360" s="31">
        <v>16118</v>
      </c>
      <c r="B360" s="16" t="s">
        <v>75</v>
      </c>
      <c r="C360" s="15" t="s">
        <v>3115</v>
      </c>
      <c r="D360" s="15" t="s">
        <v>2564</v>
      </c>
      <c r="E360" s="15">
        <v>0.21</v>
      </c>
      <c r="F360" s="131">
        <v>26359.579780992259</v>
      </c>
      <c r="G360" s="17" t="e">
        <f t="shared" si="5"/>
        <v>#VALUE!</v>
      </c>
      <c r="H360" s="141">
        <v>150</v>
      </c>
      <c r="I360" s="141">
        <v>30</v>
      </c>
      <c r="J360" s="149">
        <v>10</v>
      </c>
      <c r="K360" s="150">
        <v>30</v>
      </c>
    </row>
    <row r="361" spans="1:11" ht="30" customHeight="1">
      <c r="A361" s="31">
        <v>16119</v>
      </c>
      <c r="B361" s="16" t="s">
        <v>75</v>
      </c>
      <c r="C361" s="15" t="s">
        <v>3115</v>
      </c>
      <c r="D361" s="15" t="s">
        <v>2565</v>
      </c>
      <c r="E361" s="15">
        <v>0.21</v>
      </c>
      <c r="F361" s="131">
        <v>35896.175718017919</v>
      </c>
      <c r="G361" s="17" t="e">
        <f t="shared" si="5"/>
        <v>#VALUE!</v>
      </c>
      <c r="H361" s="141">
        <v>96</v>
      </c>
      <c r="I361" s="141">
        <v>0</v>
      </c>
      <c r="J361" s="149">
        <v>5</v>
      </c>
      <c r="K361" s="150">
        <v>20</v>
      </c>
    </row>
    <row r="362" spans="1:11" ht="30" customHeight="1">
      <c r="A362" s="31">
        <v>16120</v>
      </c>
      <c r="B362" s="16" t="s">
        <v>75</v>
      </c>
      <c r="C362" s="15" t="s">
        <v>3115</v>
      </c>
      <c r="D362" s="15" t="s">
        <v>2566</v>
      </c>
      <c r="E362" s="15">
        <v>0.21</v>
      </c>
      <c r="F362" s="131">
        <v>46397.146525079879</v>
      </c>
      <c r="G362" s="17" t="e">
        <f t="shared" si="5"/>
        <v>#VALUE!</v>
      </c>
      <c r="H362" s="141">
        <v>192</v>
      </c>
      <c r="I362" s="141">
        <v>20</v>
      </c>
      <c r="J362" s="149">
        <v>5</v>
      </c>
      <c r="K362" s="150">
        <v>20</v>
      </c>
    </row>
    <row r="363" spans="1:11" ht="30" customHeight="1">
      <c r="A363" s="30">
        <v>16010</v>
      </c>
      <c r="B363" s="16" t="s">
        <v>75</v>
      </c>
      <c r="C363" s="15" t="s">
        <v>164</v>
      </c>
      <c r="D363" s="15" t="s">
        <v>98</v>
      </c>
      <c r="E363" s="15">
        <v>0.21</v>
      </c>
      <c r="F363" s="131">
        <v>151661.16723538737</v>
      </c>
      <c r="G363" s="17" t="e">
        <f t="shared" si="5"/>
        <v>#VALUE!</v>
      </c>
      <c r="H363" s="141">
        <v>233</v>
      </c>
      <c r="I363" s="141">
        <v>60</v>
      </c>
      <c r="J363" s="149">
        <v>0</v>
      </c>
      <c r="K363" s="150">
        <v>6</v>
      </c>
    </row>
    <row r="364" spans="1:11" ht="30" customHeight="1">
      <c r="A364" s="31">
        <v>19661</v>
      </c>
      <c r="B364" s="16" t="s">
        <v>75</v>
      </c>
      <c r="C364" s="15" t="s">
        <v>3116</v>
      </c>
      <c r="D364" s="15" t="s">
        <v>2568</v>
      </c>
      <c r="E364" s="15">
        <v>0.21</v>
      </c>
      <c r="F364" s="131">
        <v>160152.63338659433</v>
      </c>
      <c r="G364" s="17" t="e">
        <f t="shared" si="5"/>
        <v>#VALUE!</v>
      </c>
      <c r="H364" s="141">
        <v>24</v>
      </c>
      <c r="I364" s="141">
        <v>0</v>
      </c>
      <c r="J364" s="149">
        <v>0</v>
      </c>
      <c r="K364" s="150">
        <v>6</v>
      </c>
    </row>
    <row r="365" spans="1:11" ht="30" customHeight="1">
      <c r="A365" s="31">
        <v>19664</v>
      </c>
      <c r="B365" s="16" t="s">
        <v>75</v>
      </c>
      <c r="C365" s="15" t="s">
        <v>3116</v>
      </c>
      <c r="D365" s="15" t="s">
        <v>2569</v>
      </c>
      <c r="E365" s="15">
        <v>0.21</v>
      </c>
      <c r="F365" s="131">
        <v>241141.50069747897</v>
      </c>
      <c r="G365" s="17" t="e">
        <f t="shared" si="5"/>
        <v>#VALUE!</v>
      </c>
      <c r="H365" s="141">
        <v>32</v>
      </c>
      <c r="I365" s="141">
        <v>0</v>
      </c>
      <c r="J365" s="149">
        <v>0</v>
      </c>
      <c r="K365" s="150">
        <v>6</v>
      </c>
    </row>
    <row r="366" spans="1:11" ht="30" customHeight="1">
      <c r="A366" s="31">
        <v>19667</v>
      </c>
      <c r="B366" s="16" t="s">
        <v>75</v>
      </c>
      <c r="C366" s="15" t="s">
        <v>3116</v>
      </c>
      <c r="D366" s="15" t="s">
        <v>2570</v>
      </c>
      <c r="E366" s="15">
        <v>0.21</v>
      </c>
      <c r="F366" s="131">
        <v>253917.20934370309</v>
      </c>
      <c r="G366" s="17" t="e">
        <f t="shared" si="5"/>
        <v>#VALUE!</v>
      </c>
      <c r="H366" s="141">
        <v>46</v>
      </c>
      <c r="I366" s="141">
        <v>0</v>
      </c>
      <c r="J366" s="149">
        <v>0</v>
      </c>
      <c r="K366" s="150">
        <v>6</v>
      </c>
    </row>
    <row r="367" spans="1:11" ht="30" customHeight="1">
      <c r="A367" s="31">
        <v>19669</v>
      </c>
      <c r="B367" s="16" t="s">
        <v>75</v>
      </c>
      <c r="C367" s="15" t="s">
        <v>3116</v>
      </c>
      <c r="D367" s="15" t="s">
        <v>2571</v>
      </c>
      <c r="E367" s="15">
        <v>0.21</v>
      </c>
      <c r="F367" s="131">
        <v>1237601.0389999999</v>
      </c>
      <c r="G367" s="17" t="e">
        <f t="shared" si="5"/>
        <v>#VALUE!</v>
      </c>
      <c r="H367" s="141">
        <v>15</v>
      </c>
      <c r="I367" s="141">
        <v>2</v>
      </c>
      <c r="J367" s="149">
        <v>0</v>
      </c>
      <c r="K367" s="150">
        <v>2</v>
      </c>
    </row>
    <row r="368" spans="1:11" ht="30" customHeight="1">
      <c r="A368" s="31">
        <v>19670</v>
      </c>
      <c r="B368" s="16" t="s">
        <v>75</v>
      </c>
      <c r="C368" s="15" t="s">
        <v>3555</v>
      </c>
      <c r="D368" s="15" t="s">
        <v>3556</v>
      </c>
      <c r="E368" s="15">
        <v>0.21</v>
      </c>
      <c r="F368" s="131">
        <v>1357044.7980888663</v>
      </c>
      <c r="G368" s="17" t="e">
        <f t="shared" si="5"/>
        <v>#VALUE!</v>
      </c>
      <c r="H368" s="141">
        <v>6</v>
      </c>
      <c r="I368" s="141">
        <v>2</v>
      </c>
      <c r="J368" s="149" t="e">
        <v>#N/A</v>
      </c>
      <c r="K368" s="150" t="e">
        <v>#N/A</v>
      </c>
    </row>
    <row r="369" spans="1:11" ht="30" customHeight="1">
      <c r="A369" s="31">
        <v>19672</v>
      </c>
      <c r="B369" s="16" t="s">
        <v>75</v>
      </c>
      <c r="C369" s="15" t="s">
        <v>3555</v>
      </c>
      <c r="D369" s="15" t="s">
        <v>3557</v>
      </c>
      <c r="E369" s="15">
        <v>0.21</v>
      </c>
      <c r="F369" s="131">
        <v>2411077.0340964692</v>
      </c>
      <c r="G369" s="17" t="e">
        <f t="shared" si="5"/>
        <v>#VALUE!</v>
      </c>
      <c r="H369" s="141">
        <v>0</v>
      </c>
      <c r="I369" s="141">
        <v>0</v>
      </c>
      <c r="J369" s="149" t="e">
        <v>#N/A</v>
      </c>
      <c r="K369" s="150" t="e">
        <v>#N/A</v>
      </c>
    </row>
    <row r="370" spans="1:11" ht="30" customHeight="1">
      <c r="A370" s="30">
        <v>15132</v>
      </c>
      <c r="B370" s="16" t="s">
        <v>75</v>
      </c>
      <c r="C370" s="15" t="s">
        <v>109</v>
      </c>
      <c r="D370" s="15" t="s">
        <v>110</v>
      </c>
      <c r="E370" s="15">
        <v>0.21</v>
      </c>
      <c r="F370" s="131">
        <v>5432.5985209167184</v>
      </c>
      <c r="G370" s="17" t="e">
        <f t="shared" si="5"/>
        <v>#VALUE!</v>
      </c>
      <c r="H370" s="141">
        <v>651</v>
      </c>
      <c r="I370" s="141">
        <v>0</v>
      </c>
      <c r="J370" s="149">
        <v>24</v>
      </c>
      <c r="K370" s="150">
        <v>144</v>
      </c>
    </row>
    <row r="371" spans="1:11" ht="30" customHeight="1">
      <c r="A371" s="30">
        <v>15133</v>
      </c>
      <c r="B371" s="16" t="s">
        <v>75</v>
      </c>
      <c r="C371" s="15" t="s">
        <v>109</v>
      </c>
      <c r="D371" s="15" t="s">
        <v>111</v>
      </c>
      <c r="E371" s="15">
        <v>0.21</v>
      </c>
      <c r="F371" s="131">
        <v>7513.1514626652979</v>
      </c>
      <c r="G371" s="17" t="e">
        <f t="shared" si="5"/>
        <v>#VALUE!</v>
      </c>
      <c r="H371" s="141">
        <v>712</v>
      </c>
      <c r="I371" s="141">
        <v>0</v>
      </c>
      <c r="J371" s="149">
        <v>18</v>
      </c>
      <c r="K371" s="150">
        <v>72</v>
      </c>
    </row>
    <row r="372" spans="1:11" ht="30" customHeight="1">
      <c r="A372" s="30">
        <v>15134</v>
      </c>
      <c r="B372" s="16" t="s">
        <v>75</v>
      </c>
      <c r="C372" s="15" t="s">
        <v>109</v>
      </c>
      <c r="D372" s="15" t="s">
        <v>112</v>
      </c>
      <c r="E372" s="15">
        <v>0.21</v>
      </c>
      <c r="F372" s="131">
        <v>12329.285698649541</v>
      </c>
      <c r="G372" s="17" t="e">
        <f t="shared" si="5"/>
        <v>#VALUE!</v>
      </c>
      <c r="H372" s="141">
        <v>545</v>
      </c>
      <c r="I372" s="141">
        <v>36</v>
      </c>
      <c r="J372" s="149">
        <v>6</v>
      </c>
      <c r="K372" s="150">
        <v>36</v>
      </c>
    </row>
    <row r="373" spans="1:11" ht="30" customHeight="1">
      <c r="A373" s="30">
        <v>15501</v>
      </c>
      <c r="B373" s="16" t="s">
        <v>75</v>
      </c>
      <c r="C373" s="15" t="s">
        <v>153</v>
      </c>
      <c r="D373" s="15" t="s">
        <v>154</v>
      </c>
      <c r="E373" s="15">
        <v>0.21</v>
      </c>
      <c r="F373" s="131">
        <v>6149.9909176285737</v>
      </c>
      <c r="G373" s="17" t="e">
        <f t="shared" si="5"/>
        <v>#VALUE!</v>
      </c>
      <c r="H373" s="141">
        <v>130</v>
      </c>
      <c r="I373" s="141">
        <v>72</v>
      </c>
      <c r="J373" s="149">
        <v>12</v>
      </c>
      <c r="K373" s="150">
        <v>72</v>
      </c>
    </row>
    <row r="374" spans="1:11" ht="30" customHeight="1">
      <c r="A374" s="30">
        <v>15502</v>
      </c>
      <c r="B374" s="16" t="s">
        <v>75</v>
      </c>
      <c r="C374" s="15" t="s">
        <v>153</v>
      </c>
      <c r="D374" s="15" t="s">
        <v>155</v>
      </c>
      <c r="E374" s="15">
        <v>0.21</v>
      </c>
      <c r="F374" s="131">
        <v>8368.0204289044577</v>
      </c>
      <c r="G374" s="17" t="e">
        <f t="shared" si="5"/>
        <v>#VALUE!</v>
      </c>
      <c r="H374" s="141">
        <v>140</v>
      </c>
      <c r="I374" s="141">
        <v>0</v>
      </c>
      <c r="J374" s="149">
        <v>12</v>
      </c>
      <c r="K374" s="150">
        <v>72</v>
      </c>
    </row>
    <row r="375" spans="1:11" ht="30" customHeight="1">
      <c r="A375" s="30">
        <v>15503</v>
      </c>
      <c r="B375" s="16" t="s">
        <v>75</v>
      </c>
      <c r="C375" s="15" t="s">
        <v>153</v>
      </c>
      <c r="D375" s="15" t="s">
        <v>156</v>
      </c>
      <c r="E375" s="15">
        <v>0.21</v>
      </c>
      <c r="F375" s="131">
        <v>5746.7128246693246</v>
      </c>
      <c r="G375" s="17" t="e">
        <f t="shared" si="5"/>
        <v>#VALUE!</v>
      </c>
      <c r="H375" s="141">
        <v>629</v>
      </c>
      <c r="I375" s="141">
        <v>0</v>
      </c>
      <c r="J375" s="149">
        <v>12</v>
      </c>
      <c r="K375" s="150">
        <v>72</v>
      </c>
    </row>
    <row r="376" spans="1:11" ht="30" customHeight="1">
      <c r="A376" s="30">
        <v>15504</v>
      </c>
      <c r="B376" s="16" t="s">
        <v>75</v>
      </c>
      <c r="C376" s="15" t="s">
        <v>153</v>
      </c>
      <c r="D376" s="15" t="s">
        <v>157</v>
      </c>
      <c r="E376" s="15">
        <v>0.21</v>
      </c>
      <c r="F376" s="131">
        <v>8010.5693919633031</v>
      </c>
      <c r="G376" s="17" t="e">
        <f t="shared" si="5"/>
        <v>#VALUE!</v>
      </c>
      <c r="H376" s="141">
        <v>506</v>
      </c>
      <c r="I376" s="141">
        <v>0</v>
      </c>
      <c r="J376" s="149">
        <v>12</v>
      </c>
      <c r="K376" s="150">
        <v>72</v>
      </c>
    </row>
    <row r="377" spans="1:11" ht="30" customHeight="1">
      <c r="A377" s="30">
        <v>15552</v>
      </c>
      <c r="B377" s="16" t="s">
        <v>75</v>
      </c>
      <c r="C377" s="15" t="s">
        <v>158</v>
      </c>
      <c r="D377" s="15" t="s">
        <v>159</v>
      </c>
      <c r="E377" s="15">
        <v>0.21</v>
      </c>
      <c r="F377" s="131">
        <v>6149.9715999999999</v>
      </c>
      <c r="G377" s="17" t="e">
        <f t="shared" si="5"/>
        <v>#VALUE!</v>
      </c>
      <c r="H377" s="141">
        <v>0</v>
      </c>
      <c r="I377" s="141">
        <v>0</v>
      </c>
      <c r="J377" s="149" t="e">
        <v>#N/A</v>
      </c>
      <c r="K377" s="150" t="e">
        <v>#N/A</v>
      </c>
    </row>
    <row r="378" spans="1:11" ht="30" customHeight="1">
      <c r="A378" s="30">
        <v>15553</v>
      </c>
      <c r="B378" s="16" t="s">
        <v>75</v>
      </c>
      <c r="C378" s="15" t="s">
        <v>158</v>
      </c>
      <c r="D378" s="15" t="s">
        <v>160</v>
      </c>
      <c r="E378" s="15">
        <v>0.21</v>
      </c>
      <c r="F378" s="131">
        <v>6149.9715999999999</v>
      </c>
      <c r="G378" s="17" t="e">
        <f t="shared" si="5"/>
        <v>#VALUE!</v>
      </c>
      <c r="H378" s="141">
        <v>46</v>
      </c>
      <c r="I378" s="141">
        <v>0</v>
      </c>
      <c r="J378" s="149" t="e">
        <v>#N/A</v>
      </c>
      <c r="K378" s="150" t="e">
        <v>#N/A</v>
      </c>
    </row>
    <row r="379" spans="1:11" ht="30" customHeight="1">
      <c r="A379" s="30">
        <v>15554</v>
      </c>
      <c r="B379" s="16" t="s">
        <v>75</v>
      </c>
      <c r="C379" s="15" t="s">
        <v>158</v>
      </c>
      <c r="D379" s="15" t="s">
        <v>161</v>
      </c>
      <c r="E379" s="15">
        <v>0.21</v>
      </c>
      <c r="F379" s="131">
        <v>6149.9715999999999</v>
      </c>
      <c r="G379" s="17" t="e">
        <f t="shared" si="5"/>
        <v>#VALUE!</v>
      </c>
      <c r="H379" s="141">
        <v>2</v>
      </c>
      <c r="I379" s="141">
        <v>0</v>
      </c>
      <c r="J379" s="149" t="e">
        <v>#N/A</v>
      </c>
      <c r="K379" s="150" t="e">
        <v>#N/A</v>
      </c>
    </row>
    <row r="380" spans="1:11" ht="30" customHeight="1">
      <c r="A380" s="30">
        <v>15555</v>
      </c>
      <c r="B380" s="16" t="s">
        <v>75</v>
      </c>
      <c r="C380" s="15" t="s">
        <v>158</v>
      </c>
      <c r="D380" s="15" t="s">
        <v>162</v>
      </c>
      <c r="E380" s="15">
        <v>0.21</v>
      </c>
      <c r="F380" s="131">
        <v>6662.4710000000005</v>
      </c>
      <c r="G380" s="17" t="e">
        <f t="shared" si="5"/>
        <v>#VALUE!</v>
      </c>
      <c r="H380" s="141">
        <v>1</v>
      </c>
      <c r="I380" s="141">
        <v>0</v>
      </c>
      <c r="J380" s="149" t="e">
        <v>#N/A</v>
      </c>
      <c r="K380" s="150" t="e">
        <v>#N/A</v>
      </c>
    </row>
    <row r="381" spans="1:11" ht="30" customHeight="1">
      <c r="A381" s="30">
        <v>15557</v>
      </c>
      <c r="B381" s="16" t="s">
        <v>75</v>
      </c>
      <c r="C381" s="15" t="s">
        <v>158</v>
      </c>
      <c r="D381" s="15" t="s">
        <v>163</v>
      </c>
      <c r="E381" s="15">
        <v>0.21</v>
      </c>
      <c r="F381" s="131">
        <v>7687.4592000000002</v>
      </c>
      <c r="G381" s="17" t="e">
        <f t="shared" si="5"/>
        <v>#VALUE!</v>
      </c>
      <c r="H381" s="141">
        <v>1</v>
      </c>
      <c r="I381" s="141">
        <v>0</v>
      </c>
      <c r="J381" s="149" t="e">
        <v>#N/A</v>
      </c>
      <c r="K381" s="150" t="e">
        <v>#N/A</v>
      </c>
    </row>
    <row r="382" spans="1:11" ht="30" customHeight="1">
      <c r="A382" s="30">
        <v>15150</v>
      </c>
      <c r="B382" s="16" t="s">
        <v>75</v>
      </c>
      <c r="C382" s="15" t="s">
        <v>116</v>
      </c>
      <c r="D382" s="15" t="s">
        <v>96</v>
      </c>
      <c r="E382" s="15">
        <v>0.21</v>
      </c>
      <c r="F382" s="131">
        <v>49167.401648057727</v>
      </c>
      <c r="G382" s="17" t="e">
        <f t="shared" si="5"/>
        <v>#VALUE!</v>
      </c>
      <c r="H382" s="141">
        <v>1375</v>
      </c>
      <c r="I382" s="141">
        <v>200</v>
      </c>
      <c r="J382" s="149">
        <v>5</v>
      </c>
      <c r="K382" s="150">
        <v>20</v>
      </c>
    </row>
    <row r="383" spans="1:11" ht="30" customHeight="1">
      <c r="A383" s="30">
        <v>15151</v>
      </c>
      <c r="B383" s="16" t="s">
        <v>75</v>
      </c>
      <c r="C383" s="15" t="s">
        <v>117</v>
      </c>
      <c r="D383" s="15" t="s">
        <v>97</v>
      </c>
      <c r="E383" s="15">
        <v>0.21</v>
      </c>
      <c r="F383" s="131">
        <v>67715.583108103485</v>
      </c>
      <c r="G383" s="17" t="e">
        <f t="shared" si="5"/>
        <v>#VALUE!</v>
      </c>
      <c r="H383" s="141">
        <v>691</v>
      </c>
      <c r="I383" s="141">
        <v>30</v>
      </c>
      <c r="J383" s="149">
        <v>5</v>
      </c>
      <c r="K383" s="150">
        <v>15</v>
      </c>
    </row>
    <row r="384" spans="1:11" ht="30" customHeight="1">
      <c r="A384" s="30">
        <v>15152</v>
      </c>
      <c r="B384" s="16" t="s">
        <v>75</v>
      </c>
      <c r="C384" s="15" t="s">
        <v>118</v>
      </c>
      <c r="D384" s="15" t="s">
        <v>98</v>
      </c>
      <c r="E384" s="15">
        <v>0.21</v>
      </c>
      <c r="F384" s="131">
        <v>89513.041955233726</v>
      </c>
      <c r="G384" s="17" t="e">
        <f t="shared" si="5"/>
        <v>#VALUE!</v>
      </c>
      <c r="H384" s="141">
        <v>1150</v>
      </c>
      <c r="I384" s="141">
        <v>200</v>
      </c>
      <c r="J384" s="149">
        <v>5</v>
      </c>
      <c r="K384" s="150">
        <v>10</v>
      </c>
    </row>
    <row r="385" spans="1:11" ht="30" customHeight="1">
      <c r="A385" s="30">
        <v>15390</v>
      </c>
      <c r="B385" s="16" t="s">
        <v>75</v>
      </c>
      <c r="C385" s="15" t="s">
        <v>1932</v>
      </c>
      <c r="D385" s="15" t="s">
        <v>2065</v>
      </c>
      <c r="E385" s="15">
        <v>0.21</v>
      </c>
      <c r="F385" s="131">
        <v>41625.009822024738</v>
      </c>
      <c r="G385" s="17" t="e">
        <f t="shared" si="5"/>
        <v>#VALUE!</v>
      </c>
      <c r="H385" s="141">
        <v>133</v>
      </c>
      <c r="I385" s="141">
        <v>20</v>
      </c>
      <c r="J385" s="149">
        <v>5</v>
      </c>
      <c r="K385" s="150">
        <v>20</v>
      </c>
    </row>
    <row r="386" spans="1:11" ht="30" customHeight="1">
      <c r="A386" s="30">
        <v>15391</v>
      </c>
      <c r="B386" s="16" t="s">
        <v>75</v>
      </c>
      <c r="C386" s="15" t="s">
        <v>1933</v>
      </c>
      <c r="D386" s="15" t="s">
        <v>2066</v>
      </c>
      <c r="E386" s="15">
        <v>0.21</v>
      </c>
      <c r="F386" s="131">
        <v>64364.598521093751</v>
      </c>
      <c r="G386" s="17" t="e">
        <f t="shared" si="5"/>
        <v>#VALUE!</v>
      </c>
      <c r="H386" s="141">
        <v>105</v>
      </c>
      <c r="I386" s="141">
        <v>0</v>
      </c>
      <c r="J386" s="149">
        <v>5</v>
      </c>
      <c r="K386" s="150">
        <v>15</v>
      </c>
    </row>
    <row r="387" spans="1:11" ht="30" customHeight="1">
      <c r="A387" s="30">
        <v>15392</v>
      </c>
      <c r="B387" s="16" t="s">
        <v>75</v>
      </c>
      <c r="C387" s="15" t="s">
        <v>1934</v>
      </c>
      <c r="D387" s="15" t="s">
        <v>2067</v>
      </c>
      <c r="E387" s="15">
        <v>0.21</v>
      </c>
      <c r="F387" s="131">
        <v>86470.32680000001</v>
      </c>
      <c r="G387" s="17" t="e">
        <f t="shared" si="5"/>
        <v>#VALUE!</v>
      </c>
      <c r="H387" s="141">
        <v>52</v>
      </c>
      <c r="I387" s="141">
        <v>0</v>
      </c>
      <c r="J387" s="149">
        <v>5</v>
      </c>
      <c r="K387" s="150">
        <v>10</v>
      </c>
    </row>
    <row r="388" spans="1:11" ht="30" customHeight="1">
      <c r="A388" s="31">
        <v>16132</v>
      </c>
      <c r="B388" s="16" t="s">
        <v>75</v>
      </c>
      <c r="C388" s="15" t="s">
        <v>3117</v>
      </c>
      <c r="D388" s="15" t="s">
        <v>2567</v>
      </c>
      <c r="E388" s="15">
        <v>0.21</v>
      </c>
      <c r="F388" s="131">
        <v>18329.965199999999</v>
      </c>
      <c r="G388" s="17" t="e">
        <f t="shared" si="5"/>
        <v>#VALUE!</v>
      </c>
      <c r="H388" s="141">
        <v>134</v>
      </c>
      <c r="I388" s="141">
        <v>0</v>
      </c>
      <c r="J388" s="149">
        <v>6</v>
      </c>
      <c r="K388" s="150">
        <v>36</v>
      </c>
    </row>
    <row r="389" spans="1:11" ht="30" customHeight="1">
      <c r="A389" s="30">
        <v>16508</v>
      </c>
      <c r="B389" s="16" t="s">
        <v>75</v>
      </c>
      <c r="C389" s="15" t="s">
        <v>165</v>
      </c>
      <c r="D389" s="15" t="s">
        <v>80</v>
      </c>
      <c r="E389" s="15">
        <v>0.21</v>
      </c>
      <c r="F389" s="131">
        <v>3944.5094399148525</v>
      </c>
      <c r="G389" s="17" t="e">
        <f t="shared" si="5"/>
        <v>#VALUE!</v>
      </c>
      <c r="H389" s="141">
        <v>1215</v>
      </c>
      <c r="I389" s="141">
        <v>160</v>
      </c>
      <c r="J389" s="149">
        <v>20</v>
      </c>
      <c r="K389" s="150">
        <v>160</v>
      </c>
    </row>
    <row r="390" spans="1:11" ht="30" customHeight="1">
      <c r="A390" s="30">
        <v>16509</v>
      </c>
      <c r="B390" s="16" t="s">
        <v>75</v>
      </c>
      <c r="C390" s="15" t="s">
        <v>165</v>
      </c>
      <c r="D390" s="15" t="s">
        <v>120</v>
      </c>
      <c r="E390" s="15">
        <v>0.21</v>
      </c>
      <c r="F390" s="131">
        <v>3944.5094399148525</v>
      </c>
      <c r="G390" s="17" t="e">
        <f t="shared" si="5"/>
        <v>#VALUE!</v>
      </c>
      <c r="H390" s="141">
        <v>988</v>
      </c>
      <c r="I390" s="141">
        <v>0</v>
      </c>
      <c r="J390" s="149">
        <v>20</v>
      </c>
      <c r="K390" s="150">
        <v>160</v>
      </c>
    </row>
    <row r="391" spans="1:11" ht="30" customHeight="1">
      <c r="A391" s="30">
        <v>16510</v>
      </c>
      <c r="B391" s="16" t="s">
        <v>75</v>
      </c>
      <c r="C391" s="15" t="s">
        <v>165</v>
      </c>
      <c r="D391" s="15" t="s">
        <v>81</v>
      </c>
      <c r="E391" s="15">
        <v>0.21</v>
      </c>
      <c r="F391" s="131">
        <v>3944.5094399148525</v>
      </c>
      <c r="G391" s="17" t="e">
        <f t="shared" si="5"/>
        <v>#VALUE!</v>
      </c>
      <c r="H391" s="141">
        <v>1600</v>
      </c>
      <c r="I391" s="141">
        <v>160</v>
      </c>
      <c r="J391" s="149">
        <v>20</v>
      </c>
      <c r="K391" s="150">
        <v>160</v>
      </c>
    </row>
    <row r="392" spans="1:11" ht="30" customHeight="1">
      <c r="A392" s="30">
        <v>16511</v>
      </c>
      <c r="B392" s="16" t="s">
        <v>75</v>
      </c>
      <c r="C392" s="15" t="s">
        <v>165</v>
      </c>
      <c r="D392" s="15" t="s">
        <v>121</v>
      </c>
      <c r="E392" s="15">
        <v>0.21</v>
      </c>
      <c r="F392" s="131">
        <v>3944.5094399148525</v>
      </c>
      <c r="G392" s="17" t="e">
        <f t="shared" ref="G392:G455" si="6">(F392*$G$6)</f>
        <v>#VALUE!</v>
      </c>
      <c r="H392" s="141">
        <v>941</v>
      </c>
      <c r="I392" s="141">
        <v>320</v>
      </c>
      <c r="J392" s="149">
        <v>20</v>
      </c>
      <c r="K392" s="150">
        <v>160</v>
      </c>
    </row>
    <row r="393" spans="1:11" ht="30" customHeight="1">
      <c r="A393" s="30">
        <v>16512</v>
      </c>
      <c r="B393" s="16" t="s">
        <v>75</v>
      </c>
      <c r="C393" s="15" t="s">
        <v>165</v>
      </c>
      <c r="D393" s="15" t="s">
        <v>82</v>
      </c>
      <c r="E393" s="15">
        <v>0.21</v>
      </c>
      <c r="F393" s="131">
        <v>3944.5094399148525</v>
      </c>
      <c r="G393" s="17" t="e">
        <f t="shared" si="6"/>
        <v>#VALUE!</v>
      </c>
      <c r="H393" s="141">
        <v>1170</v>
      </c>
      <c r="I393" s="141">
        <v>160</v>
      </c>
      <c r="J393" s="149">
        <v>20</v>
      </c>
      <c r="K393" s="150">
        <v>160</v>
      </c>
    </row>
    <row r="394" spans="1:11" ht="30" customHeight="1">
      <c r="A394" s="30">
        <v>16513</v>
      </c>
      <c r="B394" s="16" t="s">
        <v>75</v>
      </c>
      <c r="C394" s="15" t="s">
        <v>165</v>
      </c>
      <c r="D394" s="15" t="s">
        <v>83</v>
      </c>
      <c r="E394" s="15">
        <v>0.21</v>
      </c>
      <c r="F394" s="131">
        <v>3944.5094399148525</v>
      </c>
      <c r="G394" s="17" t="e">
        <f t="shared" si="6"/>
        <v>#VALUE!</v>
      </c>
      <c r="H394" s="141">
        <v>1827</v>
      </c>
      <c r="I394" s="141">
        <v>320</v>
      </c>
      <c r="J394" s="149">
        <v>20</v>
      </c>
      <c r="K394" s="150">
        <v>160</v>
      </c>
    </row>
    <row r="395" spans="1:11" ht="30" customHeight="1">
      <c r="A395" s="30">
        <v>16514</v>
      </c>
      <c r="B395" s="16" t="s">
        <v>75</v>
      </c>
      <c r="C395" s="15" t="s">
        <v>165</v>
      </c>
      <c r="D395" s="15" t="s">
        <v>84</v>
      </c>
      <c r="E395" s="15">
        <v>0.21</v>
      </c>
      <c r="F395" s="131">
        <v>3944.5094399148525</v>
      </c>
      <c r="G395" s="17" t="e">
        <f t="shared" si="6"/>
        <v>#VALUE!</v>
      </c>
      <c r="H395" s="141">
        <v>1549</v>
      </c>
      <c r="I395" s="141">
        <v>160</v>
      </c>
      <c r="J395" s="149">
        <v>20</v>
      </c>
      <c r="K395" s="150">
        <v>160</v>
      </c>
    </row>
    <row r="396" spans="1:11" ht="30" customHeight="1">
      <c r="A396" s="30">
        <v>16515</v>
      </c>
      <c r="B396" s="16" t="s">
        <v>75</v>
      </c>
      <c r="C396" s="15" t="s">
        <v>165</v>
      </c>
      <c r="D396" s="15" t="s">
        <v>122</v>
      </c>
      <c r="E396" s="15">
        <v>0.21</v>
      </c>
      <c r="F396" s="131">
        <v>3944.5094399148525</v>
      </c>
      <c r="G396" s="17" t="e">
        <f t="shared" si="6"/>
        <v>#VALUE!</v>
      </c>
      <c r="H396" s="141">
        <v>1064</v>
      </c>
      <c r="I396" s="141">
        <v>160</v>
      </c>
      <c r="J396" s="149">
        <v>20</v>
      </c>
      <c r="K396" s="150">
        <v>160</v>
      </c>
    </row>
    <row r="397" spans="1:11" ht="30" customHeight="1">
      <c r="A397" s="30">
        <v>16516</v>
      </c>
      <c r="B397" s="16" t="s">
        <v>75</v>
      </c>
      <c r="C397" s="15" t="s">
        <v>165</v>
      </c>
      <c r="D397" s="15" t="s">
        <v>123</v>
      </c>
      <c r="E397" s="15">
        <v>0.21</v>
      </c>
      <c r="F397" s="131">
        <v>3944.5094399148525</v>
      </c>
      <c r="G397" s="17" t="e">
        <f t="shared" si="6"/>
        <v>#VALUE!</v>
      </c>
      <c r="H397" s="141">
        <v>795</v>
      </c>
      <c r="I397" s="141">
        <v>0</v>
      </c>
      <c r="J397" s="149">
        <v>20</v>
      </c>
      <c r="K397" s="150">
        <v>160</v>
      </c>
    </row>
    <row r="398" spans="1:11" ht="30" customHeight="1">
      <c r="A398" s="30">
        <v>16517</v>
      </c>
      <c r="B398" s="16" t="s">
        <v>75</v>
      </c>
      <c r="C398" s="15" t="s">
        <v>165</v>
      </c>
      <c r="D398" s="15" t="s">
        <v>85</v>
      </c>
      <c r="E398" s="15">
        <v>0.21</v>
      </c>
      <c r="F398" s="131">
        <v>4287.5102607770141</v>
      </c>
      <c r="G398" s="17" t="e">
        <f t="shared" si="6"/>
        <v>#VALUE!</v>
      </c>
      <c r="H398" s="141">
        <v>1410</v>
      </c>
      <c r="I398" s="141">
        <v>480</v>
      </c>
      <c r="J398" s="149">
        <v>15</v>
      </c>
      <c r="K398" s="150">
        <v>120</v>
      </c>
    </row>
    <row r="399" spans="1:11" ht="30" customHeight="1">
      <c r="A399" s="30">
        <v>16518</v>
      </c>
      <c r="B399" s="16" t="s">
        <v>75</v>
      </c>
      <c r="C399" s="15" t="s">
        <v>165</v>
      </c>
      <c r="D399" s="15" t="s">
        <v>124</v>
      </c>
      <c r="E399" s="15">
        <v>0.21</v>
      </c>
      <c r="F399" s="131">
        <v>4892.2748659813496</v>
      </c>
      <c r="G399" s="17" t="e">
        <f t="shared" si="6"/>
        <v>#VALUE!</v>
      </c>
      <c r="H399" s="141">
        <v>1100</v>
      </c>
      <c r="I399" s="141">
        <v>120</v>
      </c>
      <c r="J399" s="149">
        <v>15</v>
      </c>
      <c r="K399" s="150">
        <v>120</v>
      </c>
    </row>
    <row r="400" spans="1:11" ht="30" customHeight="1">
      <c r="A400" s="30">
        <v>16519</v>
      </c>
      <c r="B400" s="16" t="s">
        <v>75</v>
      </c>
      <c r="C400" s="15" t="s">
        <v>165</v>
      </c>
      <c r="D400" s="15" t="s">
        <v>86</v>
      </c>
      <c r="E400" s="15">
        <v>0.21</v>
      </c>
      <c r="F400" s="131">
        <v>4892.2748659813496</v>
      </c>
      <c r="G400" s="17" t="e">
        <f t="shared" si="6"/>
        <v>#VALUE!</v>
      </c>
      <c r="H400" s="141">
        <v>1385</v>
      </c>
      <c r="I400" s="141">
        <v>240</v>
      </c>
      <c r="J400" s="149">
        <v>15</v>
      </c>
      <c r="K400" s="150">
        <v>120</v>
      </c>
    </row>
    <row r="401" spans="1:11" ht="30" customHeight="1">
      <c r="A401" s="30">
        <v>16520</v>
      </c>
      <c r="B401" s="16" t="s">
        <v>75</v>
      </c>
      <c r="C401" s="15" t="s">
        <v>165</v>
      </c>
      <c r="D401" s="15" t="s">
        <v>125</v>
      </c>
      <c r="E401" s="15">
        <v>0.21</v>
      </c>
      <c r="F401" s="131">
        <v>5253.3283616257286</v>
      </c>
      <c r="G401" s="17" t="e">
        <f t="shared" si="6"/>
        <v>#VALUE!</v>
      </c>
      <c r="H401" s="141">
        <v>602</v>
      </c>
      <c r="I401" s="141">
        <v>0</v>
      </c>
      <c r="J401" s="149">
        <v>15</v>
      </c>
      <c r="K401" s="150">
        <v>120</v>
      </c>
    </row>
    <row r="402" spans="1:11" ht="30" customHeight="1">
      <c r="A402" s="30">
        <v>16521</v>
      </c>
      <c r="B402" s="16" t="s">
        <v>75</v>
      </c>
      <c r="C402" s="15" t="s">
        <v>165</v>
      </c>
      <c r="D402" s="15" t="s">
        <v>126</v>
      </c>
      <c r="E402" s="15">
        <v>0.21</v>
      </c>
      <c r="F402" s="131">
        <v>5253.3283616257286</v>
      </c>
      <c r="G402" s="17" t="e">
        <f t="shared" si="6"/>
        <v>#VALUE!</v>
      </c>
      <c r="H402" s="141">
        <v>690</v>
      </c>
      <c r="I402" s="141">
        <v>120</v>
      </c>
      <c r="J402" s="149">
        <v>15</v>
      </c>
      <c r="K402" s="150">
        <v>120</v>
      </c>
    </row>
    <row r="403" spans="1:11" ht="30" customHeight="1">
      <c r="A403" s="30">
        <v>16522</v>
      </c>
      <c r="B403" s="16" t="s">
        <v>75</v>
      </c>
      <c r="C403" s="15" t="s">
        <v>165</v>
      </c>
      <c r="D403" s="15" t="s">
        <v>127</v>
      </c>
      <c r="E403" s="15">
        <v>0.21</v>
      </c>
      <c r="F403" s="131">
        <v>6005.0417395573295</v>
      </c>
      <c r="G403" s="17" t="e">
        <f t="shared" si="6"/>
        <v>#VALUE!</v>
      </c>
      <c r="H403" s="141">
        <v>730</v>
      </c>
      <c r="I403" s="141">
        <v>0</v>
      </c>
      <c r="J403" s="149">
        <v>12</v>
      </c>
      <c r="K403" s="150">
        <v>96</v>
      </c>
    </row>
    <row r="404" spans="1:11" ht="30" customHeight="1">
      <c r="A404" s="30">
        <v>16523</v>
      </c>
      <c r="B404" s="16" t="s">
        <v>75</v>
      </c>
      <c r="C404" s="15" t="s">
        <v>165</v>
      </c>
      <c r="D404" s="15" t="s">
        <v>128</v>
      </c>
      <c r="E404" s="15">
        <v>0.21</v>
      </c>
      <c r="F404" s="131">
        <v>6424.2248480004528</v>
      </c>
      <c r="G404" s="17" t="e">
        <f t="shared" si="6"/>
        <v>#VALUE!</v>
      </c>
      <c r="H404" s="141">
        <v>546</v>
      </c>
      <c r="I404" s="141">
        <v>0</v>
      </c>
      <c r="J404" s="149">
        <v>12</v>
      </c>
      <c r="K404" s="150">
        <v>96</v>
      </c>
    </row>
    <row r="405" spans="1:11" ht="30" customHeight="1">
      <c r="A405" s="30">
        <v>16524</v>
      </c>
      <c r="B405" s="16" t="s">
        <v>75</v>
      </c>
      <c r="C405" s="15" t="s">
        <v>165</v>
      </c>
      <c r="D405" s="15" t="s">
        <v>129</v>
      </c>
      <c r="E405" s="15">
        <v>0.21</v>
      </c>
      <c r="F405" s="131">
        <v>6424.2248480004528</v>
      </c>
      <c r="G405" s="17" t="e">
        <f t="shared" si="6"/>
        <v>#VALUE!</v>
      </c>
      <c r="H405" s="141">
        <v>950</v>
      </c>
      <c r="I405" s="141">
        <v>96</v>
      </c>
      <c r="J405" s="149">
        <v>12</v>
      </c>
      <c r="K405" s="150">
        <v>96</v>
      </c>
    </row>
    <row r="406" spans="1:11" ht="30" customHeight="1">
      <c r="A406" s="30">
        <v>16527</v>
      </c>
      <c r="B406" s="16" t="s">
        <v>75</v>
      </c>
      <c r="C406" s="15" t="s">
        <v>165</v>
      </c>
      <c r="D406" s="15" t="s">
        <v>131</v>
      </c>
      <c r="E406" s="15">
        <v>0.21</v>
      </c>
      <c r="F406" s="131">
        <v>9758.1928267806652</v>
      </c>
      <c r="G406" s="17" t="e">
        <f t="shared" si="6"/>
        <v>#VALUE!</v>
      </c>
      <c r="H406" s="141">
        <v>529</v>
      </c>
      <c r="I406" s="141">
        <v>192</v>
      </c>
      <c r="J406" s="149">
        <v>8</v>
      </c>
      <c r="K406" s="150">
        <v>48</v>
      </c>
    </row>
    <row r="407" spans="1:11" ht="30" customHeight="1">
      <c r="A407" s="30">
        <v>16530</v>
      </c>
      <c r="B407" s="16" t="s">
        <v>75</v>
      </c>
      <c r="C407" s="15" t="s">
        <v>165</v>
      </c>
      <c r="D407" s="15" t="s">
        <v>132</v>
      </c>
      <c r="E407" s="15">
        <v>0.21</v>
      </c>
      <c r="F407" s="131">
        <v>11542.158148759539</v>
      </c>
      <c r="G407" s="17" t="e">
        <f t="shared" si="6"/>
        <v>#VALUE!</v>
      </c>
      <c r="H407" s="141">
        <v>664</v>
      </c>
      <c r="I407" s="141">
        <v>96</v>
      </c>
      <c r="J407" s="149">
        <v>6</v>
      </c>
      <c r="K407" s="150">
        <v>48</v>
      </c>
    </row>
    <row r="408" spans="1:11" ht="30" customHeight="1">
      <c r="A408" s="30">
        <v>16532</v>
      </c>
      <c r="B408" s="16" t="s">
        <v>75</v>
      </c>
      <c r="C408" s="15" t="s">
        <v>165</v>
      </c>
      <c r="D408" s="15" t="s">
        <v>133</v>
      </c>
      <c r="E408" s="15">
        <v>0.21</v>
      </c>
      <c r="F408" s="131">
        <v>12146.561700468234</v>
      </c>
      <c r="G408" s="17" t="e">
        <f t="shared" si="6"/>
        <v>#VALUE!</v>
      </c>
      <c r="H408" s="141">
        <v>625</v>
      </c>
      <c r="I408" s="141">
        <v>96</v>
      </c>
      <c r="J408" s="149">
        <v>6</v>
      </c>
      <c r="K408" s="150">
        <v>48</v>
      </c>
    </row>
    <row r="409" spans="1:11" ht="30" customHeight="1">
      <c r="A409" s="30">
        <v>16537</v>
      </c>
      <c r="B409" s="16" t="s">
        <v>75</v>
      </c>
      <c r="C409" s="15" t="s">
        <v>1935</v>
      </c>
      <c r="D409" s="15" t="s">
        <v>145</v>
      </c>
      <c r="E409" s="15">
        <v>0.21</v>
      </c>
      <c r="F409" s="131">
        <v>3889.6293085769062</v>
      </c>
      <c r="G409" s="17" t="e">
        <f t="shared" si="6"/>
        <v>#VALUE!</v>
      </c>
      <c r="H409" s="141">
        <v>1586</v>
      </c>
      <c r="I409" s="141">
        <v>0</v>
      </c>
      <c r="J409" s="149">
        <v>20</v>
      </c>
      <c r="K409" s="150">
        <v>160</v>
      </c>
    </row>
    <row r="410" spans="1:11" ht="30" customHeight="1">
      <c r="A410" s="30">
        <v>16538</v>
      </c>
      <c r="B410" s="16" t="s">
        <v>75</v>
      </c>
      <c r="C410" s="15" t="s">
        <v>166</v>
      </c>
      <c r="D410" s="15" t="s">
        <v>97</v>
      </c>
      <c r="E410" s="15">
        <v>0.21</v>
      </c>
      <c r="F410" s="131">
        <v>3889.6293085769062</v>
      </c>
      <c r="G410" s="17" t="e">
        <f t="shared" si="6"/>
        <v>#VALUE!</v>
      </c>
      <c r="H410" s="141">
        <v>1380</v>
      </c>
      <c r="I410" s="141">
        <v>0</v>
      </c>
      <c r="J410" s="149">
        <v>20</v>
      </c>
      <c r="K410" s="150">
        <v>160</v>
      </c>
    </row>
    <row r="411" spans="1:11" ht="30" customHeight="1">
      <c r="A411" s="30">
        <v>16539</v>
      </c>
      <c r="B411" s="16" t="s">
        <v>75</v>
      </c>
      <c r="C411" s="15" t="s">
        <v>166</v>
      </c>
      <c r="D411" s="15" t="s">
        <v>146</v>
      </c>
      <c r="E411" s="15">
        <v>0.21</v>
      </c>
      <c r="F411" s="131">
        <v>3889.6293085769062</v>
      </c>
      <c r="G411" s="17" t="e">
        <f t="shared" si="6"/>
        <v>#VALUE!</v>
      </c>
      <c r="H411" s="141">
        <v>1625</v>
      </c>
      <c r="I411" s="141">
        <v>0</v>
      </c>
      <c r="J411" s="149">
        <v>20</v>
      </c>
      <c r="K411" s="150">
        <v>160</v>
      </c>
    </row>
    <row r="412" spans="1:11" ht="30" customHeight="1">
      <c r="A412" s="30">
        <v>16540</v>
      </c>
      <c r="B412" s="16" t="s">
        <v>75</v>
      </c>
      <c r="C412" s="15" t="s">
        <v>166</v>
      </c>
      <c r="D412" s="15" t="s">
        <v>98</v>
      </c>
      <c r="E412" s="15">
        <v>0.21</v>
      </c>
      <c r="F412" s="131">
        <v>4143.5930000000008</v>
      </c>
      <c r="G412" s="17" t="e">
        <f t="shared" si="6"/>
        <v>#VALUE!</v>
      </c>
      <c r="H412" s="141">
        <v>1311</v>
      </c>
      <c r="I412" s="141">
        <v>0</v>
      </c>
      <c r="J412" s="149" t="e">
        <v>#N/A</v>
      </c>
      <c r="K412" s="150" t="e">
        <v>#N/A</v>
      </c>
    </row>
    <row r="413" spans="1:11" ht="30" customHeight="1">
      <c r="A413" s="30">
        <v>16541</v>
      </c>
      <c r="B413" s="16" t="s">
        <v>75</v>
      </c>
      <c r="C413" s="15" t="s">
        <v>166</v>
      </c>
      <c r="D413" s="15" t="s">
        <v>147</v>
      </c>
      <c r="E413" s="15">
        <v>0.21</v>
      </c>
      <c r="F413" s="131">
        <v>3889.6293085769062</v>
      </c>
      <c r="G413" s="17" t="e">
        <f t="shared" si="6"/>
        <v>#VALUE!</v>
      </c>
      <c r="H413" s="141">
        <v>894</v>
      </c>
      <c r="I413" s="141">
        <v>0</v>
      </c>
      <c r="J413" s="149">
        <v>20</v>
      </c>
      <c r="K413" s="150">
        <v>160</v>
      </c>
    </row>
    <row r="414" spans="1:11" ht="30" customHeight="1">
      <c r="A414" s="30">
        <v>16542</v>
      </c>
      <c r="B414" s="16" t="s">
        <v>75</v>
      </c>
      <c r="C414" s="15" t="s">
        <v>166</v>
      </c>
      <c r="D414" s="15" t="s">
        <v>148</v>
      </c>
      <c r="E414" s="15">
        <v>0.21</v>
      </c>
      <c r="F414" s="131">
        <v>4143.5930000000008</v>
      </c>
      <c r="G414" s="17" t="e">
        <f t="shared" si="6"/>
        <v>#VALUE!</v>
      </c>
      <c r="H414" s="141">
        <v>1584</v>
      </c>
      <c r="I414" s="141">
        <v>0</v>
      </c>
      <c r="J414" s="149">
        <v>20</v>
      </c>
      <c r="K414" s="150">
        <v>0</v>
      </c>
    </row>
    <row r="415" spans="1:11" ht="30" customHeight="1">
      <c r="A415" s="30">
        <v>16543</v>
      </c>
      <c r="B415" s="16" t="s">
        <v>75</v>
      </c>
      <c r="C415" s="15" t="s">
        <v>166</v>
      </c>
      <c r="D415" s="15" t="s">
        <v>149</v>
      </c>
      <c r="E415" s="15">
        <v>0.21</v>
      </c>
      <c r="F415" s="131">
        <v>4492.5343999999996</v>
      </c>
      <c r="G415" s="17" t="e">
        <f t="shared" si="6"/>
        <v>#VALUE!</v>
      </c>
      <c r="H415" s="141">
        <v>343</v>
      </c>
      <c r="I415" s="141">
        <v>0</v>
      </c>
      <c r="J415" s="149">
        <v>15</v>
      </c>
      <c r="K415" s="150">
        <v>120</v>
      </c>
    </row>
    <row r="416" spans="1:11" ht="30" customHeight="1">
      <c r="A416" s="30">
        <v>16544</v>
      </c>
      <c r="B416" s="16" t="s">
        <v>75</v>
      </c>
      <c r="C416" s="15" t="s">
        <v>166</v>
      </c>
      <c r="D416" s="15" t="s">
        <v>150</v>
      </c>
      <c r="E416" s="15">
        <v>0.21</v>
      </c>
      <c r="F416" s="131">
        <v>5124.9728000000005</v>
      </c>
      <c r="G416" s="17" t="e">
        <f t="shared" si="6"/>
        <v>#VALUE!</v>
      </c>
      <c r="H416" s="141">
        <v>973</v>
      </c>
      <c r="I416" s="141">
        <v>0</v>
      </c>
      <c r="J416" s="149" t="e">
        <v>#N/A</v>
      </c>
      <c r="K416" s="150" t="e">
        <v>#N/A</v>
      </c>
    </row>
    <row r="417" spans="1:11" ht="30" customHeight="1">
      <c r="A417" s="30">
        <v>16545</v>
      </c>
      <c r="B417" s="16" t="s">
        <v>75</v>
      </c>
      <c r="C417" s="15" t="s">
        <v>166</v>
      </c>
      <c r="D417" s="15" t="s">
        <v>151</v>
      </c>
      <c r="E417" s="15">
        <v>0.21</v>
      </c>
      <c r="F417" s="131">
        <v>5506.6258000000007</v>
      </c>
      <c r="G417" s="17" t="e">
        <f t="shared" si="6"/>
        <v>#VALUE!</v>
      </c>
      <c r="H417" s="141">
        <v>319</v>
      </c>
      <c r="I417" s="141">
        <v>0</v>
      </c>
      <c r="J417" s="149">
        <v>15</v>
      </c>
      <c r="K417" s="150">
        <v>120</v>
      </c>
    </row>
    <row r="418" spans="1:11" ht="30" customHeight="1">
      <c r="A418" s="30">
        <v>16546</v>
      </c>
      <c r="B418" s="16" t="s">
        <v>75</v>
      </c>
      <c r="C418" s="15" t="s">
        <v>166</v>
      </c>
      <c r="D418" s="15" t="s">
        <v>152</v>
      </c>
      <c r="E418" s="15">
        <v>0.21</v>
      </c>
      <c r="F418" s="131">
        <v>5605.3555198790009</v>
      </c>
      <c r="G418" s="17" t="e">
        <f t="shared" si="6"/>
        <v>#VALUE!</v>
      </c>
      <c r="H418" s="141">
        <v>397</v>
      </c>
      <c r="I418" s="141">
        <v>0</v>
      </c>
      <c r="J418" s="149">
        <v>12</v>
      </c>
      <c r="K418" s="150">
        <v>96</v>
      </c>
    </row>
    <row r="419" spans="1:11" ht="30" customHeight="1">
      <c r="A419" s="30">
        <v>16547</v>
      </c>
      <c r="B419" s="16" t="s">
        <v>75</v>
      </c>
      <c r="C419" s="15" t="s">
        <v>166</v>
      </c>
      <c r="D419" s="15" t="s">
        <v>167</v>
      </c>
      <c r="E419" s="15">
        <v>0.21</v>
      </c>
      <c r="F419" s="131">
        <v>6313.5295999999998</v>
      </c>
      <c r="G419" s="17" t="e">
        <f t="shared" si="6"/>
        <v>#VALUE!</v>
      </c>
      <c r="H419" s="141">
        <v>253</v>
      </c>
      <c r="I419" s="141">
        <v>0</v>
      </c>
      <c r="J419" s="149">
        <v>12</v>
      </c>
      <c r="K419" s="150">
        <v>96</v>
      </c>
    </row>
    <row r="420" spans="1:11" ht="30" customHeight="1">
      <c r="A420" s="30">
        <v>16548</v>
      </c>
      <c r="B420" s="16" t="s">
        <v>75</v>
      </c>
      <c r="C420" s="15" t="s">
        <v>166</v>
      </c>
      <c r="D420" s="15" t="s">
        <v>62</v>
      </c>
      <c r="E420" s="15">
        <v>0.21</v>
      </c>
      <c r="F420" s="131">
        <v>9007.562609335997</v>
      </c>
      <c r="G420" s="17" t="e">
        <f t="shared" si="6"/>
        <v>#VALUE!</v>
      </c>
      <c r="H420" s="141">
        <v>309</v>
      </c>
      <c r="I420" s="141">
        <v>0</v>
      </c>
      <c r="J420" s="149">
        <v>12</v>
      </c>
      <c r="K420" s="150">
        <v>96</v>
      </c>
    </row>
    <row r="421" spans="1:11" ht="30" customHeight="1">
      <c r="A421" s="30">
        <v>16550</v>
      </c>
      <c r="B421" s="16" t="s">
        <v>75</v>
      </c>
      <c r="C421" s="15" t="s">
        <v>166</v>
      </c>
      <c r="D421" s="15" t="s">
        <v>168</v>
      </c>
      <c r="E421" s="15">
        <v>0.21</v>
      </c>
      <c r="F421" s="131">
        <v>11558.452000000001</v>
      </c>
      <c r="G421" s="17" t="e">
        <f t="shared" si="6"/>
        <v>#VALUE!</v>
      </c>
      <c r="H421" s="141">
        <v>144</v>
      </c>
      <c r="I421" s="141">
        <v>0</v>
      </c>
      <c r="J421" s="149">
        <v>6</v>
      </c>
      <c r="K421" s="150">
        <v>48</v>
      </c>
    </row>
    <row r="422" spans="1:11" ht="30" customHeight="1">
      <c r="A422" s="30">
        <v>16551</v>
      </c>
      <c r="B422" s="16" t="s">
        <v>75</v>
      </c>
      <c r="C422" s="15" t="s">
        <v>166</v>
      </c>
      <c r="D422" s="15" t="s">
        <v>169</v>
      </c>
      <c r="E422" s="15">
        <v>0.21</v>
      </c>
      <c r="F422" s="131">
        <v>11765.6396</v>
      </c>
      <c r="G422" s="17" t="e">
        <f t="shared" si="6"/>
        <v>#VALUE!</v>
      </c>
      <c r="H422" s="141">
        <v>172</v>
      </c>
      <c r="I422" s="141">
        <v>0</v>
      </c>
      <c r="J422" s="149">
        <v>6</v>
      </c>
      <c r="K422" s="150">
        <v>48</v>
      </c>
    </row>
    <row r="423" spans="1:11" ht="30" customHeight="1">
      <c r="A423" s="30">
        <v>16552</v>
      </c>
      <c r="B423" s="16" t="s">
        <v>75</v>
      </c>
      <c r="C423" s="15" t="s">
        <v>166</v>
      </c>
      <c r="D423" s="15" t="s">
        <v>170</v>
      </c>
      <c r="E423" s="15">
        <v>0.21</v>
      </c>
      <c r="F423" s="131">
        <v>12125.477800000001</v>
      </c>
      <c r="G423" s="17" t="e">
        <f t="shared" si="6"/>
        <v>#VALUE!</v>
      </c>
      <c r="H423" s="141">
        <v>141</v>
      </c>
      <c r="I423" s="141">
        <v>0</v>
      </c>
      <c r="J423" s="149">
        <v>6</v>
      </c>
      <c r="K423" s="150">
        <v>48</v>
      </c>
    </row>
    <row r="424" spans="1:11" ht="30" customHeight="1">
      <c r="A424" s="30">
        <v>16558</v>
      </c>
      <c r="B424" s="16" t="s">
        <v>75</v>
      </c>
      <c r="C424" s="15" t="s">
        <v>171</v>
      </c>
      <c r="D424" s="15" t="s">
        <v>80</v>
      </c>
      <c r="E424" s="15">
        <v>0.21</v>
      </c>
      <c r="F424" s="131">
        <v>7312.5367984508466</v>
      </c>
      <c r="G424" s="17" t="e">
        <f t="shared" si="6"/>
        <v>#VALUE!</v>
      </c>
      <c r="H424" s="141">
        <v>282</v>
      </c>
      <c r="I424" s="141">
        <v>0</v>
      </c>
      <c r="J424" s="149">
        <v>20</v>
      </c>
      <c r="K424" s="150">
        <v>160</v>
      </c>
    </row>
    <row r="425" spans="1:11" ht="30" customHeight="1">
      <c r="A425" s="30">
        <v>16559</v>
      </c>
      <c r="B425" s="16" t="s">
        <v>75</v>
      </c>
      <c r="C425" s="15" t="s">
        <v>171</v>
      </c>
      <c r="D425" s="15" t="s">
        <v>120</v>
      </c>
      <c r="E425" s="15">
        <v>0.21</v>
      </c>
      <c r="F425" s="131">
        <v>7312.5367984508466</v>
      </c>
      <c r="G425" s="17" t="e">
        <f t="shared" si="6"/>
        <v>#VALUE!</v>
      </c>
      <c r="H425" s="141">
        <v>106</v>
      </c>
      <c r="I425" s="141">
        <v>0</v>
      </c>
      <c r="J425" s="149">
        <v>20</v>
      </c>
      <c r="K425" s="150">
        <v>160</v>
      </c>
    </row>
    <row r="426" spans="1:11" ht="30" customHeight="1">
      <c r="A426" s="30">
        <v>16560</v>
      </c>
      <c r="B426" s="16" t="s">
        <v>75</v>
      </c>
      <c r="C426" s="15" t="s">
        <v>171</v>
      </c>
      <c r="D426" s="15" t="s">
        <v>81</v>
      </c>
      <c r="E426" s="15">
        <v>0.21</v>
      </c>
      <c r="F426" s="131">
        <v>7312.5367984508466</v>
      </c>
      <c r="G426" s="17" t="e">
        <f t="shared" si="6"/>
        <v>#VALUE!</v>
      </c>
      <c r="H426" s="141">
        <v>447</v>
      </c>
      <c r="I426" s="141">
        <v>0</v>
      </c>
      <c r="J426" s="149">
        <v>20</v>
      </c>
      <c r="K426" s="150">
        <v>160</v>
      </c>
    </row>
    <row r="427" spans="1:11" ht="30" customHeight="1">
      <c r="A427" s="30">
        <v>16561</v>
      </c>
      <c r="B427" s="16" t="s">
        <v>75</v>
      </c>
      <c r="C427" s="15" t="s">
        <v>171</v>
      </c>
      <c r="D427" s="15" t="s">
        <v>121</v>
      </c>
      <c r="E427" s="15">
        <v>0.21</v>
      </c>
      <c r="F427" s="131">
        <v>7312.5367984508466</v>
      </c>
      <c r="G427" s="17" t="e">
        <f t="shared" si="6"/>
        <v>#VALUE!</v>
      </c>
      <c r="H427" s="141">
        <v>372</v>
      </c>
      <c r="I427" s="141">
        <v>0</v>
      </c>
      <c r="J427" s="149">
        <v>20</v>
      </c>
      <c r="K427" s="150">
        <v>160</v>
      </c>
    </row>
    <row r="428" spans="1:11" ht="30" customHeight="1">
      <c r="A428" s="30">
        <v>16562</v>
      </c>
      <c r="B428" s="16" t="s">
        <v>75</v>
      </c>
      <c r="C428" s="15" t="s">
        <v>171</v>
      </c>
      <c r="D428" s="15" t="s">
        <v>82</v>
      </c>
      <c r="E428" s="15">
        <v>0.21</v>
      </c>
      <c r="F428" s="131">
        <v>7312.5367984508466</v>
      </c>
      <c r="G428" s="17" t="e">
        <f t="shared" si="6"/>
        <v>#VALUE!</v>
      </c>
      <c r="H428" s="141">
        <v>338</v>
      </c>
      <c r="I428" s="141">
        <v>0</v>
      </c>
      <c r="J428" s="149">
        <v>20</v>
      </c>
      <c r="K428" s="150">
        <v>160</v>
      </c>
    </row>
    <row r="429" spans="1:11" ht="30" customHeight="1">
      <c r="A429" s="30">
        <v>16563</v>
      </c>
      <c r="B429" s="16" t="s">
        <v>75</v>
      </c>
      <c r="C429" s="15" t="s">
        <v>171</v>
      </c>
      <c r="D429" s="15" t="s">
        <v>83</v>
      </c>
      <c r="E429" s="15">
        <v>0.21</v>
      </c>
      <c r="F429" s="131">
        <v>7312.5367984508466</v>
      </c>
      <c r="G429" s="17" t="e">
        <f t="shared" si="6"/>
        <v>#VALUE!</v>
      </c>
      <c r="H429" s="141">
        <v>686</v>
      </c>
      <c r="I429" s="141">
        <v>160</v>
      </c>
      <c r="J429" s="149">
        <v>20</v>
      </c>
      <c r="K429" s="150">
        <v>160</v>
      </c>
    </row>
    <row r="430" spans="1:11" ht="30" customHeight="1">
      <c r="A430" s="30">
        <v>16564</v>
      </c>
      <c r="B430" s="16" t="s">
        <v>75</v>
      </c>
      <c r="C430" s="15" t="s">
        <v>171</v>
      </c>
      <c r="D430" s="15" t="s">
        <v>84</v>
      </c>
      <c r="E430" s="15">
        <v>0.21</v>
      </c>
      <c r="F430" s="131">
        <v>7312.5367984508466</v>
      </c>
      <c r="G430" s="17" t="e">
        <f t="shared" si="6"/>
        <v>#VALUE!</v>
      </c>
      <c r="H430" s="141">
        <v>481</v>
      </c>
      <c r="I430" s="141">
        <v>0</v>
      </c>
      <c r="J430" s="149">
        <v>20</v>
      </c>
      <c r="K430" s="150">
        <v>160</v>
      </c>
    </row>
    <row r="431" spans="1:11" ht="30" customHeight="1">
      <c r="A431" s="30">
        <v>16565</v>
      </c>
      <c r="B431" s="16" t="s">
        <v>75</v>
      </c>
      <c r="C431" s="15" t="s">
        <v>171</v>
      </c>
      <c r="D431" s="15" t="s">
        <v>122</v>
      </c>
      <c r="E431" s="15">
        <v>0.21</v>
      </c>
      <c r="F431" s="131">
        <v>7312.5367984508466</v>
      </c>
      <c r="G431" s="17" t="e">
        <f t="shared" si="6"/>
        <v>#VALUE!</v>
      </c>
      <c r="H431" s="141">
        <v>245</v>
      </c>
      <c r="I431" s="141">
        <v>0</v>
      </c>
      <c r="J431" s="149">
        <v>20</v>
      </c>
      <c r="K431" s="150">
        <v>160</v>
      </c>
    </row>
    <row r="432" spans="1:11" ht="30" customHeight="1">
      <c r="A432" s="30">
        <v>16566</v>
      </c>
      <c r="B432" s="16" t="s">
        <v>75</v>
      </c>
      <c r="C432" s="15" t="s">
        <v>171</v>
      </c>
      <c r="D432" s="15" t="s">
        <v>123</v>
      </c>
      <c r="E432" s="15">
        <v>0.21</v>
      </c>
      <c r="F432" s="131">
        <v>7312.5367984508466</v>
      </c>
      <c r="G432" s="17" t="e">
        <f t="shared" si="6"/>
        <v>#VALUE!</v>
      </c>
      <c r="H432" s="141">
        <v>372</v>
      </c>
      <c r="I432" s="141">
        <v>160</v>
      </c>
      <c r="J432" s="149">
        <v>20</v>
      </c>
      <c r="K432" s="150">
        <v>160</v>
      </c>
    </row>
    <row r="433" spans="1:11" ht="30" customHeight="1">
      <c r="A433" s="30">
        <v>16567</v>
      </c>
      <c r="B433" s="16" t="s">
        <v>75</v>
      </c>
      <c r="C433" s="15" t="s">
        <v>171</v>
      </c>
      <c r="D433" s="15" t="s">
        <v>85</v>
      </c>
      <c r="E433" s="15">
        <v>0.21</v>
      </c>
      <c r="F433" s="131">
        <v>7312.5367984508466</v>
      </c>
      <c r="G433" s="17" t="e">
        <f t="shared" si="6"/>
        <v>#VALUE!</v>
      </c>
      <c r="H433" s="141">
        <v>419</v>
      </c>
      <c r="I433" s="141">
        <v>120</v>
      </c>
      <c r="J433" s="149">
        <v>15</v>
      </c>
      <c r="K433" s="150">
        <v>120</v>
      </c>
    </row>
    <row r="434" spans="1:11" ht="30" customHeight="1">
      <c r="A434" s="30">
        <v>16568</v>
      </c>
      <c r="B434" s="16" t="s">
        <v>75</v>
      </c>
      <c r="C434" s="15" t="s">
        <v>171</v>
      </c>
      <c r="D434" s="15" t="s">
        <v>124</v>
      </c>
      <c r="E434" s="15">
        <v>0.21</v>
      </c>
      <c r="F434" s="131">
        <v>7573.6988269669482</v>
      </c>
      <c r="G434" s="17" t="e">
        <f t="shared" si="6"/>
        <v>#VALUE!</v>
      </c>
      <c r="H434" s="141">
        <v>475</v>
      </c>
      <c r="I434" s="141">
        <v>120</v>
      </c>
      <c r="J434" s="149">
        <v>15</v>
      </c>
      <c r="K434" s="150">
        <v>120</v>
      </c>
    </row>
    <row r="435" spans="1:11" ht="30" customHeight="1">
      <c r="A435" s="30">
        <v>16569</v>
      </c>
      <c r="B435" s="16" t="s">
        <v>75</v>
      </c>
      <c r="C435" s="15" t="s">
        <v>171</v>
      </c>
      <c r="D435" s="15" t="s">
        <v>86</v>
      </c>
      <c r="E435" s="15">
        <v>0.21</v>
      </c>
      <c r="F435" s="131">
        <v>7862.8425013954848</v>
      </c>
      <c r="G435" s="17" t="e">
        <f t="shared" si="6"/>
        <v>#VALUE!</v>
      </c>
      <c r="H435" s="141">
        <v>466</v>
      </c>
      <c r="I435" s="141">
        <v>120</v>
      </c>
      <c r="J435" s="149">
        <v>15</v>
      </c>
      <c r="K435" s="150">
        <v>120</v>
      </c>
    </row>
    <row r="436" spans="1:11" ht="30" customHeight="1">
      <c r="A436" s="30">
        <v>16570</v>
      </c>
      <c r="B436" s="16" t="s">
        <v>75</v>
      </c>
      <c r="C436" s="15" t="s">
        <v>171</v>
      </c>
      <c r="D436" s="15" t="s">
        <v>125</v>
      </c>
      <c r="E436" s="15">
        <v>0.21</v>
      </c>
      <c r="F436" s="131">
        <v>7862.8425013954848</v>
      </c>
      <c r="G436" s="17" t="e">
        <f t="shared" si="6"/>
        <v>#VALUE!</v>
      </c>
      <c r="H436" s="141">
        <v>216</v>
      </c>
      <c r="I436" s="141">
        <v>0</v>
      </c>
      <c r="J436" s="149">
        <v>15</v>
      </c>
      <c r="K436" s="150">
        <v>120</v>
      </c>
    </row>
    <row r="437" spans="1:11" ht="30" customHeight="1">
      <c r="A437" s="30">
        <v>16571</v>
      </c>
      <c r="B437" s="16" t="s">
        <v>75</v>
      </c>
      <c r="C437" s="15" t="s">
        <v>171</v>
      </c>
      <c r="D437" s="15" t="s">
        <v>126</v>
      </c>
      <c r="E437" s="15">
        <v>0.21</v>
      </c>
      <c r="F437" s="131">
        <v>7862.8425013954848</v>
      </c>
      <c r="G437" s="17" t="e">
        <f t="shared" si="6"/>
        <v>#VALUE!</v>
      </c>
      <c r="H437" s="141">
        <v>301</v>
      </c>
      <c r="I437" s="141">
        <v>0</v>
      </c>
      <c r="J437" s="149">
        <v>15</v>
      </c>
      <c r="K437" s="150">
        <v>120</v>
      </c>
    </row>
    <row r="438" spans="1:11" ht="30" customHeight="1">
      <c r="A438" s="30">
        <v>16572</v>
      </c>
      <c r="B438" s="16" t="s">
        <v>75</v>
      </c>
      <c r="C438" s="15" t="s">
        <v>171</v>
      </c>
      <c r="D438" s="15" t="s">
        <v>127</v>
      </c>
      <c r="E438" s="15">
        <v>0.21</v>
      </c>
      <c r="F438" s="131">
        <v>9038.0716297179424</v>
      </c>
      <c r="G438" s="17" t="e">
        <f t="shared" si="6"/>
        <v>#VALUE!</v>
      </c>
      <c r="H438" s="141">
        <v>295</v>
      </c>
      <c r="I438" s="141">
        <v>0</v>
      </c>
      <c r="J438" s="149">
        <v>12</v>
      </c>
      <c r="K438" s="150">
        <v>96</v>
      </c>
    </row>
    <row r="439" spans="1:11" ht="30" customHeight="1">
      <c r="A439" s="30">
        <v>16573</v>
      </c>
      <c r="B439" s="16" t="s">
        <v>75</v>
      </c>
      <c r="C439" s="15" t="s">
        <v>171</v>
      </c>
      <c r="D439" s="15" t="s">
        <v>128</v>
      </c>
      <c r="E439" s="15">
        <v>0.21</v>
      </c>
      <c r="F439" s="131">
        <v>9709.6311316164883</v>
      </c>
      <c r="G439" s="17" t="e">
        <f t="shared" si="6"/>
        <v>#VALUE!</v>
      </c>
      <c r="H439" s="141">
        <v>158</v>
      </c>
      <c r="I439" s="141">
        <v>0</v>
      </c>
      <c r="J439" s="149">
        <v>10</v>
      </c>
      <c r="K439" s="150">
        <v>80</v>
      </c>
    </row>
    <row r="440" spans="1:11" ht="30" customHeight="1">
      <c r="A440" s="30">
        <v>16574</v>
      </c>
      <c r="B440" s="16" t="s">
        <v>75</v>
      </c>
      <c r="C440" s="15" t="s">
        <v>171</v>
      </c>
      <c r="D440" s="15" t="s">
        <v>129</v>
      </c>
      <c r="E440" s="15">
        <v>0.21</v>
      </c>
      <c r="F440" s="131">
        <v>9989.4475907408869</v>
      </c>
      <c r="G440" s="17" t="e">
        <f t="shared" si="6"/>
        <v>#VALUE!</v>
      </c>
      <c r="H440" s="141">
        <v>305</v>
      </c>
      <c r="I440" s="141">
        <v>80</v>
      </c>
      <c r="J440" s="149">
        <v>10</v>
      </c>
      <c r="K440" s="150">
        <v>80</v>
      </c>
    </row>
    <row r="441" spans="1:11" ht="30" customHeight="1">
      <c r="A441" s="30">
        <v>16577</v>
      </c>
      <c r="B441" s="16" t="s">
        <v>75</v>
      </c>
      <c r="C441" s="15" t="s">
        <v>171</v>
      </c>
      <c r="D441" s="15" t="s">
        <v>131</v>
      </c>
      <c r="E441" s="15">
        <v>0.21</v>
      </c>
      <c r="F441" s="131">
        <v>14625.073596901693</v>
      </c>
      <c r="G441" s="17" t="e">
        <f t="shared" si="6"/>
        <v>#VALUE!</v>
      </c>
      <c r="H441" s="141">
        <v>225</v>
      </c>
      <c r="I441" s="141">
        <v>0</v>
      </c>
      <c r="J441" s="149">
        <v>8</v>
      </c>
      <c r="K441" s="150">
        <v>64</v>
      </c>
    </row>
    <row r="442" spans="1:11" ht="30" customHeight="1">
      <c r="A442" s="30">
        <v>16580</v>
      </c>
      <c r="B442" s="16" t="s">
        <v>75</v>
      </c>
      <c r="C442" s="15" t="s">
        <v>171</v>
      </c>
      <c r="D442" s="15" t="s">
        <v>132</v>
      </c>
      <c r="E442" s="15">
        <v>0.21</v>
      </c>
      <c r="F442" s="131">
        <v>19204.736311237612</v>
      </c>
      <c r="G442" s="17" t="e">
        <f t="shared" si="6"/>
        <v>#VALUE!</v>
      </c>
      <c r="H442" s="141">
        <v>178</v>
      </c>
      <c r="I442" s="141">
        <v>48</v>
      </c>
      <c r="J442" s="149">
        <v>6</v>
      </c>
      <c r="K442" s="150">
        <v>48</v>
      </c>
    </row>
    <row r="443" spans="1:11" ht="30" customHeight="1">
      <c r="A443" s="30">
        <v>16582</v>
      </c>
      <c r="B443" s="16" t="s">
        <v>75</v>
      </c>
      <c r="C443" s="15" t="s">
        <v>171</v>
      </c>
      <c r="D443" s="15" t="s">
        <v>133</v>
      </c>
      <c r="E443" s="15">
        <v>0.21</v>
      </c>
      <c r="F443" s="131">
        <v>20417.274300776655</v>
      </c>
      <c r="G443" s="17" t="e">
        <f t="shared" si="6"/>
        <v>#VALUE!</v>
      </c>
      <c r="H443" s="141">
        <v>114</v>
      </c>
      <c r="I443" s="141">
        <v>0</v>
      </c>
      <c r="J443" s="149">
        <v>6</v>
      </c>
      <c r="K443" s="150">
        <v>48</v>
      </c>
    </row>
    <row r="444" spans="1:11" ht="30" customHeight="1">
      <c r="A444" s="32">
        <v>18208</v>
      </c>
      <c r="B444" s="16" t="s">
        <v>75</v>
      </c>
      <c r="C444" s="15" t="s">
        <v>2088</v>
      </c>
      <c r="D444" s="15" t="s">
        <v>80</v>
      </c>
      <c r="E444" s="15">
        <v>0.21</v>
      </c>
      <c r="F444" s="131">
        <v>6864.830463851813</v>
      </c>
      <c r="G444" s="17" t="e">
        <f t="shared" si="6"/>
        <v>#VALUE!</v>
      </c>
      <c r="H444" s="141">
        <v>157</v>
      </c>
      <c r="I444" s="141">
        <v>0</v>
      </c>
      <c r="J444" s="149">
        <v>20</v>
      </c>
      <c r="K444" s="150">
        <v>120</v>
      </c>
    </row>
    <row r="445" spans="1:11" ht="30" customHeight="1">
      <c r="A445" s="32">
        <v>18209</v>
      </c>
      <c r="B445" s="16" t="s">
        <v>75</v>
      </c>
      <c r="C445" s="15" t="s">
        <v>2088</v>
      </c>
      <c r="D445" s="15" t="s">
        <v>120</v>
      </c>
      <c r="E445" s="15">
        <v>0.21</v>
      </c>
      <c r="F445" s="131">
        <v>6864.830463851813</v>
      </c>
      <c r="G445" s="17" t="e">
        <f t="shared" si="6"/>
        <v>#VALUE!</v>
      </c>
      <c r="H445" s="141">
        <v>166</v>
      </c>
      <c r="I445" s="141">
        <v>0</v>
      </c>
      <c r="J445" s="149">
        <v>20</v>
      </c>
      <c r="K445" s="150">
        <v>120</v>
      </c>
    </row>
    <row r="446" spans="1:11" ht="30" customHeight="1">
      <c r="A446" s="32">
        <v>18210</v>
      </c>
      <c r="B446" s="16" t="s">
        <v>75</v>
      </c>
      <c r="C446" s="15" t="s">
        <v>2088</v>
      </c>
      <c r="D446" s="15" t="s">
        <v>81</v>
      </c>
      <c r="E446" s="15">
        <v>0.21</v>
      </c>
      <c r="F446" s="131">
        <v>6864.830463851813</v>
      </c>
      <c r="G446" s="17" t="e">
        <f t="shared" si="6"/>
        <v>#VALUE!</v>
      </c>
      <c r="H446" s="141">
        <v>137</v>
      </c>
      <c r="I446" s="141">
        <v>0</v>
      </c>
      <c r="J446" s="149">
        <v>20</v>
      </c>
      <c r="K446" s="150">
        <v>120</v>
      </c>
    </row>
    <row r="447" spans="1:11" ht="30" customHeight="1">
      <c r="A447" s="32">
        <v>18211</v>
      </c>
      <c r="B447" s="16" t="s">
        <v>75</v>
      </c>
      <c r="C447" s="15" t="s">
        <v>2088</v>
      </c>
      <c r="D447" s="15" t="s">
        <v>121</v>
      </c>
      <c r="E447" s="15">
        <v>0.21</v>
      </c>
      <c r="F447" s="131">
        <v>6864.830463851813</v>
      </c>
      <c r="G447" s="17" t="e">
        <f t="shared" si="6"/>
        <v>#VALUE!</v>
      </c>
      <c r="H447" s="141">
        <v>144</v>
      </c>
      <c r="I447" s="141">
        <v>0</v>
      </c>
      <c r="J447" s="149">
        <v>20</v>
      </c>
      <c r="K447" s="150">
        <v>120</v>
      </c>
    </row>
    <row r="448" spans="1:11" ht="30" customHeight="1">
      <c r="A448" s="32">
        <v>18212</v>
      </c>
      <c r="B448" s="16" t="s">
        <v>75</v>
      </c>
      <c r="C448" s="15" t="s">
        <v>2088</v>
      </c>
      <c r="D448" s="15" t="s">
        <v>82</v>
      </c>
      <c r="E448" s="15">
        <v>0.21</v>
      </c>
      <c r="F448" s="131">
        <v>6864.830463851813</v>
      </c>
      <c r="G448" s="17" t="e">
        <f t="shared" si="6"/>
        <v>#VALUE!</v>
      </c>
      <c r="H448" s="141">
        <v>131</v>
      </c>
      <c r="I448" s="141">
        <v>0</v>
      </c>
      <c r="J448" s="149">
        <v>20</v>
      </c>
      <c r="K448" s="150">
        <v>120</v>
      </c>
    </row>
    <row r="449" spans="1:11" ht="30" customHeight="1">
      <c r="A449" s="32">
        <v>18213</v>
      </c>
      <c r="B449" s="16" t="s">
        <v>75</v>
      </c>
      <c r="C449" s="15" t="s">
        <v>2088</v>
      </c>
      <c r="D449" s="15" t="s">
        <v>83</v>
      </c>
      <c r="E449" s="15">
        <v>0.21</v>
      </c>
      <c r="F449" s="131">
        <v>6864.830463851813</v>
      </c>
      <c r="G449" s="17" t="e">
        <f t="shared" si="6"/>
        <v>#VALUE!</v>
      </c>
      <c r="H449" s="141">
        <v>211</v>
      </c>
      <c r="I449" s="141">
        <v>0</v>
      </c>
      <c r="J449" s="149">
        <v>20</v>
      </c>
      <c r="K449" s="150">
        <v>120</v>
      </c>
    </row>
    <row r="450" spans="1:11" ht="30" customHeight="1">
      <c r="A450" s="32">
        <v>18214</v>
      </c>
      <c r="B450" s="16" t="s">
        <v>75</v>
      </c>
      <c r="C450" s="15" t="s">
        <v>2088</v>
      </c>
      <c r="D450" s="15" t="s">
        <v>84</v>
      </c>
      <c r="E450" s="15">
        <v>0.21</v>
      </c>
      <c r="F450" s="131">
        <v>6864.830463851813</v>
      </c>
      <c r="G450" s="17" t="e">
        <f t="shared" si="6"/>
        <v>#VALUE!</v>
      </c>
      <c r="H450" s="141">
        <v>233</v>
      </c>
      <c r="I450" s="141">
        <v>0</v>
      </c>
      <c r="J450" s="149">
        <v>20</v>
      </c>
      <c r="K450" s="150">
        <v>120</v>
      </c>
    </row>
    <row r="451" spans="1:11" ht="30" customHeight="1">
      <c r="A451" s="32">
        <v>18215</v>
      </c>
      <c r="B451" s="16" t="s">
        <v>75</v>
      </c>
      <c r="C451" s="15" t="s">
        <v>2088</v>
      </c>
      <c r="D451" s="15" t="s">
        <v>122</v>
      </c>
      <c r="E451" s="15">
        <v>0.21</v>
      </c>
      <c r="F451" s="131">
        <v>6864.830463851813</v>
      </c>
      <c r="G451" s="17" t="e">
        <f t="shared" si="6"/>
        <v>#VALUE!</v>
      </c>
      <c r="H451" s="141">
        <v>126</v>
      </c>
      <c r="I451" s="141">
        <v>0</v>
      </c>
      <c r="J451" s="149">
        <v>20</v>
      </c>
      <c r="K451" s="150">
        <v>120</v>
      </c>
    </row>
    <row r="452" spans="1:11" ht="30" customHeight="1">
      <c r="A452" s="32">
        <v>18216</v>
      </c>
      <c r="B452" s="16" t="s">
        <v>75</v>
      </c>
      <c r="C452" s="15" t="s">
        <v>2088</v>
      </c>
      <c r="D452" s="15" t="s">
        <v>123</v>
      </c>
      <c r="E452" s="15">
        <v>0.21</v>
      </c>
      <c r="F452" s="131">
        <v>6864.830463851813</v>
      </c>
      <c r="G452" s="17" t="e">
        <f t="shared" si="6"/>
        <v>#VALUE!</v>
      </c>
      <c r="H452" s="141">
        <v>213</v>
      </c>
      <c r="I452" s="141">
        <v>0</v>
      </c>
      <c r="J452" s="149">
        <v>20</v>
      </c>
      <c r="K452" s="150">
        <v>120</v>
      </c>
    </row>
    <row r="453" spans="1:11" ht="30" customHeight="1">
      <c r="A453" s="32">
        <v>18217</v>
      </c>
      <c r="B453" s="16" t="s">
        <v>75</v>
      </c>
      <c r="C453" s="15" t="s">
        <v>2088</v>
      </c>
      <c r="D453" s="15" t="s">
        <v>85</v>
      </c>
      <c r="E453" s="15">
        <v>0.21</v>
      </c>
      <c r="F453" s="131">
        <v>7615.6712958356029</v>
      </c>
      <c r="G453" s="17" t="e">
        <f t="shared" si="6"/>
        <v>#VALUE!</v>
      </c>
      <c r="H453" s="141">
        <v>225</v>
      </c>
      <c r="I453" s="141">
        <v>0</v>
      </c>
      <c r="J453" s="149">
        <v>12</v>
      </c>
      <c r="K453" s="150">
        <v>96</v>
      </c>
    </row>
    <row r="454" spans="1:11" ht="30" customHeight="1">
      <c r="A454" s="32">
        <v>18218</v>
      </c>
      <c r="B454" s="16" t="s">
        <v>75</v>
      </c>
      <c r="C454" s="15" t="s">
        <v>2088</v>
      </c>
      <c r="D454" s="15" t="s">
        <v>124</v>
      </c>
      <c r="E454" s="15">
        <v>0.21</v>
      </c>
      <c r="F454" s="131">
        <v>7615.6712958356029</v>
      </c>
      <c r="G454" s="17" t="e">
        <f t="shared" si="6"/>
        <v>#VALUE!</v>
      </c>
      <c r="H454" s="141">
        <v>150</v>
      </c>
      <c r="I454" s="141">
        <v>0</v>
      </c>
      <c r="J454" s="149">
        <v>12</v>
      </c>
      <c r="K454" s="150">
        <v>96</v>
      </c>
    </row>
    <row r="455" spans="1:11" ht="30" customHeight="1">
      <c r="A455" s="32">
        <v>18219</v>
      </c>
      <c r="B455" s="16" t="s">
        <v>75</v>
      </c>
      <c r="C455" s="15" t="s">
        <v>2088</v>
      </c>
      <c r="D455" s="15" t="s">
        <v>86</v>
      </c>
      <c r="E455" s="15">
        <v>0.21</v>
      </c>
      <c r="F455" s="131">
        <v>7615.6712958356029</v>
      </c>
      <c r="G455" s="17" t="e">
        <f t="shared" si="6"/>
        <v>#VALUE!</v>
      </c>
      <c r="H455" s="141">
        <v>164</v>
      </c>
      <c r="I455" s="141">
        <v>0</v>
      </c>
      <c r="J455" s="149">
        <v>12</v>
      </c>
      <c r="K455" s="150">
        <v>96</v>
      </c>
    </row>
    <row r="456" spans="1:11" ht="30" customHeight="1">
      <c r="A456" s="32">
        <v>18220</v>
      </c>
      <c r="B456" s="16" t="s">
        <v>75</v>
      </c>
      <c r="C456" s="15" t="s">
        <v>2088</v>
      </c>
      <c r="D456" s="15" t="s">
        <v>125</v>
      </c>
      <c r="E456" s="15">
        <v>0.21</v>
      </c>
      <c r="F456" s="131">
        <v>7615.6712958356029</v>
      </c>
      <c r="G456" s="17" t="e">
        <f t="shared" ref="G456:G519" si="7">(F456*$G$6)</f>
        <v>#VALUE!</v>
      </c>
      <c r="H456" s="141">
        <v>95</v>
      </c>
      <c r="I456" s="141">
        <v>0</v>
      </c>
      <c r="J456" s="149">
        <v>12</v>
      </c>
      <c r="K456" s="150">
        <v>96</v>
      </c>
    </row>
    <row r="457" spans="1:11" ht="30" customHeight="1">
      <c r="A457" s="32">
        <v>18221</v>
      </c>
      <c r="B457" s="16" t="s">
        <v>75</v>
      </c>
      <c r="C457" s="15" t="s">
        <v>2088</v>
      </c>
      <c r="D457" s="15" t="s">
        <v>126</v>
      </c>
      <c r="E457" s="15">
        <v>0.21</v>
      </c>
      <c r="F457" s="131">
        <v>7615.6712958356029</v>
      </c>
      <c r="G457" s="17" t="e">
        <f t="shared" si="7"/>
        <v>#VALUE!</v>
      </c>
      <c r="H457" s="141">
        <v>137</v>
      </c>
      <c r="I457" s="141">
        <v>0</v>
      </c>
      <c r="J457" s="149">
        <v>12</v>
      </c>
      <c r="K457" s="150">
        <v>96</v>
      </c>
    </row>
    <row r="458" spans="1:11" ht="30" customHeight="1">
      <c r="A458" s="32">
        <v>18222</v>
      </c>
      <c r="B458" s="16" t="s">
        <v>75</v>
      </c>
      <c r="C458" s="15" t="s">
        <v>2088</v>
      </c>
      <c r="D458" s="15" t="s">
        <v>127</v>
      </c>
      <c r="E458" s="15">
        <v>0.21</v>
      </c>
      <c r="F458" s="131">
        <v>8259.2491518217139</v>
      </c>
      <c r="G458" s="17" t="e">
        <f t="shared" si="7"/>
        <v>#VALUE!</v>
      </c>
      <c r="H458" s="141">
        <v>134</v>
      </c>
      <c r="I458" s="141">
        <v>0</v>
      </c>
      <c r="J458" s="149">
        <v>10</v>
      </c>
      <c r="K458" s="150">
        <v>80</v>
      </c>
    </row>
    <row r="459" spans="1:11" ht="30" customHeight="1">
      <c r="A459" s="32">
        <v>18223</v>
      </c>
      <c r="B459" s="16" t="s">
        <v>75</v>
      </c>
      <c r="C459" s="15" t="s">
        <v>2088</v>
      </c>
      <c r="D459" s="15" t="s">
        <v>128</v>
      </c>
      <c r="E459" s="15">
        <v>0.21</v>
      </c>
      <c r="F459" s="131">
        <v>8259.2491518217139</v>
      </c>
      <c r="G459" s="17" t="e">
        <f t="shared" si="7"/>
        <v>#VALUE!</v>
      </c>
      <c r="H459" s="141">
        <v>88</v>
      </c>
      <c r="I459" s="141">
        <v>0</v>
      </c>
      <c r="J459" s="149">
        <v>10</v>
      </c>
      <c r="K459" s="150">
        <v>80</v>
      </c>
    </row>
    <row r="460" spans="1:11" ht="30" customHeight="1">
      <c r="A460" s="32">
        <v>18224</v>
      </c>
      <c r="B460" s="16" t="s">
        <v>75</v>
      </c>
      <c r="C460" s="15" t="s">
        <v>2088</v>
      </c>
      <c r="D460" s="15" t="s">
        <v>129</v>
      </c>
      <c r="E460" s="15">
        <v>0.21</v>
      </c>
      <c r="F460" s="131">
        <v>8795.5640318101377</v>
      </c>
      <c r="G460" s="17" t="e">
        <f t="shared" si="7"/>
        <v>#VALUE!</v>
      </c>
      <c r="H460" s="141">
        <v>184</v>
      </c>
      <c r="I460" s="141">
        <v>0</v>
      </c>
      <c r="J460" s="149">
        <v>10</v>
      </c>
      <c r="K460" s="150">
        <v>80</v>
      </c>
    </row>
    <row r="461" spans="1:11" ht="30" customHeight="1">
      <c r="A461" s="32">
        <v>18227</v>
      </c>
      <c r="B461" s="16" t="s">
        <v>75</v>
      </c>
      <c r="C461" s="15" t="s">
        <v>2088</v>
      </c>
      <c r="D461" s="15" t="s">
        <v>131</v>
      </c>
      <c r="E461" s="15">
        <v>0.21</v>
      </c>
      <c r="F461" s="131">
        <v>10726.297599768461</v>
      </c>
      <c r="G461" s="17" t="e">
        <f t="shared" si="7"/>
        <v>#VALUE!</v>
      </c>
      <c r="H461" s="141">
        <v>152</v>
      </c>
      <c r="I461" s="141">
        <v>0</v>
      </c>
      <c r="J461" s="149">
        <v>8</v>
      </c>
      <c r="K461" s="150">
        <v>48</v>
      </c>
    </row>
    <row r="462" spans="1:11" ht="30" customHeight="1">
      <c r="A462" s="32">
        <v>18230</v>
      </c>
      <c r="B462" s="16" t="s">
        <v>75</v>
      </c>
      <c r="C462" s="15" t="s">
        <v>2088</v>
      </c>
      <c r="D462" s="15" t="s">
        <v>132</v>
      </c>
      <c r="E462" s="15">
        <v>0.21</v>
      </c>
      <c r="F462" s="131">
        <v>13729.660927703626</v>
      </c>
      <c r="G462" s="17" t="e">
        <f t="shared" si="7"/>
        <v>#VALUE!</v>
      </c>
      <c r="H462" s="141">
        <v>136</v>
      </c>
      <c r="I462" s="141">
        <v>0</v>
      </c>
      <c r="J462" s="149">
        <v>8</v>
      </c>
      <c r="K462" s="150">
        <v>48</v>
      </c>
    </row>
    <row r="463" spans="1:11" ht="30" customHeight="1">
      <c r="A463" s="32">
        <v>18232</v>
      </c>
      <c r="B463" s="16" t="s">
        <v>75</v>
      </c>
      <c r="C463" s="15" t="s">
        <v>2088</v>
      </c>
      <c r="D463" s="15" t="s">
        <v>133</v>
      </c>
      <c r="E463" s="15">
        <v>0.21</v>
      </c>
      <c r="F463" s="131">
        <v>15016.816639675837</v>
      </c>
      <c r="G463" s="17" t="e">
        <f t="shared" si="7"/>
        <v>#VALUE!</v>
      </c>
      <c r="H463" s="141">
        <v>138</v>
      </c>
      <c r="I463" s="141">
        <v>0</v>
      </c>
      <c r="J463" s="149">
        <v>8</v>
      </c>
      <c r="K463" s="150">
        <v>48</v>
      </c>
    </row>
    <row r="464" spans="1:11" ht="30" customHeight="1">
      <c r="A464" s="32">
        <v>18258</v>
      </c>
      <c r="B464" s="16" t="s">
        <v>75</v>
      </c>
      <c r="C464" s="15" t="s">
        <v>2089</v>
      </c>
      <c r="D464" s="15" t="s">
        <v>80</v>
      </c>
      <c r="E464" s="15">
        <v>0.21</v>
      </c>
      <c r="F464" s="131">
        <v>12657.031167726776</v>
      </c>
      <c r="G464" s="17" t="e">
        <f t="shared" si="7"/>
        <v>#VALUE!</v>
      </c>
      <c r="H464" s="141">
        <v>162</v>
      </c>
      <c r="I464" s="141">
        <v>0</v>
      </c>
      <c r="J464" s="149">
        <v>20</v>
      </c>
      <c r="K464" s="150">
        <v>120</v>
      </c>
    </row>
    <row r="465" spans="1:11" ht="30" customHeight="1">
      <c r="A465" s="32">
        <v>18259</v>
      </c>
      <c r="B465" s="16" t="s">
        <v>75</v>
      </c>
      <c r="C465" s="15" t="s">
        <v>2089</v>
      </c>
      <c r="D465" s="15" t="s">
        <v>120</v>
      </c>
      <c r="E465" s="15">
        <v>0.21</v>
      </c>
      <c r="F465" s="131">
        <v>12657.031167726776</v>
      </c>
      <c r="G465" s="17" t="e">
        <f t="shared" si="7"/>
        <v>#VALUE!</v>
      </c>
      <c r="H465" s="141">
        <v>173</v>
      </c>
      <c r="I465" s="141">
        <v>0</v>
      </c>
      <c r="J465" s="149">
        <v>20</v>
      </c>
      <c r="K465" s="150">
        <v>120</v>
      </c>
    </row>
    <row r="466" spans="1:11" ht="30" customHeight="1">
      <c r="A466" s="32">
        <v>18260</v>
      </c>
      <c r="B466" s="16" t="s">
        <v>75</v>
      </c>
      <c r="C466" s="15" t="s">
        <v>2089</v>
      </c>
      <c r="D466" s="15" t="s">
        <v>81</v>
      </c>
      <c r="E466" s="15">
        <v>0.21</v>
      </c>
      <c r="F466" s="131">
        <v>12657.031167726776</v>
      </c>
      <c r="G466" s="17" t="e">
        <f t="shared" si="7"/>
        <v>#VALUE!</v>
      </c>
      <c r="H466" s="141">
        <v>153</v>
      </c>
      <c r="I466" s="141">
        <v>0</v>
      </c>
      <c r="J466" s="149">
        <v>20</v>
      </c>
      <c r="K466" s="150">
        <v>120</v>
      </c>
    </row>
    <row r="467" spans="1:11" ht="30" customHeight="1">
      <c r="A467" s="32">
        <v>18261</v>
      </c>
      <c r="B467" s="16" t="s">
        <v>75</v>
      </c>
      <c r="C467" s="15" t="s">
        <v>2089</v>
      </c>
      <c r="D467" s="15" t="s">
        <v>121</v>
      </c>
      <c r="E467" s="15">
        <v>0.21</v>
      </c>
      <c r="F467" s="131">
        <v>12657.031167726776</v>
      </c>
      <c r="G467" s="17" t="e">
        <f t="shared" si="7"/>
        <v>#VALUE!</v>
      </c>
      <c r="H467" s="141">
        <v>152</v>
      </c>
      <c r="I467" s="141">
        <v>0</v>
      </c>
      <c r="J467" s="149">
        <v>20</v>
      </c>
      <c r="K467" s="150">
        <v>120</v>
      </c>
    </row>
    <row r="468" spans="1:11" ht="30" customHeight="1">
      <c r="A468" s="32">
        <v>18262</v>
      </c>
      <c r="B468" s="16" t="s">
        <v>75</v>
      </c>
      <c r="C468" s="15" t="s">
        <v>2089</v>
      </c>
      <c r="D468" s="15" t="s">
        <v>82</v>
      </c>
      <c r="E468" s="15">
        <v>0.21</v>
      </c>
      <c r="F468" s="131">
        <v>12657.031167726776</v>
      </c>
      <c r="G468" s="17" t="e">
        <f t="shared" si="7"/>
        <v>#VALUE!</v>
      </c>
      <c r="H468" s="141">
        <v>156</v>
      </c>
      <c r="I468" s="141">
        <v>0</v>
      </c>
      <c r="J468" s="149">
        <v>20</v>
      </c>
      <c r="K468" s="150">
        <v>120</v>
      </c>
    </row>
    <row r="469" spans="1:11" ht="30" customHeight="1">
      <c r="A469" s="32">
        <v>18263</v>
      </c>
      <c r="B469" s="16" t="s">
        <v>75</v>
      </c>
      <c r="C469" s="15" t="s">
        <v>2089</v>
      </c>
      <c r="D469" s="15" t="s">
        <v>83</v>
      </c>
      <c r="E469" s="15">
        <v>0.21</v>
      </c>
      <c r="F469" s="131">
        <v>12657.031167726776</v>
      </c>
      <c r="G469" s="17" t="e">
        <f t="shared" si="7"/>
        <v>#VALUE!</v>
      </c>
      <c r="H469" s="141">
        <v>119</v>
      </c>
      <c r="I469" s="141">
        <v>0</v>
      </c>
      <c r="J469" s="149">
        <v>20</v>
      </c>
      <c r="K469" s="150">
        <v>120</v>
      </c>
    </row>
    <row r="470" spans="1:11" ht="30" customHeight="1">
      <c r="A470" s="32">
        <v>18264</v>
      </c>
      <c r="B470" s="16" t="s">
        <v>75</v>
      </c>
      <c r="C470" s="15" t="s">
        <v>2089</v>
      </c>
      <c r="D470" s="15" t="s">
        <v>84</v>
      </c>
      <c r="E470" s="15">
        <v>0.21</v>
      </c>
      <c r="F470" s="131">
        <v>12657.031167726776</v>
      </c>
      <c r="G470" s="17" t="e">
        <f t="shared" si="7"/>
        <v>#VALUE!</v>
      </c>
      <c r="H470" s="141">
        <v>129</v>
      </c>
      <c r="I470" s="141">
        <v>0</v>
      </c>
      <c r="J470" s="149">
        <v>20</v>
      </c>
      <c r="K470" s="150">
        <v>120</v>
      </c>
    </row>
    <row r="471" spans="1:11" ht="30" customHeight="1">
      <c r="A471" s="32">
        <v>18265</v>
      </c>
      <c r="B471" s="16" t="s">
        <v>75</v>
      </c>
      <c r="C471" s="15" t="s">
        <v>2089</v>
      </c>
      <c r="D471" s="15" t="s">
        <v>122</v>
      </c>
      <c r="E471" s="15">
        <v>0.21</v>
      </c>
      <c r="F471" s="131">
        <v>12657.031167726776</v>
      </c>
      <c r="G471" s="17" t="e">
        <f t="shared" si="7"/>
        <v>#VALUE!</v>
      </c>
      <c r="H471" s="141">
        <v>126</v>
      </c>
      <c r="I471" s="141">
        <v>0</v>
      </c>
      <c r="J471" s="149">
        <v>20</v>
      </c>
      <c r="K471" s="150">
        <v>120</v>
      </c>
    </row>
    <row r="472" spans="1:11" ht="30" customHeight="1">
      <c r="A472" s="32">
        <v>18266</v>
      </c>
      <c r="B472" s="16" t="s">
        <v>75</v>
      </c>
      <c r="C472" s="15" t="s">
        <v>2089</v>
      </c>
      <c r="D472" s="15" t="s">
        <v>123</v>
      </c>
      <c r="E472" s="15">
        <v>0.21</v>
      </c>
      <c r="F472" s="131">
        <v>12657.031167726776</v>
      </c>
      <c r="G472" s="17" t="e">
        <f t="shared" si="7"/>
        <v>#VALUE!</v>
      </c>
      <c r="H472" s="141">
        <v>101</v>
      </c>
      <c r="I472" s="141">
        <v>0</v>
      </c>
      <c r="J472" s="149">
        <v>20</v>
      </c>
      <c r="K472" s="150">
        <v>120</v>
      </c>
    </row>
    <row r="473" spans="1:11" ht="30" customHeight="1">
      <c r="A473" s="32">
        <v>18267</v>
      </c>
      <c r="B473" s="16" t="s">
        <v>75</v>
      </c>
      <c r="C473" s="15" t="s">
        <v>2089</v>
      </c>
      <c r="D473" s="15" t="s">
        <v>85</v>
      </c>
      <c r="E473" s="15">
        <v>0.21</v>
      </c>
      <c r="F473" s="131">
        <v>14909.553663678151</v>
      </c>
      <c r="G473" s="17" t="e">
        <f t="shared" si="7"/>
        <v>#VALUE!</v>
      </c>
      <c r="H473" s="141">
        <v>97</v>
      </c>
      <c r="I473" s="141">
        <v>0</v>
      </c>
      <c r="J473" s="149">
        <v>12</v>
      </c>
      <c r="K473" s="150">
        <v>96</v>
      </c>
    </row>
    <row r="474" spans="1:11" ht="30" customHeight="1">
      <c r="A474" s="32">
        <v>18268</v>
      </c>
      <c r="B474" s="16" t="s">
        <v>75</v>
      </c>
      <c r="C474" s="15" t="s">
        <v>2089</v>
      </c>
      <c r="D474" s="15" t="s">
        <v>124</v>
      </c>
      <c r="E474" s="15">
        <v>0.21</v>
      </c>
      <c r="F474" s="131">
        <v>14909.553663678151</v>
      </c>
      <c r="G474" s="17" t="e">
        <f t="shared" si="7"/>
        <v>#VALUE!</v>
      </c>
      <c r="H474" s="141">
        <v>147</v>
      </c>
      <c r="I474" s="141">
        <v>0</v>
      </c>
      <c r="J474" s="149">
        <v>12</v>
      </c>
      <c r="K474" s="150">
        <v>96</v>
      </c>
    </row>
    <row r="475" spans="1:11" ht="30" customHeight="1">
      <c r="A475" s="32">
        <v>18269</v>
      </c>
      <c r="B475" s="16" t="s">
        <v>75</v>
      </c>
      <c r="C475" s="15" t="s">
        <v>2089</v>
      </c>
      <c r="D475" s="15" t="s">
        <v>86</v>
      </c>
      <c r="E475" s="15">
        <v>0.21</v>
      </c>
      <c r="F475" s="131">
        <v>14909.553663678151</v>
      </c>
      <c r="G475" s="17" t="e">
        <f t="shared" si="7"/>
        <v>#VALUE!</v>
      </c>
      <c r="H475" s="141">
        <v>143</v>
      </c>
      <c r="I475" s="141">
        <v>0</v>
      </c>
      <c r="J475" s="149">
        <v>12</v>
      </c>
      <c r="K475" s="150">
        <v>96</v>
      </c>
    </row>
    <row r="476" spans="1:11" ht="30" customHeight="1">
      <c r="A476" s="32">
        <v>18270</v>
      </c>
      <c r="B476" s="16" t="s">
        <v>75</v>
      </c>
      <c r="C476" s="15" t="s">
        <v>2089</v>
      </c>
      <c r="D476" s="15" t="s">
        <v>125</v>
      </c>
      <c r="E476" s="15">
        <v>0.21</v>
      </c>
      <c r="F476" s="131">
        <v>14909.553663678151</v>
      </c>
      <c r="G476" s="17" t="e">
        <f t="shared" si="7"/>
        <v>#VALUE!</v>
      </c>
      <c r="H476" s="141">
        <v>108</v>
      </c>
      <c r="I476" s="141">
        <v>0</v>
      </c>
      <c r="J476" s="149">
        <v>12</v>
      </c>
      <c r="K476" s="150">
        <v>96</v>
      </c>
    </row>
    <row r="477" spans="1:11" ht="30" customHeight="1">
      <c r="A477" s="32">
        <v>18271</v>
      </c>
      <c r="B477" s="16" t="s">
        <v>75</v>
      </c>
      <c r="C477" s="15" t="s">
        <v>2089</v>
      </c>
      <c r="D477" s="15" t="s">
        <v>126</v>
      </c>
      <c r="E477" s="15">
        <v>0.21</v>
      </c>
      <c r="F477" s="131">
        <v>14909.553663678151</v>
      </c>
      <c r="G477" s="17" t="e">
        <f t="shared" si="7"/>
        <v>#VALUE!</v>
      </c>
      <c r="H477" s="141">
        <v>131</v>
      </c>
      <c r="I477" s="141">
        <v>0</v>
      </c>
      <c r="J477" s="149">
        <v>12</v>
      </c>
      <c r="K477" s="150">
        <v>96</v>
      </c>
    </row>
    <row r="478" spans="1:11" ht="30" customHeight="1">
      <c r="A478" s="32">
        <v>18272</v>
      </c>
      <c r="B478" s="16" t="s">
        <v>75</v>
      </c>
      <c r="C478" s="15" t="s">
        <v>2089</v>
      </c>
      <c r="D478" s="15" t="s">
        <v>127</v>
      </c>
      <c r="E478" s="15">
        <v>0.21</v>
      </c>
      <c r="F478" s="131">
        <v>16625.761279641112</v>
      </c>
      <c r="G478" s="17" t="e">
        <f t="shared" si="7"/>
        <v>#VALUE!</v>
      </c>
      <c r="H478" s="141">
        <v>125</v>
      </c>
      <c r="I478" s="141">
        <v>0</v>
      </c>
      <c r="J478" s="149">
        <v>10</v>
      </c>
      <c r="K478" s="150">
        <v>80</v>
      </c>
    </row>
    <row r="479" spans="1:11" ht="30" customHeight="1">
      <c r="A479" s="32">
        <v>18273</v>
      </c>
      <c r="B479" s="16" t="s">
        <v>75</v>
      </c>
      <c r="C479" s="15" t="s">
        <v>2089</v>
      </c>
      <c r="D479" s="15" t="s">
        <v>128</v>
      </c>
      <c r="E479" s="15">
        <v>0.21</v>
      </c>
      <c r="F479" s="131">
        <v>16625.761279641112</v>
      </c>
      <c r="G479" s="17" t="e">
        <f t="shared" si="7"/>
        <v>#VALUE!</v>
      </c>
      <c r="H479" s="141">
        <v>94</v>
      </c>
      <c r="I479" s="141">
        <v>0</v>
      </c>
      <c r="J479" s="149">
        <v>10</v>
      </c>
      <c r="K479" s="150">
        <v>80</v>
      </c>
    </row>
    <row r="480" spans="1:11" ht="30" customHeight="1">
      <c r="A480" s="32">
        <v>18274</v>
      </c>
      <c r="B480" s="16" t="s">
        <v>75</v>
      </c>
      <c r="C480" s="15" t="s">
        <v>2089</v>
      </c>
      <c r="D480" s="15" t="s">
        <v>129</v>
      </c>
      <c r="E480" s="15">
        <v>0.21</v>
      </c>
      <c r="F480" s="131">
        <v>18020.179967611013</v>
      </c>
      <c r="G480" s="17" t="e">
        <f t="shared" si="7"/>
        <v>#VALUE!</v>
      </c>
      <c r="H480" s="141">
        <v>118</v>
      </c>
      <c r="I480" s="141">
        <v>0</v>
      </c>
      <c r="J480" s="149">
        <v>10</v>
      </c>
      <c r="K480" s="150">
        <v>80</v>
      </c>
    </row>
    <row r="481" spans="1:11" ht="30" customHeight="1">
      <c r="A481" s="32">
        <v>18277</v>
      </c>
      <c r="B481" s="16" t="s">
        <v>75</v>
      </c>
      <c r="C481" s="15" t="s">
        <v>2089</v>
      </c>
      <c r="D481" s="15" t="s">
        <v>131</v>
      </c>
      <c r="E481" s="15">
        <v>0.21</v>
      </c>
      <c r="F481" s="131">
        <v>20916.280319548488</v>
      </c>
      <c r="G481" s="17" t="e">
        <f t="shared" si="7"/>
        <v>#VALUE!</v>
      </c>
      <c r="H481" s="141">
        <v>43</v>
      </c>
      <c r="I481" s="141">
        <v>0</v>
      </c>
      <c r="J481" s="149">
        <v>8</v>
      </c>
      <c r="K481" s="150">
        <v>48</v>
      </c>
    </row>
    <row r="482" spans="1:11" ht="30" customHeight="1">
      <c r="A482" s="32">
        <v>18280</v>
      </c>
      <c r="B482" s="16" t="s">
        <v>75</v>
      </c>
      <c r="C482" s="15" t="s">
        <v>2089</v>
      </c>
      <c r="D482" s="15" t="s">
        <v>132</v>
      </c>
      <c r="E482" s="15">
        <v>0.21</v>
      </c>
      <c r="F482" s="131">
        <v>27352.058879409567</v>
      </c>
      <c r="G482" s="17" t="e">
        <f t="shared" si="7"/>
        <v>#VALUE!</v>
      </c>
      <c r="H482" s="141">
        <v>65</v>
      </c>
      <c r="I482" s="141">
        <v>0</v>
      </c>
      <c r="J482" s="149">
        <v>8</v>
      </c>
      <c r="K482" s="150">
        <v>48</v>
      </c>
    </row>
    <row r="483" spans="1:11" ht="30" customHeight="1">
      <c r="A483" s="32">
        <v>18282</v>
      </c>
      <c r="B483" s="16" t="s">
        <v>75</v>
      </c>
      <c r="C483" s="15" t="s">
        <v>2089</v>
      </c>
      <c r="D483" s="15" t="s">
        <v>133</v>
      </c>
      <c r="E483" s="15">
        <v>0.21</v>
      </c>
      <c r="F483" s="131">
        <v>31213.526015326213</v>
      </c>
      <c r="G483" s="17" t="e">
        <f t="shared" si="7"/>
        <v>#VALUE!</v>
      </c>
      <c r="H483" s="141">
        <v>60</v>
      </c>
      <c r="I483" s="141">
        <v>0</v>
      </c>
      <c r="J483" s="149">
        <v>8</v>
      </c>
      <c r="K483" s="150">
        <v>48</v>
      </c>
    </row>
    <row r="484" spans="1:11" ht="30" customHeight="1">
      <c r="A484" s="32">
        <v>18285</v>
      </c>
      <c r="B484" s="16" t="s">
        <v>75</v>
      </c>
      <c r="C484" s="15" t="s">
        <v>2090</v>
      </c>
      <c r="D484" s="15" t="s">
        <v>1848</v>
      </c>
      <c r="E484" s="15">
        <v>0.21</v>
      </c>
      <c r="F484" s="131">
        <v>9813.7874000000011</v>
      </c>
      <c r="G484" s="17" t="e">
        <f t="shared" si="7"/>
        <v>#VALUE!</v>
      </c>
      <c r="H484" s="141">
        <v>197</v>
      </c>
      <c r="I484" s="141">
        <v>0</v>
      </c>
      <c r="J484" s="149">
        <v>10</v>
      </c>
      <c r="K484" s="150">
        <v>100</v>
      </c>
    </row>
    <row r="485" spans="1:11" ht="30" customHeight="1">
      <c r="A485" s="32">
        <v>18286</v>
      </c>
      <c r="B485" s="16" t="s">
        <v>75</v>
      </c>
      <c r="C485" s="15" t="s">
        <v>2090</v>
      </c>
      <c r="D485" s="15" t="s">
        <v>1849</v>
      </c>
      <c r="E485" s="15">
        <v>0.21</v>
      </c>
      <c r="F485" s="131">
        <v>11369.875455754567</v>
      </c>
      <c r="G485" s="17" t="e">
        <f t="shared" si="7"/>
        <v>#VALUE!</v>
      </c>
      <c r="H485" s="141">
        <v>82</v>
      </c>
      <c r="I485" s="141">
        <v>0</v>
      </c>
      <c r="J485" s="149">
        <v>10</v>
      </c>
      <c r="K485" s="150">
        <v>60</v>
      </c>
    </row>
    <row r="486" spans="1:11" ht="30" customHeight="1">
      <c r="A486" s="32">
        <v>18287</v>
      </c>
      <c r="B486" s="16" t="s">
        <v>75</v>
      </c>
      <c r="C486" s="15" t="s">
        <v>2090</v>
      </c>
      <c r="D486" s="15" t="s">
        <v>1850</v>
      </c>
      <c r="E486" s="15">
        <v>0.21</v>
      </c>
      <c r="F486" s="131">
        <v>20063.733</v>
      </c>
      <c r="G486" s="17" t="e">
        <f t="shared" si="7"/>
        <v>#VALUE!</v>
      </c>
      <c r="H486" s="141">
        <v>123</v>
      </c>
      <c r="I486" s="141">
        <v>0</v>
      </c>
      <c r="J486" s="149">
        <v>6</v>
      </c>
      <c r="K486" s="150">
        <v>36</v>
      </c>
    </row>
    <row r="487" spans="1:11" ht="30" customHeight="1">
      <c r="A487" s="32">
        <v>18288</v>
      </c>
      <c r="B487" s="16" t="s">
        <v>75</v>
      </c>
      <c r="C487" s="15" t="s">
        <v>2091</v>
      </c>
      <c r="D487" s="15" t="s">
        <v>98</v>
      </c>
      <c r="E487" s="15">
        <v>0.21</v>
      </c>
      <c r="F487" s="131">
        <v>31949.311600000001</v>
      </c>
      <c r="G487" s="17" t="e">
        <f t="shared" si="7"/>
        <v>#VALUE!</v>
      </c>
      <c r="H487" s="141">
        <v>152</v>
      </c>
      <c r="I487" s="141">
        <v>0</v>
      </c>
      <c r="J487" s="149">
        <v>10</v>
      </c>
      <c r="K487" s="150">
        <v>60</v>
      </c>
    </row>
    <row r="488" spans="1:11" ht="30" customHeight="1">
      <c r="A488" s="32">
        <v>18289</v>
      </c>
      <c r="B488" s="16" t="s">
        <v>75</v>
      </c>
      <c r="C488" s="15" t="s">
        <v>2092</v>
      </c>
      <c r="D488" s="15" t="s">
        <v>1851</v>
      </c>
      <c r="E488" s="15">
        <v>0.21</v>
      </c>
      <c r="F488" s="131">
        <v>19736.387583573953</v>
      </c>
      <c r="G488" s="17" t="e">
        <f t="shared" si="7"/>
        <v>#VALUE!</v>
      </c>
      <c r="H488" s="141">
        <v>147</v>
      </c>
      <c r="I488" s="141">
        <v>0</v>
      </c>
      <c r="J488" s="149">
        <v>10</v>
      </c>
      <c r="K488" s="150">
        <v>60</v>
      </c>
    </row>
    <row r="489" spans="1:11" ht="30" customHeight="1">
      <c r="A489" s="32">
        <v>18295</v>
      </c>
      <c r="B489" s="16" t="s">
        <v>75</v>
      </c>
      <c r="C489" s="15" t="s">
        <v>2093</v>
      </c>
      <c r="D489" s="15" t="s">
        <v>1852</v>
      </c>
      <c r="E489" s="15">
        <v>0.21</v>
      </c>
      <c r="F489" s="131">
        <v>74440.50534239308</v>
      </c>
      <c r="G489" s="17" t="e">
        <f t="shared" si="7"/>
        <v>#VALUE!</v>
      </c>
      <c r="H489" s="141">
        <v>117</v>
      </c>
      <c r="I489" s="141">
        <v>10</v>
      </c>
      <c r="J489" s="149">
        <v>5</v>
      </c>
      <c r="K489" s="150">
        <v>10</v>
      </c>
    </row>
    <row r="490" spans="1:11" ht="30" customHeight="1">
      <c r="A490" s="31">
        <v>18296</v>
      </c>
      <c r="B490" s="16" t="s">
        <v>75</v>
      </c>
      <c r="C490" s="15" t="s">
        <v>3118</v>
      </c>
      <c r="D490" s="15" t="s">
        <v>2572</v>
      </c>
      <c r="E490" s="15">
        <v>0.21</v>
      </c>
      <c r="F490" s="131">
        <v>137691.30088851645</v>
      </c>
      <c r="G490" s="17" t="e">
        <f t="shared" si="7"/>
        <v>#VALUE!</v>
      </c>
      <c r="H490" s="141">
        <v>127</v>
      </c>
      <c r="I490" s="141">
        <v>50</v>
      </c>
      <c r="J490" s="149">
        <v>5</v>
      </c>
      <c r="K490" s="150">
        <v>10</v>
      </c>
    </row>
    <row r="491" spans="1:11" ht="30" customHeight="1">
      <c r="A491" s="31">
        <v>15292</v>
      </c>
      <c r="B491" s="16" t="s">
        <v>75</v>
      </c>
      <c r="C491" s="15" t="s">
        <v>3119</v>
      </c>
      <c r="D491" s="15" t="s">
        <v>177</v>
      </c>
      <c r="E491" s="15">
        <v>0.21</v>
      </c>
      <c r="F491" s="131">
        <v>54702.339798713314</v>
      </c>
      <c r="G491" s="17" t="e">
        <f t="shared" si="7"/>
        <v>#VALUE!</v>
      </c>
      <c r="H491" s="141">
        <v>62</v>
      </c>
      <c r="I491" s="141">
        <v>0</v>
      </c>
      <c r="J491" s="149">
        <v>2</v>
      </c>
      <c r="K491" s="150">
        <v>32</v>
      </c>
    </row>
    <row r="492" spans="1:11" ht="30" customHeight="1">
      <c r="A492" s="31">
        <v>15293</v>
      </c>
      <c r="B492" s="16" t="s">
        <v>75</v>
      </c>
      <c r="C492" s="15" t="s">
        <v>3119</v>
      </c>
      <c r="D492" s="15" t="s">
        <v>2555</v>
      </c>
      <c r="E492" s="15">
        <v>0.21</v>
      </c>
      <c r="F492" s="131">
        <v>54702.339798713314</v>
      </c>
      <c r="G492" s="17" t="e">
        <f t="shared" si="7"/>
        <v>#VALUE!</v>
      </c>
      <c r="H492" s="141">
        <v>62</v>
      </c>
      <c r="I492" s="141">
        <v>0</v>
      </c>
      <c r="J492" s="149">
        <v>2</v>
      </c>
      <c r="K492" s="150">
        <v>32</v>
      </c>
    </row>
    <row r="493" spans="1:11" ht="30" customHeight="1">
      <c r="A493" s="31">
        <v>15295</v>
      </c>
      <c r="B493" s="16" t="s">
        <v>75</v>
      </c>
      <c r="C493" s="15" t="s">
        <v>3119</v>
      </c>
      <c r="D493" s="15" t="s">
        <v>2556</v>
      </c>
      <c r="E493" s="15">
        <v>0.21</v>
      </c>
      <c r="F493" s="131">
        <v>55229.591266652715</v>
      </c>
      <c r="G493" s="17" t="e">
        <f t="shared" si="7"/>
        <v>#VALUE!</v>
      </c>
      <c r="H493" s="141">
        <v>60</v>
      </c>
      <c r="I493" s="141">
        <v>0</v>
      </c>
      <c r="J493" s="149">
        <v>2</v>
      </c>
      <c r="K493" s="150">
        <v>32</v>
      </c>
    </row>
    <row r="494" spans="1:11" ht="30" customHeight="1">
      <c r="A494" s="31">
        <v>15296</v>
      </c>
      <c r="B494" s="16" t="s">
        <v>75</v>
      </c>
      <c r="C494" s="15" t="s">
        <v>3119</v>
      </c>
      <c r="D494" s="15" t="s">
        <v>2557</v>
      </c>
      <c r="E494" s="15">
        <v>0.21</v>
      </c>
      <c r="F494" s="131">
        <v>55229.591266652715</v>
      </c>
      <c r="G494" s="17" t="e">
        <f t="shared" si="7"/>
        <v>#VALUE!</v>
      </c>
      <c r="H494" s="141">
        <v>50</v>
      </c>
      <c r="I494" s="141">
        <v>0</v>
      </c>
      <c r="J494" s="149">
        <v>2</v>
      </c>
      <c r="K494" s="150">
        <v>32</v>
      </c>
    </row>
    <row r="495" spans="1:11" ht="30" customHeight="1">
      <c r="A495" s="31">
        <v>15297</v>
      </c>
      <c r="B495" s="16" t="s">
        <v>75</v>
      </c>
      <c r="C495" s="15" t="s">
        <v>3119</v>
      </c>
      <c r="D495" s="15" t="s">
        <v>2558</v>
      </c>
      <c r="E495" s="15">
        <v>0.21</v>
      </c>
      <c r="F495" s="131">
        <v>65906.433492425669</v>
      </c>
      <c r="G495" s="17" t="e">
        <f t="shared" si="7"/>
        <v>#VALUE!</v>
      </c>
      <c r="H495" s="141">
        <v>46</v>
      </c>
      <c r="I495" s="141">
        <v>0</v>
      </c>
      <c r="J495" s="149">
        <v>2</v>
      </c>
      <c r="K495" s="150">
        <v>24</v>
      </c>
    </row>
    <row r="496" spans="1:11" ht="30" customHeight="1">
      <c r="A496" s="31">
        <v>17056</v>
      </c>
      <c r="B496" s="16" t="s">
        <v>75</v>
      </c>
      <c r="C496" s="15" t="s">
        <v>2559</v>
      </c>
      <c r="D496" s="15" t="s">
        <v>723</v>
      </c>
      <c r="E496" s="15">
        <v>0.21</v>
      </c>
      <c r="F496" s="131">
        <v>77374.152920107736</v>
      </c>
      <c r="G496" s="17" t="e">
        <f t="shared" si="7"/>
        <v>#VALUE!</v>
      </c>
      <c r="H496" s="141">
        <v>30</v>
      </c>
      <c r="I496" s="141">
        <v>0</v>
      </c>
      <c r="J496" s="149">
        <v>0</v>
      </c>
      <c r="K496" s="150">
        <v>20</v>
      </c>
    </row>
    <row r="497" spans="1:11" ht="30" customHeight="1">
      <c r="A497" s="31">
        <v>17057</v>
      </c>
      <c r="B497" s="16" t="s">
        <v>75</v>
      </c>
      <c r="C497" s="15" t="s">
        <v>2559</v>
      </c>
      <c r="D497" s="15" t="s">
        <v>725</v>
      </c>
      <c r="E497" s="15">
        <v>0.21</v>
      </c>
      <c r="F497" s="131">
        <v>93455.322692259608</v>
      </c>
      <c r="G497" s="17" t="e">
        <f t="shared" si="7"/>
        <v>#VALUE!</v>
      </c>
      <c r="H497" s="141">
        <v>14</v>
      </c>
      <c r="I497" s="141">
        <v>0</v>
      </c>
      <c r="J497" s="149">
        <v>0</v>
      </c>
      <c r="K497" s="150">
        <v>12</v>
      </c>
    </row>
    <row r="498" spans="1:11" ht="30" customHeight="1">
      <c r="A498" s="31">
        <v>17058</v>
      </c>
      <c r="B498" s="16" t="s">
        <v>75</v>
      </c>
      <c r="C498" s="15" t="s">
        <v>2559</v>
      </c>
      <c r="D498" s="15" t="s">
        <v>2560</v>
      </c>
      <c r="E498" s="15">
        <v>0.21</v>
      </c>
      <c r="F498" s="131">
        <v>105054.85498692653</v>
      </c>
      <c r="G498" s="17" t="e">
        <f t="shared" si="7"/>
        <v>#VALUE!</v>
      </c>
      <c r="H498" s="141">
        <v>14</v>
      </c>
      <c r="I498" s="141">
        <v>0</v>
      </c>
      <c r="J498" s="149">
        <v>0</v>
      </c>
      <c r="K498" s="150">
        <v>12</v>
      </c>
    </row>
    <row r="499" spans="1:11" ht="30" customHeight="1">
      <c r="A499" s="31">
        <v>17059</v>
      </c>
      <c r="B499" s="16" t="s">
        <v>75</v>
      </c>
      <c r="C499" s="15" t="s">
        <v>2559</v>
      </c>
      <c r="D499" s="15" t="s">
        <v>438</v>
      </c>
      <c r="E499" s="15">
        <v>0.21</v>
      </c>
      <c r="F499" s="131">
        <v>113490.87847395701</v>
      </c>
      <c r="G499" s="17" t="e">
        <f t="shared" si="7"/>
        <v>#VALUE!</v>
      </c>
      <c r="H499" s="141">
        <v>14</v>
      </c>
      <c r="I499" s="141">
        <v>0</v>
      </c>
      <c r="J499" s="149">
        <v>0</v>
      </c>
      <c r="K499" s="150">
        <v>10</v>
      </c>
    </row>
    <row r="500" spans="1:11" ht="30" customHeight="1">
      <c r="A500" s="31">
        <v>17086</v>
      </c>
      <c r="B500" s="16" t="s">
        <v>75</v>
      </c>
      <c r="C500" s="15" t="s">
        <v>2561</v>
      </c>
      <c r="D500" s="15" t="s">
        <v>723</v>
      </c>
      <c r="E500" s="15">
        <v>0.21</v>
      </c>
      <c r="F500" s="131">
        <v>77374.152920107736</v>
      </c>
      <c r="G500" s="17" t="e">
        <f t="shared" si="7"/>
        <v>#VALUE!</v>
      </c>
      <c r="H500" s="141">
        <v>36</v>
      </c>
      <c r="I500" s="141">
        <v>0</v>
      </c>
      <c r="J500" s="149">
        <v>0</v>
      </c>
      <c r="K500" s="150">
        <v>20</v>
      </c>
    </row>
    <row r="501" spans="1:11" ht="30" customHeight="1">
      <c r="A501" s="31">
        <v>17087</v>
      </c>
      <c r="B501" s="16" t="s">
        <v>75</v>
      </c>
      <c r="C501" s="15" t="s">
        <v>2561</v>
      </c>
      <c r="D501" s="15" t="s">
        <v>725</v>
      </c>
      <c r="E501" s="15">
        <v>0.21</v>
      </c>
      <c r="F501" s="131">
        <v>93982.574160199016</v>
      </c>
      <c r="G501" s="17" t="e">
        <f t="shared" si="7"/>
        <v>#VALUE!</v>
      </c>
      <c r="H501" s="141">
        <v>20</v>
      </c>
      <c r="I501" s="141">
        <v>0</v>
      </c>
      <c r="J501" s="149">
        <v>0</v>
      </c>
      <c r="K501" s="150">
        <v>12</v>
      </c>
    </row>
    <row r="502" spans="1:11" ht="30" customHeight="1">
      <c r="A502" s="31">
        <v>17088</v>
      </c>
      <c r="B502" s="16" t="s">
        <v>75</v>
      </c>
      <c r="C502" s="15" t="s">
        <v>2561</v>
      </c>
      <c r="D502" s="15" t="s">
        <v>2560</v>
      </c>
      <c r="E502" s="15">
        <v>0.21</v>
      </c>
      <c r="F502" s="131">
        <v>105582.10645486593</v>
      </c>
      <c r="G502" s="17" t="e">
        <f t="shared" si="7"/>
        <v>#VALUE!</v>
      </c>
      <c r="H502" s="141">
        <v>15</v>
      </c>
      <c r="I502" s="141">
        <v>0</v>
      </c>
      <c r="J502" s="149">
        <v>0</v>
      </c>
      <c r="K502" s="150">
        <v>12</v>
      </c>
    </row>
    <row r="503" spans="1:11" ht="30" customHeight="1">
      <c r="A503" s="31">
        <v>17089</v>
      </c>
      <c r="B503" s="16" t="s">
        <v>75</v>
      </c>
      <c r="C503" s="15" t="s">
        <v>2561</v>
      </c>
      <c r="D503" s="15" t="s">
        <v>438</v>
      </c>
      <c r="E503" s="15">
        <v>0.21</v>
      </c>
      <c r="F503" s="131">
        <v>113754.50420792674</v>
      </c>
      <c r="G503" s="17" t="e">
        <f t="shared" si="7"/>
        <v>#VALUE!</v>
      </c>
      <c r="H503" s="141">
        <v>11</v>
      </c>
      <c r="I503" s="141">
        <v>0</v>
      </c>
      <c r="J503" s="149">
        <v>0</v>
      </c>
      <c r="K503" s="150">
        <v>10</v>
      </c>
    </row>
    <row r="504" spans="1:11" ht="30" customHeight="1">
      <c r="A504" s="31">
        <v>15510</v>
      </c>
      <c r="B504" s="16" t="s">
        <v>75</v>
      </c>
      <c r="C504" s="15" t="s">
        <v>2070</v>
      </c>
      <c r="D504" s="15" t="s">
        <v>2071</v>
      </c>
      <c r="E504" s="15">
        <v>0.21</v>
      </c>
      <c r="F504" s="131">
        <v>75013.391000000003</v>
      </c>
      <c r="G504" s="17" t="e">
        <f t="shared" si="7"/>
        <v>#VALUE!</v>
      </c>
      <c r="H504" s="141">
        <v>55</v>
      </c>
      <c r="I504" s="141">
        <v>0</v>
      </c>
      <c r="J504" s="149">
        <v>5</v>
      </c>
      <c r="K504" s="150">
        <v>20</v>
      </c>
    </row>
    <row r="505" spans="1:11" ht="30" customHeight="1">
      <c r="A505" s="30">
        <v>15141</v>
      </c>
      <c r="B505" s="16" t="s">
        <v>75</v>
      </c>
      <c r="C505" s="15" t="s">
        <v>115</v>
      </c>
      <c r="D505" s="15" t="s">
        <v>98</v>
      </c>
      <c r="E505" s="15">
        <v>0.21</v>
      </c>
      <c r="F505" s="131">
        <v>216103.17599267836</v>
      </c>
      <c r="G505" s="17" t="e">
        <f t="shared" si="7"/>
        <v>#VALUE!</v>
      </c>
      <c r="H505" s="141">
        <v>123</v>
      </c>
      <c r="I505" s="141">
        <v>20</v>
      </c>
      <c r="J505" s="149">
        <v>0</v>
      </c>
      <c r="K505" s="150">
        <v>4</v>
      </c>
    </row>
    <row r="506" spans="1:11" ht="30" customHeight="1">
      <c r="A506" s="30">
        <v>15148</v>
      </c>
      <c r="B506" s="16" t="s">
        <v>75</v>
      </c>
      <c r="C506" s="15" t="s">
        <v>1936</v>
      </c>
      <c r="D506" s="15" t="s">
        <v>150</v>
      </c>
      <c r="E506" s="15">
        <v>0.21</v>
      </c>
      <c r="F506" s="131">
        <v>650416.89040000003</v>
      </c>
      <c r="G506" s="17" t="e">
        <f t="shared" si="7"/>
        <v>#VALUE!</v>
      </c>
      <c r="H506" s="141">
        <v>18</v>
      </c>
      <c r="I506" s="141">
        <v>5</v>
      </c>
      <c r="J506" s="149">
        <v>0</v>
      </c>
      <c r="K506" s="150">
        <v>1</v>
      </c>
    </row>
    <row r="507" spans="1:11" ht="30" customHeight="1">
      <c r="A507" s="31">
        <v>15514</v>
      </c>
      <c r="B507" s="16" t="s">
        <v>75</v>
      </c>
      <c r="C507" s="15" t="s">
        <v>3120</v>
      </c>
      <c r="D507" s="15" t="s">
        <v>2573</v>
      </c>
      <c r="E507" s="15">
        <v>0.21</v>
      </c>
      <c r="F507" s="131">
        <v>43932.632799999999</v>
      </c>
      <c r="G507" s="17" t="e">
        <f t="shared" si="7"/>
        <v>#VALUE!</v>
      </c>
      <c r="H507" s="141">
        <v>89</v>
      </c>
      <c r="I507" s="141">
        <v>100</v>
      </c>
      <c r="J507" s="149">
        <v>0</v>
      </c>
      <c r="K507" s="150">
        <v>20</v>
      </c>
    </row>
    <row r="508" spans="1:11" ht="30" customHeight="1">
      <c r="A508" s="30">
        <v>80190</v>
      </c>
      <c r="B508" s="16" t="s">
        <v>75</v>
      </c>
      <c r="C508" s="15" t="s">
        <v>1941</v>
      </c>
      <c r="D508" s="15" t="s">
        <v>2134</v>
      </c>
      <c r="E508" s="15">
        <v>0.21</v>
      </c>
      <c r="F508" s="131">
        <v>27750.685672063559</v>
      </c>
      <c r="G508" s="17" t="e">
        <f t="shared" si="7"/>
        <v>#VALUE!</v>
      </c>
      <c r="H508" s="141">
        <v>208</v>
      </c>
      <c r="I508" s="141">
        <v>0</v>
      </c>
      <c r="J508" s="149">
        <v>0</v>
      </c>
      <c r="K508" s="150">
        <v>12</v>
      </c>
    </row>
    <row r="509" spans="1:11" ht="30" customHeight="1">
      <c r="A509" s="30">
        <v>80201</v>
      </c>
      <c r="B509" s="16" t="s">
        <v>75</v>
      </c>
      <c r="C509" s="15" t="s">
        <v>1941</v>
      </c>
      <c r="D509" s="15" t="s">
        <v>2135</v>
      </c>
      <c r="E509" s="15">
        <v>0.21</v>
      </c>
      <c r="F509" s="131">
        <v>54040.852826693146</v>
      </c>
      <c r="G509" s="17" t="e">
        <f t="shared" si="7"/>
        <v>#VALUE!</v>
      </c>
      <c r="H509" s="141">
        <v>126</v>
      </c>
      <c r="I509" s="141">
        <v>90</v>
      </c>
      <c r="J509" s="149">
        <v>0</v>
      </c>
      <c r="K509" s="150">
        <v>9</v>
      </c>
    </row>
    <row r="510" spans="1:11" ht="30" customHeight="1">
      <c r="A510" s="30">
        <v>80211</v>
      </c>
      <c r="B510" s="16" t="s">
        <v>75</v>
      </c>
      <c r="C510" s="15" t="s">
        <v>1942</v>
      </c>
      <c r="D510" s="15" t="s">
        <v>2136</v>
      </c>
      <c r="E510" s="15">
        <v>0.21</v>
      </c>
      <c r="F510" s="131">
        <v>136793.35512245703</v>
      </c>
      <c r="G510" s="17" t="e">
        <f t="shared" si="7"/>
        <v>#VALUE!</v>
      </c>
      <c r="H510" s="141">
        <v>76</v>
      </c>
      <c r="I510" s="141">
        <v>0</v>
      </c>
      <c r="J510" s="149">
        <v>0</v>
      </c>
      <c r="K510" s="150">
        <v>1</v>
      </c>
    </row>
    <row r="511" spans="1:11" ht="30" customHeight="1">
      <c r="A511" s="30">
        <v>80212</v>
      </c>
      <c r="B511" s="16" t="s">
        <v>75</v>
      </c>
      <c r="C511" s="15" t="s">
        <v>1942</v>
      </c>
      <c r="D511" s="15" t="s">
        <v>2137</v>
      </c>
      <c r="E511" s="15">
        <v>0.21</v>
      </c>
      <c r="F511" s="131">
        <v>175877.19685266138</v>
      </c>
      <c r="G511" s="17" t="e">
        <f t="shared" si="7"/>
        <v>#VALUE!</v>
      </c>
      <c r="H511" s="141">
        <v>46</v>
      </c>
      <c r="I511" s="141">
        <v>0</v>
      </c>
      <c r="J511" s="149">
        <v>0</v>
      </c>
      <c r="K511" s="150">
        <v>1</v>
      </c>
    </row>
    <row r="512" spans="1:11" ht="30" customHeight="1">
      <c r="A512" s="30">
        <v>20131</v>
      </c>
      <c r="B512" s="16" t="s">
        <v>178</v>
      </c>
      <c r="C512" s="15" t="s">
        <v>1891</v>
      </c>
      <c r="D512" s="15" t="s">
        <v>220</v>
      </c>
      <c r="E512" s="15">
        <v>0.21</v>
      </c>
      <c r="F512" s="131">
        <v>3556.2214399663162</v>
      </c>
      <c r="G512" s="17" t="e">
        <f t="shared" si="7"/>
        <v>#VALUE!</v>
      </c>
      <c r="H512" s="141">
        <v>1533</v>
      </c>
      <c r="I512" s="141">
        <v>0</v>
      </c>
      <c r="J512" s="149">
        <v>12</v>
      </c>
      <c r="K512" s="150">
        <v>144</v>
      </c>
    </row>
    <row r="513" spans="1:11" ht="30" customHeight="1">
      <c r="A513" s="30">
        <v>20132</v>
      </c>
      <c r="B513" s="16" t="s">
        <v>178</v>
      </c>
      <c r="C513" s="15" t="s">
        <v>1891</v>
      </c>
      <c r="D513" s="15" t="s">
        <v>221</v>
      </c>
      <c r="E513" s="15">
        <v>0.21</v>
      </c>
      <c r="F513" s="131">
        <v>3556.2214399663162</v>
      </c>
      <c r="G513" s="17" t="e">
        <f t="shared" si="7"/>
        <v>#VALUE!</v>
      </c>
      <c r="H513" s="141">
        <v>1313</v>
      </c>
      <c r="I513" s="141">
        <v>0</v>
      </c>
      <c r="J513" s="149">
        <v>12</v>
      </c>
      <c r="K513" s="150">
        <v>144</v>
      </c>
    </row>
    <row r="514" spans="1:11" ht="30" customHeight="1">
      <c r="A514" s="30">
        <v>20001</v>
      </c>
      <c r="B514" s="16" t="s">
        <v>178</v>
      </c>
      <c r="C514" s="15" t="s">
        <v>188</v>
      </c>
      <c r="D514" s="15" t="s">
        <v>179</v>
      </c>
      <c r="E514" s="15">
        <v>0.21</v>
      </c>
      <c r="F514" s="131">
        <v>2998.0220183756751</v>
      </c>
      <c r="G514" s="17" t="e">
        <f t="shared" si="7"/>
        <v>#VALUE!</v>
      </c>
      <c r="H514" s="141">
        <v>1283</v>
      </c>
      <c r="I514" s="141">
        <v>144</v>
      </c>
      <c r="J514" s="149">
        <v>12</v>
      </c>
      <c r="K514" s="150">
        <v>144</v>
      </c>
    </row>
    <row r="515" spans="1:11" ht="30" customHeight="1">
      <c r="A515" s="30">
        <v>20002</v>
      </c>
      <c r="B515" s="16" t="s">
        <v>178</v>
      </c>
      <c r="C515" s="15" t="s">
        <v>188</v>
      </c>
      <c r="D515" s="15" t="s">
        <v>180</v>
      </c>
      <c r="E515" s="15">
        <v>0.21</v>
      </c>
      <c r="F515" s="131">
        <v>4266.3293445049512</v>
      </c>
      <c r="G515" s="17" t="e">
        <f t="shared" si="7"/>
        <v>#VALUE!</v>
      </c>
      <c r="H515" s="141">
        <v>856</v>
      </c>
      <c r="I515" s="141">
        <v>144</v>
      </c>
      <c r="J515" s="149">
        <v>12</v>
      </c>
      <c r="K515" s="150">
        <v>144</v>
      </c>
    </row>
    <row r="516" spans="1:11" ht="30" customHeight="1">
      <c r="A516" s="30">
        <v>20144</v>
      </c>
      <c r="B516" s="16" t="s">
        <v>178</v>
      </c>
      <c r="C516" s="15" t="s">
        <v>188</v>
      </c>
      <c r="D516" s="15" t="s">
        <v>228</v>
      </c>
      <c r="E516" s="15">
        <v>0.21</v>
      </c>
      <c r="F516" s="131">
        <v>5470.055870813002</v>
      </c>
      <c r="G516" s="17" t="e">
        <f t="shared" si="7"/>
        <v>#VALUE!</v>
      </c>
      <c r="H516" s="141">
        <v>823</v>
      </c>
      <c r="I516" s="141">
        <v>360</v>
      </c>
      <c r="J516" s="149">
        <v>12</v>
      </c>
      <c r="K516" s="150">
        <v>72</v>
      </c>
    </row>
    <row r="517" spans="1:11" ht="30" customHeight="1">
      <c r="A517" s="30">
        <v>20003</v>
      </c>
      <c r="B517" s="16" t="s">
        <v>178</v>
      </c>
      <c r="C517" s="15" t="s">
        <v>188</v>
      </c>
      <c r="D517" s="15" t="s">
        <v>181</v>
      </c>
      <c r="E517" s="15">
        <v>0.21</v>
      </c>
      <c r="F517" s="131">
        <v>4496.9840770684841</v>
      </c>
      <c r="G517" s="17" t="e">
        <f t="shared" si="7"/>
        <v>#VALUE!</v>
      </c>
      <c r="H517" s="141">
        <v>1264</v>
      </c>
      <c r="I517" s="141">
        <v>288</v>
      </c>
      <c r="J517" s="149">
        <v>12</v>
      </c>
      <c r="K517" s="150">
        <v>144</v>
      </c>
    </row>
    <row r="518" spans="1:11" ht="30" customHeight="1">
      <c r="A518" s="30">
        <v>20004</v>
      </c>
      <c r="B518" s="16" t="s">
        <v>178</v>
      </c>
      <c r="C518" s="15" t="s">
        <v>188</v>
      </c>
      <c r="D518" s="15" t="s">
        <v>182</v>
      </c>
      <c r="E518" s="15">
        <v>0.21</v>
      </c>
      <c r="F518" s="131">
        <v>5880.6187694795299</v>
      </c>
      <c r="G518" s="17" t="e">
        <f t="shared" si="7"/>
        <v>#VALUE!</v>
      </c>
      <c r="H518" s="141">
        <v>1494</v>
      </c>
      <c r="I518" s="141">
        <v>360</v>
      </c>
      <c r="J518" s="149">
        <v>12</v>
      </c>
      <c r="K518" s="150">
        <v>72</v>
      </c>
    </row>
    <row r="519" spans="1:11" ht="30" customHeight="1">
      <c r="A519" s="30">
        <v>20005</v>
      </c>
      <c r="B519" s="16" t="s">
        <v>178</v>
      </c>
      <c r="C519" s="15" t="s">
        <v>188</v>
      </c>
      <c r="D519" s="15" t="s">
        <v>183</v>
      </c>
      <c r="E519" s="15">
        <v>0.21</v>
      </c>
      <c r="F519" s="131">
        <v>7264.351362880624</v>
      </c>
      <c r="G519" s="17" t="e">
        <f t="shared" si="7"/>
        <v>#VALUE!</v>
      </c>
      <c r="H519" s="141">
        <v>538</v>
      </c>
      <c r="I519" s="141">
        <v>72</v>
      </c>
      <c r="J519" s="149">
        <v>12</v>
      </c>
      <c r="K519" s="150">
        <v>72</v>
      </c>
    </row>
    <row r="520" spans="1:11" ht="30" customHeight="1">
      <c r="A520" s="30">
        <v>20006</v>
      </c>
      <c r="B520" s="16" t="s">
        <v>178</v>
      </c>
      <c r="C520" s="15" t="s">
        <v>1890</v>
      </c>
      <c r="D520" s="15" t="s">
        <v>184</v>
      </c>
      <c r="E520" s="15">
        <v>0.21</v>
      </c>
      <c r="F520" s="131">
        <v>2998.0220183756751</v>
      </c>
      <c r="G520" s="17" t="e">
        <f t="shared" ref="G520:G583" si="8">(F520*$G$6)</f>
        <v>#VALUE!</v>
      </c>
      <c r="H520" s="141">
        <v>1410</v>
      </c>
      <c r="I520" s="141">
        <v>432</v>
      </c>
      <c r="J520" s="149">
        <v>12</v>
      </c>
      <c r="K520" s="150">
        <v>144</v>
      </c>
    </row>
    <row r="521" spans="1:11" ht="30" customHeight="1">
      <c r="A521" s="30">
        <v>20007</v>
      </c>
      <c r="B521" s="16" t="s">
        <v>178</v>
      </c>
      <c r="C521" s="15" t="s">
        <v>1890</v>
      </c>
      <c r="D521" s="15" t="s">
        <v>185</v>
      </c>
      <c r="E521" s="15">
        <v>0.21</v>
      </c>
      <c r="F521" s="131">
        <v>4496.9840770684841</v>
      </c>
      <c r="G521" s="17" t="e">
        <f t="shared" si="8"/>
        <v>#VALUE!</v>
      </c>
      <c r="H521" s="141">
        <v>3379</v>
      </c>
      <c r="I521" s="141">
        <v>720</v>
      </c>
      <c r="J521" s="149">
        <v>12</v>
      </c>
      <c r="K521" s="150">
        <v>144</v>
      </c>
    </row>
    <row r="522" spans="1:11" ht="30" customHeight="1">
      <c r="A522" s="30">
        <v>20154</v>
      </c>
      <c r="B522" s="16" t="s">
        <v>178</v>
      </c>
      <c r="C522" s="15" t="s">
        <v>1890</v>
      </c>
      <c r="D522" s="15" t="s">
        <v>218</v>
      </c>
      <c r="E522" s="15">
        <v>0.21</v>
      </c>
      <c r="F522" s="131">
        <v>5470.055870813002</v>
      </c>
      <c r="G522" s="17" t="e">
        <f t="shared" si="8"/>
        <v>#VALUE!</v>
      </c>
      <c r="H522" s="141">
        <v>2405</v>
      </c>
      <c r="I522" s="141">
        <v>0</v>
      </c>
      <c r="J522" s="149">
        <v>12</v>
      </c>
      <c r="K522" s="150">
        <v>72</v>
      </c>
    </row>
    <row r="523" spans="1:11" ht="30" customHeight="1">
      <c r="A523" s="30">
        <v>20008</v>
      </c>
      <c r="B523" s="16" t="s">
        <v>178</v>
      </c>
      <c r="C523" s="15" t="s">
        <v>1890</v>
      </c>
      <c r="D523" s="15" t="s">
        <v>186</v>
      </c>
      <c r="E523" s="15">
        <v>0.21</v>
      </c>
      <c r="F523" s="131">
        <v>5880.6187694795299</v>
      </c>
      <c r="G523" s="17" t="e">
        <f t="shared" si="8"/>
        <v>#VALUE!</v>
      </c>
      <c r="H523" s="141">
        <v>2884</v>
      </c>
      <c r="I523" s="141">
        <v>360</v>
      </c>
      <c r="J523" s="149">
        <v>12</v>
      </c>
      <c r="K523" s="150">
        <v>72</v>
      </c>
    </row>
    <row r="524" spans="1:11" ht="30" customHeight="1">
      <c r="A524" s="30">
        <v>20009</v>
      </c>
      <c r="B524" s="16" t="s">
        <v>178</v>
      </c>
      <c r="C524" s="15" t="s">
        <v>1890</v>
      </c>
      <c r="D524" s="15" t="s">
        <v>187</v>
      </c>
      <c r="E524" s="15">
        <v>0.21</v>
      </c>
      <c r="F524" s="131">
        <v>7264.351362880624</v>
      </c>
      <c r="G524" s="17" t="e">
        <f t="shared" si="8"/>
        <v>#VALUE!</v>
      </c>
      <c r="H524" s="141">
        <v>837</v>
      </c>
      <c r="I524" s="141">
        <v>72</v>
      </c>
      <c r="J524" s="149">
        <v>12</v>
      </c>
      <c r="K524" s="150">
        <v>72</v>
      </c>
    </row>
    <row r="525" spans="1:11" ht="30" customHeight="1">
      <c r="A525" s="30">
        <v>20133</v>
      </c>
      <c r="B525" s="16" t="s">
        <v>178</v>
      </c>
      <c r="C525" s="15" t="s">
        <v>222</v>
      </c>
      <c r="D525" s="15" t="s">
        <v>223</v>
      </c>
      <c r="E525" s="15">
        <v>0.21</v>
      </c>
      <c r="F525" s="131">
        <v>3556.2214399663162</v>
      </c>
      <c r="G525" s="17" t="e">
        <f t="shared" si="8"/>
        <v>#VALUE!</v>
      </c>
      <c r="H525" s="141">
        <v>1097</v>
      </c>
      <c r="I525" s="141">
        <v>144</v>
      </c>
      <c r="J525" s="149">
        <v>12</v>
      </c>
      <c r="K525" s="150">
        <v>144</v>
      </c>
    </row>
    <row r="526" spans="1:11" ht="30" customHeight="1">
      <c r="A526" s="30">
        <v>20134</v>
      </c>
      <c r="B526" s="16" t="s">
        <v>178</v>
      </c>
      <c r="C526" s="15" t="s">
        <v>222</v>
      </c>
      <c r="D526" s="15" t="s">
        <v>224</v>
      </c>
      <c r="E526" s="15">
        <v>0.21</v>
      </c>
      <c r="F526" s="131">
        <v>3556.2214399663162</v>
      </c>
      <c r="G526" s="17" t="e">
        <f t="shared" si="8"/>
        <v>#VALUE!</v>
      </c>
      <c r="H526" s="141">
        <v>1346</v>
      </c>
      <c r="I526" s="141">
        <v>144</v>
      </c>
      <c r="J526" s="149">
        <v>12</v>
      </c>
      <c r="K526" s="150">
        <v>144</v>
      </c>
    </row>
    <row r="527" spans="1:11" ht="30" customHeight="1">
      <c r="A527" s="30">
        <v>20138</v>
      </c>
      <c r="B527" s="16" t="s">
        <v>178</v>
      </c>
      <c r="C527" s="15" t="s">
        <v>225</v>
      </c>
      <c r="D527" s="15" t="s">
        <v>226</v>
      </c>
      <c r="E527" s="15">
        <v>0.21</v>
      </c>
      <c r="F527" s="131">
        <v>6935.0712000000012</v>
      </c>
      <c r="G527" s="17" t="e">
        <f t="shared" si="8"/>
        <v>#VALUE!</v>
      </c>
      <c r="H527" s="141">
        <v>712</v>
      </c>
      <c r="I527" s="141">
        <v>0</v>
      </c>
      <c r="J527" s="149">
        <v>12</v>
      </c>
      <c r="K527" s="150">
        <v>96</v>
      </c>
    </row>
    <row r="528" spans="1:11" ht="30" customHeight="1">
      <c r="A528" s="30">
        <v>20166</v>
      </c>
      <c r="B528" s="16" t="s">
        <v>178</v>
      </c>
      <c r="C528" s="15" t="s">
        <v>229</v>
      </c>
      <c r="D528" s="15" t="s">
        <v>230</v>
      </c>
      <c r="E528" s="15">
        <v>0.21</v>
      </c>
      <c r="F528" s="131">
        <v>3326.3409768431607</v>
      </c>
      <c r="G528" s="17" t="e">
        <f t="shared" si="8"/>
        <v>#VALUE!</v>
      </c>
      <c r="H528" s="141">
        <v>260</v>
      </c>
      <c r="I528" s="141">
        <v>0</v>
      </c>
      <c r="J528" s="149">
        <v>12</v>
      </c>
      <c r="K528" s="150">
        <v>144</v>
      </c>
    </row>
    <row r="529" spans="1:11" ht="30" customHeight="1">
      <c r="A529" s="30">
        <v>20167</v>
      </c>
      <c r="B529" s="16" t="s">
        <v>178</v>
      </c>
      <c r="C529" s="15" t="s">
        <v>229</v>
      </c>
      <c r="D529" s="15" t="s">
        <v>231</v>
      </c>
      <c r="E529" s="15">
        <v>0.21</v>
      </c>
      <c r="F529" s="131">
        <v>3326.3409768431607</v>
      </c>
      <c r="G529" s="17" t="e">
        <f t="shared" si="8"/>
        <v>#VALUE!</v>
      </c>
      <c r="H529" s="141">
        <v>308</v>
      </c>
      <c r="I529" s="141">
        <v>0</v>
      </c>
      <c r="J529" s="149">
        <v>12</v>
      </c>
      <c r="K529" s="150">
        <v>144</v>
      </c>
    </row>
    <row r="530" spans="1:11" ht="30" customHeight="1">
      <c r="A530" s="30">
        <v>20168</v>
      </c>
      <c r="B530" s="16" t="s">
        <v>178</v>
      </c>
      <c r="C530" s="15" t="s">
        <v>229</v>
      </c>
      <c r="D530" s="15" t="s">
        <v>232</v>
      </c>
      <c r="E530" s="15">
        <v>0.21</v>
      </c>
      <c r="F530" s="131">
        <v>3326.3409768431607</v>
      </c>
      <c r="G530" s="17" t="e">
        <f t="shared" si="8"/>
        <v>#VALUE!</v>
      </c>
      <c r="H530" s="141">
        <v>308</v>
      </c>
      <c r="I530" s="141">
        <v>0</v>
      </c>
      <c r="J530" s="149">
        <v>12</v>
      </c>
      <c r="K530" s="150">
        <v>144</v>
      </c>
    </row>
    <row r="531" spans="1:11" ht="30" customHeight="1">
      <c r="A531" s="30">
        <v>20169</v>
      </c>
      <c r="B531" s="16" t="s">
        <v>178</v>
      </c>
      <c r="C531" s="15" t="s">
        <v>229</v>
      </c>
      <c r="D531" s="15" t="s">
        <v>233</v>
      </c>
      <c r="E531" s="15">
        <v>0.21</v>
      </c>
      <c r="F531" s="131">
        <v>3326.3409768431607</v>
      </c>
      <c r="G531" s="17" t="e">
        <f t="shared" si="8"/>
        <v>#VALUE!</v>
      </c>
      <c r="H531" s="141">
        <v>268</v>
      </c>
      <c r="I531" s="141">
        <v>0</v>
      </c>
      <c r="J531" s="149">
        <v>12</v>
      </c>
      <c r="K531" s="150">
        <v>144</v>
      </c>
    </row>
    <row r="532" spans="1:11" ht="30" customHeight="1">
      <c r="A532" s="30">
        <v>20170</v>
      </c>
      <c r="B532" s="16" t="s">
        <v>178</v>
      </c>
      <c r="C532" s="15" t="s">
        <v>229</v>
      </c>
      <c r="D532" s="15" t="s">
        <v>234</v>
      </c>
      <c r="E532" s="15">
        <v>0.21</v>
      </c>
      <c r="F532" s="131">
        <v>3326.3409768431607</v>
      </c>
      <c r="G532" s="17" t="e">
        <f t="shared" si="8"/>
        <v>#VALUE!</v>
      </c>
      <c r="H532" s="141">
        <v>304</v>
      </c>
      <c r="I532" s="141">
        <v>0</v>
      </c>
      <c r="J532" s="149">
        <v>12</v>
      </c>
      <c r="K532" s="150">
        <v>144</v>
      </c>
    </row>
    <row r="533" spans="1:11" ht="30" customHeight="1">
      <c r="A533" s="30">
        <v>20171</v>
      </c>
      <c r="B533" s="16" t="s">
        <v>178</v>
      </c>
      <c r="C533" s="15" t="s">
        <v>229</v>
      </c>
      <c r="D533" s="15" t="s">
        <v>235</v>
      </c>
      <c r="E533" s="15">
        <v>0.21</v>
      </c>
      <c r="F533" s="131">
        <v>3325.501674681856</v>
      </c>
      <c r="G533" s="17" t="e">
        <f t="shared" si="8"/>
        <v>#VALUE!</v>
      </c>
      <c r="H533" s="141">
        <v>144</v>
      </c>
      <c r="I533" s="141">
        <v>0</v>
      </c>
      <c r="J533" s="149">
        <v>12</v>
      </c>
      <c r="K533" s="150">
        <v>144</v>
      </c>
    </row>
    <row r="534" spans="1:11" ht="30" customHeight="1">
      <c r="A534" s="30">
        <v>20172</v>
      </c>
      <c r="B534" s="16" t="s">
        <v>178</v>
      </c>
      <c r="C534" s="15" t="s">
        <v>229</v>
      </c>
      <c r="D534" s="15" t="s">
        <v>236</v>
      </c>
      <c r="E534" s="15">
        <v>0.21</v>
      </c>
      <c r="F534" s="131">
        <v>3326.3409768431607</v>
      </c>
      <c r="G534" s="17" t="e">
        <f t="shared" si="8"/>
        <v>#VALUE!</v>
      </c>
      <c r="H534" s="141">
        <v>186</v>
      </c>
      <c r="I534" s="141">
        <v>0</v>
      </c>
      <c r="J534" s="149">
        <v>12</v>
      </c>
      <c r="K534" s="150">
        <v>144</v>
      </c>
    </row>
    <row r="535" spans="1:11" ht="30" customHeight="1">
      <c r="A535" s="30">
        <v>20173</v>
      </c>
      <c r="B535" s="16" t="s">
        <v>178</v>
      </c>
      <c r="C535" s="15" t="s">
        <v>229</v>
      </c>
      <c r="D535" s="15" t="s">
        <v>237</v>
      </c>
      <c r="E535" s="15">
        <v>0.21</v>
      </c>
      <c r="F535" s="131">
        <v>4870.6569536443803</v>
      </c>
      <c r="G535" s="17" t="e">
        <f t="shared" si="8"/>
        <v>#VALUE!</v>
      </c>
      <c r="H535" s="141">
        <v>299</v>
      </c>
      <c r="I535" s="141">
        <v>0</v>
      </c>
      <c r="J535" s="149">
        <v>12</v>
      </c>
      <c r="K535" s="150">
        <v>144</v>
      </c>
    </row>
    <row r="536" spans="1:11" ht="30" customHeight="1">
      <c r="A536" s="30">
        <v>20174</v>
      </c>
      <c r="B536" s="16" t="s">
        <v>178</v>
      </c>
      <c r="C536" s="15" t="s">
        <v>229</v>
      </c>
      <c r="D536" s="15" t="s">
        <v>238</v>
      </c>
      <c r="E536" s="15">
        <v>0.21</v>
      </c>
      <c r="F536" s="131">
        <v>4989.5580931625882</v>
      </c>
      <c r="G536" s="17" t="e">
        <f t="shared" si="8"/>
        <v>#VALUE!</v>
      </c>
      <c r="H536" s="141">
        <v>182</v>
      </c>
      <c r="I536" s="141">
        <v>0</v>
      </c>
      <c r="J536" s="149">
        <v>12</v>
      </c>
      <c r="K536" s="150">
        <v>144</v>
      </c>
    </row>
    <row r="537" spans="1:11" ht="30" customHeight="1">
      <c r="A537" s="30">
        <v>20175</v>
      </c>
      <c r="B537" s="16" t="s">
        <v>178</v>
      </c>
      <c r="C537" s="15" t="s">
        <v>229</v>
      </c>
      <c r="D537" s="15" t="s">
        <v>239</v>
      </c>
      <c r="E537" s="15">
        <v>0.21</v>
      </c>
      <c r="F537" s="131">
        <v>5108.3659768851003</v>
      </c>
      <c r="G537" s="17" t="e">
        <f t="shared" si="8"/>
        <v>#VALUE!</v>
      </c>
      <c r="H537" s="141">
        <v>216</v>
      </c>
      <c r="I537" s="141">
        <v>0</v>
      </c>
      <c r="J537" s="149">
        <v>12</v>
      </c>
      <c r="K537" s="150">
        <v>144</v>
      </c>
    </row>
    <row r="538" spans="1:11" ht="30" customHeight="1">
      <c r="A538" s="30">
        <v>20176</v>
      </c>
      <c r="B538" s="16" t="s">
        <v>178</v>
      </c>
      <c r="C538" s="15" t="s">
        <v>229</v>
      </c>
      <c r="D538" s="15" t="s">
        <v>240</v>
      </c>
      <c r="E538" s="15">
        <v>0.21</v>
      </c>
      <c r="F538" s="131">
        <v>6058.6425350737727</v>
      </c>
      <c r="G538" s="17" t="e">
        <f t="shared" si="8"/>
        <v>#VALUE!</v>
      </c>
      <c r="H538" s="141">
        <v>132</v>
      </c>
      <c r="I538" s="141">
        <v>0</v>
      </c>
      <c r="J538" s="149">
        <v>12</v>
      </c>
      <c r="K538" s="150">
        <v>72</v>
      </c>
    </row>
    <row r="539" spans="1:11" ht="30" customHeight="1">
      <c r="A539" s="30">
        <v>20177</v>
      </c>
      <c r="B539" s="16" t="s">
        <v>178</v>
      </c>
      <c r="C539" s="15" t="s">
        <v>229</v>
      </c>
      <c r="D539" s="15" t="s">
        <v>241</v>
      </c>
      <c r="E539" s="15">
        <v>0.21</v>
      </c>
      <c r="F539" s="131">
        <v>7484.3371397438859</v>
      </c>
      <c r="G539" s="17" t="e">
        <f t="shared" si="8"/>
        <v>#VALUE!</v>
      </c>
      <c r="H539" s="141">
        <v>75</v>
      </c>
      <c r="I539" s="141">
        <v>0</v>
      </c>
      <c r="J539" s="149">
        <v>12</v>
      </c>
      <c r="K539" s="150">
        <v>72</v>
      </c>
    </row>
    <row r="540" spans="1:11" ht="30" customHeight="1">
      <c r="A540" s="30">
        <v>20111</v>
      </c>
      <c r="B540" s="16" t="s">
        <v>178</v>
      </c>
      <c r="C540" s="15" t="s">
        <v>209</v>
      </c>
      <c r="D540" s="15" t="s">
        <v>210</v>
      </c>
      <c r="E540" s="15">
        <v>0.21</v>
      </c>
      <c r="F540" s="131">
        <v>7220.1522682407804</v>
      </c>
      <c r="G540" s="17" t="e">
        <f t="shared" si="8"/>
        <v>#VALUE!</v>
      </c>
      <c r="H540" s="141">
        <v>497</v>
      </c>
      <c r="I540" s="141">
        <v>0</v>
      </c>
      <c r="J540" s="149">
        <v>12</v>
      </c>
      <c r="K540" s="150">
        <v>72</v>
      </c>
    </row>
    <row r="541" spans="1:11" ht="30" customHeight="1">
      <c r="A541" s="30">
        <v>20112</v>
      </c>
      <c r="B541" s="16" t="s">
        <v>178</v>
      </c>
      <c r="C541" s="15" t="s">
        <v>209</v>
      </c>
      <c r="D541" s="15" t="s">
        <v>211</v>
      </c>
      <c r="E541" s="15">
        <v>0.21</v>
      </c>
      <c r="F541" s="131">
        <v>8559.8653010743565</v>
      </c>
      <c r="G541" s="17" t="e">
        <f t="shared" si="8"/>
        <v>#VALUE!</v>
      </c>
      <c r="H541" s="141">
        <v>349</v>
      </c>
      <c r="I541" s="141">
        <v>0</v>
      </c>
      <c r="J541" s="149">
        <v>12</v>
      </c>
      <c r="K541" s="150">
        <v>72</v>
      </c>
    </row>
    <row r="542" spans="1:11" ht="30" customHeight="1">
      <c r="A542" s="30">
        <v>20114</v>
      </c>
      <c r="B542" s="16" t="s">
        <v>178</v>
      </c>
      <c r="C542" s="15" t="s">
        <v>209</v>
      </c>
      <c r="D542" s="15" t="s">
        <v>212</v>
      </c>
      <c r="E542" s="15">
        <v>0.21</v>
      </c>
      <c r="F542" s="131">
        <v>9742.4070000000011</v>
      </c>
      <c r="G542" s="17" t="e">
        <f t="shared" si="8"/>
        <v>#VALUE!</v>
      </c>
      <c r="H542" s="141">
        <v>316</v>
      </c>
      <c r="I542" s="141">
        <v>0</v>
      </c>
      <c r="J542" s="149">
        <v>6</v>
      </c>
      <c r="K542" s="150">
        <v>60</v>
      </c>
    </row>
    <row r="543" spans="1:11" ht="30" customHeight="1">
      <c r="A543" s="30">
        <v>20115</v>
      </c>
      <c r="B543" s="16" t="s">
        <v>178</v>
      </c>
      <c r="C543" s="15" t="s">
        <v>209</v>
      </c>
      <c r="D543" s="15" t="s">
        <v>213</v>
      </c>
      <c r="E543" s="15">
        <v>0.21</v>
      </c>
      <c r="F543" s="131">
        <v>10356.380240806004</v>
      </c>
      <c r="G543" s="17" t="e">
        <f t="shared" si="8"/>
        <v>#VALUE!</v>
      </c>
      <c r="H543" s="141">
        <v>310</v>
      </c>
      <c r="I543" s="141">
        <v>0</v>
      </c>
      <c r="J543" s="149">
        <v>6</v>
      </c>
      <c r="K543" s="150">
        <v>60</v>
      </c>
    </row>
    <row r="544" spans="1:11" ht="30" customHeight="1">
      <c r="A544" s="30">
        <v>20117</v>
      </c>
      <c r="B544" s="16" t="s">
        <v>178</v>
      </c>
      <c r="C544" s="15" t="s">
        <v>209</v>
      </c>
      <c r="D544" s="15" t="s">
        <v>214</v>
      </c>
      <c r="E544" s="15">
        <v>0.21</v>
      </c>
      <c r="F544" s="131">
        <v>12998.313975705496</v>
      </c>
      <c r="G544" s="17" t="e">
        <f t="shared" si="8"/>
        <v>#VALUE!</v>
      </c>
      <c r="H544" s="141">
        <v>476</v>
      </c>
      <c r="I544" s="141">
        <v>0</v>
      </c>
      <c r="J544" s="149">
        <v>6</v>
      </c>
      <c r="K544" s="150">
        <v>36</v>
      </c>
    </row>
    <row r="545" spans="1:11" ht="30" customHeight="1">
      <c r="A545" s="30">
        <v>20119</v>
      </c>
      <c r="B545" s="16" t="s">
        <v>178</v>
      </c>
      <c r="C545" s="15" t="s">
        <v>209</v>
      </c>
      <c r="D545" s="15" t="s">
        <v>215</v>
      </c>
      <c r="E545" s="15">
        <v>0.21</v>
      </c>
      <c r="F545" s="131">
        <v>15358.194236416739</v>
      </c>
      <c r="G545" s="17" t="e">
        <f t="shared" si="8"/>
        <v>#VALUE!</v>
      </c>
      <c r="H545" s="141">
        <v>270</v>
      </c>
      <c r="I545" s="141">
        <v>0</v>
      </c>
      <c r="J545" s="149">
        <v>6</v>
      </c>
      <c r="K545" s="150">
        <v>36</v>
      </c>
    </row>
    <row r="546" spans="1:11" ht="30" customHeight="1">
      <c r="A546" s="30">
        <v>20140</v>
      </c>
      <c r="B546" s="16" t="s">
        <v>178</v>
      </c>
      <c r="C546" s="15" t="s">
        <v>227</v>
      </c>
      <c r="D546" s="15" t="s">
        <v>224</v>
      </c>
      <c r="E546" s="15">
        <v>0.21</v>
      </c>
      <c r="F546" s="131">
        <v>6237.9516000000003</v>
      </c>
      <c r="G546" s="17" t="e">
        <f t="shared" si="8"/>
        <v>#VALUE!</v>
      </c>
      <c r="H546" s="141">
        <v>215</v>
      </c>
      <c r="I546" s="141">
        <v>0</v>
      </c>
      <c r="J546" s="149">
        <v>12</v>
      </c>
      <c r="K546" s="150">
        <v>96</v>
      </c>
    </row>
    <row r="547" spans="1:11" ht="30" customHeight="1">
      <c r="A547" s="30">
        <v>20121</v>
      </c>
      <c r="B547" s="16" t="s">
        <v>178</v>
      </c>
      <c r="C547" s="15" t="s">
        <v>216</v>
      </c>
      <c r="D547" s="15" t="s">
        <v>217</v>
      </c>
      <c r="E547" s="15">
        <v>0.21</v>
      </c>
      <c r="F547" s="131">
        <v>7760.7794000000004</v>
      </c>
      <c r="G547" s="17" t="e">
        <f t="shared" si="8"/>
        <v>#VALUE!</v>
      </c>
      <c r="H547" s="141">
        <v>664</v>
      </c>
      <c r="I547" s="141">
        <v>0</v>
      </c>
      <c r="J547" s="149">
        <v>12</v>
      </c>
      <c r="K547" s="150">
        <v>72</v>
      </c>
    </row>
    <row r="548" spans="1:11" ht="30" customHeight="1">
      <c r="A548" s="30">
        <v>20122</v>
      </c>
      <c r="B548" s="16" t="s">
        <v>178</v>
      </c>
      <c r="C548" s="15" t="s">
        <v>216</v>
      </c>
      <c r="D548" s="15" t="s">
        <v>185</v>
      </c>
      <c r="E548" s="15">
        <v>0.21</v>
      </c>
      <c r="F548" s="131">
        <v>7929.9872000000005</v>
      </c>
      <c r="G548" s="17" t="e">
        <f t="shared" si="8"/>
        <v>#VALUE!</v>
      </c>
      <c r="H548" s="141">
        <v>368</v>
      </c>
      <c r="I548" s="141">
        <v>0</v>
      </c>
      <c r="J548" s="149">
        <v>12</v>
      </c>
      <c r="K548" s="150">
        <v>72</v>
      </c>
    </row>
    <row r="549" spans="1:11" ht="30" customHeight="1">
      <c r="A549" s="30">
        <v>20124</v>
      </c>
      <c r="B549" s="16" t="s">
        <v>178</v>
      </c>
      <c r="C549" s="15" t="s">
        <v>216</v>
      </c>
      <c r="D549" s="15" t="s">
        <v>218</v>
      </c>
      <c r="E549" s="15">
        <v>0.21</v>
      </c>
      <c r="F549" s="131">
        <v>9058.0074000000022</v>
      </c>
      <c r="G549" s="17" t="e">
        <f t="shared" si="8"/>
        <v>#VALUE!</v>
      </c>
      <c r="H549" s="141">
        <v>183</v>
      </c>
      <c r="I549" s="141">
        <v>0</v>
      </c>
      <c r="J549" s="149">
        <v>6</v>
      </c>
      <c r="K549" s="150">
        <v>60</v>
      </c>
    </row>
    <row r="550" spans="1:11" ht="30" customHeight="1">
      <c r="A550" s="30">
        <v>20125</v>
      </c>
      <c r="B550" s="16" t="s">
        <v>178</v>
      </c>
      <c r="C550" s="15" t="s">
        <v>216</v>
      </c>
      <c r="D550" s="15" t="s">
        <v>186</v>
      </c>
      <c r="E550" s="15">
        <v>0.21</v>
      </c>
      <c r="F550" s="131">
        <v>10462.057590201988</v>
      </c>
      <c r="G550" s="17" t="e">
        <f t="shared" si="8"/>
        <v>#VALUE!</v>
      </c>
      <c r="H550" s="141">
        <v>184</v>
      </c>
      <c r="I550" s="141">
        <v>0</v>
      </c>
      <c r="J550" s="149">
        <v>6</v>
      </c>
      <c r="K550" s="150">
        <v>60</v>
      </c>
    </row>
    <row r="551" spans="1:11" ht="30" customHeight="1">
      <c r="A551" s="30">
        <v>20127</v>
      </c>
      <c r="B551" s="16" t="s">
        <v>178</v>
      </c>
      <c r="C551" s="15" t="s">
        <v>216</v>
      </c>
      <c r="D551" s="15" t="s">
        <v>187</v>
      </c>
      <c r="E551" s="15">
        <v>0.21</v>
      </c>
      <c r="F551" s="131">
        <v>12575.604578121578</v>
      </c>
      <c r="G551" s="17" t="e">
        <f t="shared" si="8"/>
        <v>#VALUE!</v>
      </c>
      <c r="H551" s="141">
        <v>279</v>
      </c>
      <c r="I551" s="141">
        <v>0</v>
      </c>
      <c r="J551" s="149">
        <v>6</v>
      </c>
      <c r="K551" s="150">
        <v>36</v>
      </c>
    </row>
    <row r="552" spans="1:11" ht="30" customHeight="1">
      <c r="A552" s="30">
        <v>20129</v>
      </c>
      <c r="B552" s="16" t="s">
        <v>178</v>
      </c>
      <c r="C552" s="15" t="s">
        <v>216</v>
      </c>
      <c r="D552" s="15" t="s">
        <v>219</v>
      </c>
      <c r="E552" s="15">
        <v>0.21</v>
      </c>
      <c r="F552" s="131">
        <v>14528.9112</v>
      </c>
      <c r="G552" s="17" t="e">
        <f t="shared" si="8"/>
        <v>#VALUE!</v>
      </c>
      <c r="H552" s="141">
        <v>322</v>
      </c>
      <c r="I552" s="141">
        <v>0</v>
      </c>
      <c r="J552" s="149">
        <v>6</v>
      </c>
      <c r="K552" s="150">
        <v>36</v>
      </c>
    </row>
    <row r="553" spans="1:11" ht="30" customHeight="1">
      <c r="A553" s="30">
        <v>20181</v>
      </c>
      <c r="B553" s="16" t="s">
        <v>178</v>
      </c>
      <c r="C553" s="15" t="s">
        <v>244</v>
      </c>
      <c r="D553" s="15" t="s">
        <v>245</v>
      </c>
      <c r="E553" s="15">
        <v>0.21</v>
      </c>
      <c r="F553" s="131">
        <v>7543.4085279185847</v>
      </c>
      <c r="G553" s="17" t="e">
        <f t="shared" si="8"/>
        <v>#VALUE!</v>
      </c>
      <c r="H553" s="141">
        <v>593</v>
      </c>
      <c r="I553" s="141">
        <v>0</v>
      </c>
      <c r="J553" s="149">
        <v>10</v>
      </c>
      <c r="K553" s="150">
        <v>100</v>
      </c>
    </row>
    <row r="554" spans="1:11" ht="30" customHeight="1">
      <c r="A554" s="30">
        <v>20182</v>
      </c>
      <c r="B554" s="16" t="s">
        <v>178</v>
      </c>
      <c r="C554" s="15" t="s">
        <v>246</v>
      </c>
      <c r="D554" s="15" t="s">
        <v>247</v>
      </c>
      <c r="E554" s="15">
        <v>0.21</v>
      </c>
      <c r="F554" s="131">
        <v>12069.453644669737</v>
      </c>
      <c r="G554" s="17" t="e">
        <f t="shared" si="8"/>
        <v>#VALUE!</v>
      </c>
      <c r="H554" s="141">
        <v>314</v>
      </c>
      <c r="I554" s="141">
        <v>0</v>
      </c>
      <c r="J554" s="149">
        <v>10</v>
      </c>
      <c r="K554" s="150">
        <v>60</v>
      </c>
    </row>
    <row r="555" spans="1:11" ht="30" customHeight="1">
      <c r="A555" s="30">
        <v>20180</v>
      </c>
      <c r="B555" s="16" t="s">
        <v>178</v>
      </c>
      <c r="C555" s="15" t="s">
        <v>242</v>
      </c>
      <c r="D555" s="15" t="s">
        <v>243</v>
      </c>
      <c r="E555" s="15">
        <v>0.21</v>
      </c>
      <c r="F555" s="131">
        <v>24785.602801199853</v>
      </c>
      <c r="G555" s="17" t="e">
        <f t="shared" si="8"/>
        <v>#VALUE!</v>
      </c>
      <c r="H555" s="141">
        <v>271</v>
      </c>
      <c r="I555" s="141">
        <v>0</v>
      </c>
      <c r="J555" s="149">
        <v>10</v>
      </c>
      <c r="K555" s="150">
        <v>20</v>
      </c>
    </row>
    <row r="556" spans="1:11" ht="30" customHeight="1">
      <c r="A556" s="31">
        <v>20179</v>
      </c>
      <c r="B556" s="16" t="s">
        <v>2578</v>
      </c>
      <c r="C556" s="15" t="s">
        <v>3121</v>
      </c>
      <c r="D556" s="15" t="s">
        <v>2579</v>
      </c>
      <c r="E556" s="15">
        <v>0.21</v>
      </c>
      <c r="F556" s="131">
        <v>20787.63608744918</v>
      </c>
      <c r="G556" s="17" t="e">
        <f t="shared" si="8"/>
        <v>#VALUE!</v>
      </c>
      <c r="H556" s="141">
        <v>160</v>
      </c>
      <c r="I556" s="141">
        <v>80</v>
      </c>
      <c r="J556" s="149">
        <v>10</v>
      </c>
      <c r="K556" s="150">
        <v>20</v>
      </c>
    </row>
    <row r="557" spans="1:11" ht="30" customHeight="1">
      <c r="A557" s="31">
        <v>20014</v>
      </c>
      <c r="B557" s="16" t="s">
        <v>2578</v>
      </c>
      <c r="C557" s="15" t="s">
        <v>3121</v>
      </c>
      <c r="D557" s="15" t="s">
        <v>2492</v>
      </c>
      <c r="E557" s="15">
        <v>0.21</v>
      </c>
      <c r="F557" s="131">
        <v>30967.148604499031</v>
      </c>
      <c r="G557" s="17" t="e">
        <f t="shared" si="8"/>
        <v>#VALUE!</v>
      </c>
      <c r="H557" s="141">
        <v>408</v>
      </c>
      <c r="I557" s="141">
        <v>100</v>
      </c>
      <c r="J557" s="149">
        <v>10</v>
      </c>
      <c r="K557" s="150">
        <v>20</v>
      </c>
    </row>
    <row r="558" spans="1:11" ht="30" customHeight="1">
      <c r="A558" s="31">
        <v>20190</v>
      </c>
      <c r="B558" s="16" t="s">
        <v>2578</v>
      </c>
      <c r="C558" s="15" t="s">
        <v>3122</v>
      </c>
      <c r="D558" s="15" t="s">
        <v>2579</v>
      </c>
      <c r="E558" s="15">
        <v>0.21</v>
      </c>
      <c r="F558" s="131">
        <v>11251.040150423527</v>
      </c>
      <c r="G558" s="17" t="e">
        <f t="shared" si="8"/>
        <v>#VALUE!</v>
      </c>
      <c r="H558" s="141">
        <v>149</v>
      </c>
      <c r="I558" s="141">
        <v>0</v>
      </c>
      <c r="J558" s="149">
        <v>12</v>
      </c>
      <c r="K558" s="150">
        <v>48</v>
      </c>
    </row>
    <row r="559" spans="1:11" ht="30" customHeight="1">
      <c r="A559" s="30">
        <v>20016</v>
      </c>
      <c r="B559" s="16" t="s">
        <v>178</v>
      </c>
      <c r="C559" s="15" t="s">
        <v>188</v>
      </c>
      <c r="D559" s="15" t="s">
        <v>179</v>
      </c>
      <c r="E559" s="15">
        <v>0.21</v>
      </c>
      <c r="F559" s="131">
        <v>2342.3392519338722</v>
      </c>
      <c r="G559" s="17" t="e">
        <f t="shared" si="8"/>
        <v>#VALUE!</v>
      </c>
      <c r="H559" s="141">
        <v>4</v>
      </c>
      <c r="I559" s="141">
        <v>0</v>
      </c>
      <c r="J559" s="149" t="e">
        <v>#N/A</v>
      </c>
      <c r="K559" s="150" t="e">
        <v>#N/A</v>
      </c>
    </row>
    <row r="560" spans="1:11" ht="30" customHeight="1">
      <c r="A560" s="31">
        <v>20701</v>
      </c>
      <c r="B560" s="16" t="s">
        <v>178</v>
      </c>
      <c r="C560" s="15" t="s">
        <v>188</v>
      </c>
      <c r="D560" s="15" t="s">
        <v>2364</v>
      </c>
      <c r="E560" s="15">
        <v>0.21</v>
      </c>
      <c r="F560" s="131">
        <v>2070.9226944408047</v>
      </c>
      <c r="G560" s="17" t="e">
        <f t="shared" si="8"/>
        <v>#VALUE!</v>
      </c>
      <c r="H560" s="141">
        <v>980</v>
      </c>
      <c r="I560" s="141">
        <v>0</v>
      </c>
      <c r="J560" s="149">
        <v>12</v>
      </c>
      <c r="K560" s="150">
        <v>144</v>
      </c>
    </row>
    <row r="561" spans="1:11" ht="30" customHeight="1">
      <c r="A561" s="30">
        <v>20017</v>
      </c>
      <c r="B561" s="16" t="s">
        <v>178</v>
      </c>
      <c r="C561" s="15" t="s">
        <v>188</v>
      </c>
      <c r="D561" s="15" t="s">
        <v>180</v>
      </c>
      <c r="E561" s="15">
        <v>0.21</v>
      </c>
      <c r="F561" s="131">
        <v>3187.7628644321326</v>
      </c>
      <c r="G561" s="17" t="e">
        <f t="shared" si="8"/>
        <v>#VALUE!</v>
      </c>
      <c r="H561" s="141">
        <v>388</v>
      </c>
      <c r="I561" s="141">
        <v>0</v>
      </c>
      <c r="J561" s="149" t="e">
        <v>#N/A</v>
      </c>
      <c r="K561" s="150" t="e">
        <v>#N/A</v>
      </c>
    </row>
    <row r="562" spans="1:11" ht="30" customHeight="1">
      <c r="A562" s="31">
        <v>20702</v>
      </c>
      <c r="B562" s="16" t="s">
        <v>178</v>
      </c>
      <c r="C562" s="15" t="s">
        <v>188</v>
      </c>
      <c r="D562" s="15" t="s">
        <v>2365</v>
      </c>
      <c r="E562" s="15">
        <v>0.21</v>
      </c>
      <c r="F562" s="131">
        <v>2615.902350872595</v>
      </c>
      <c r="G562" s="17" t="e">
        <f t="shared" si="8"/>
        <v>#VALUE!</v>
      </c>
      <c r="H562" s="141">
        <v>756</v>
      </c>
      <c r="I562" s="141">
        <v>0</v>
      </c>
      <c r="J562" s="149">
        <v>12</v>
      </c>
      <c r="K562" s="150">
        <v>144</v>
      </c>
    </row>
    <row r="563" spans="1:11" ht="30" customHeight="1">
      <c r="A563" s="30">
        <v>20018</v>
      </c>
      <c r="B563" s="16" t="s">
        <v>178</v>
      </c>
      <c r="C563" s="15" t="s">
        <v>188</v>
      </c>
      <c r="D563" s="15" t="s">
        <v>189</v>
      </c>
      <c r="E563" s="15">
        <v>0.21</v>
      </c>
      <c r="F563" s="131">
        <v>3314.4042349934898</v>
      </c>
      <c r="G563" s="17" t="e">
        <f t="shared" si="8"/>
        <v>#VALUE!</v>
      </c>
      <c r="H563" s="141">
        <v>216</v>
      </c>
      <c r="I563" s="141">
        <v>0</v>
      </c>
      <c r="J563" s="149" t="e">
        <v>#N/A</v>
      </c>
      <c r="K563" s="150" t="e">
        <v>#N/A</v>
      </c>
    </row>
    <row r="564" spans="1:11" ht="30" customHeight="1">
      <c r="A564" s="30">
        <v>20021</v>
      </c>
      <c r="B564" s="16" t="s">
        <v>178</v>
      </c>
      <c r="C564" s="15" t="s">
        <v>1890</v>
      </c>
      <c r="D564" s="15" t="s">
        <v>184</v>
      </c>
      <c r="E564" s="15">
        <v>0.21</v>
      </c>
      <c r="F564" s="131">
        <v>2119.6518700671886</v>
      </c>
      <c r="G564" s="17" t="e">
        <f t="shared" si="8"/>
        <v>#VALUE!</v>
      </c>
      <c r="H564" s="141">
        <v>3</v>
      </c>
      <c r="I564" s="141">
        <v>0</v>
      </c>
      <c r="J564" s="149" t="e">
        <v>#N/A</v>
      </c>
      <c r="K564" s="150" t="e">
        <v>#N/A</v>
      </c>
    </row>
    <row r="565" spans="1:11" ht="30" customHeight="1">
      <c r="A565" s="31">
        <v>20703</v>
      </c>
      <c r="B565" s="16" t="s">
        <v>178</v>
      </c>
      <c r="C565" s="15" t="s">
        <v>188</v>
      </c>
      <c r="D565" s="15" t="s">
        <v>2366</v>
      </c>
      <c r="E565" s="15">
        <v>0.21</v>
      </c>
      <c r="F565" s="131">
        <v>2833.8942134453123</v>
      </c>
      <c r="G565" s="17" t="e">
        <f t="shared" si="8"/>
        <v>#VALUE!</v>
      </c>
      <c r="H565" s="141">
        <v>542</v>
      </c>
      <c r="I565" s="141">
        <v>0</v>
      </c>
      <c r="J565" s="149">
        <v>12</v>
      </c>
      <c r="K565" s="150">
        <v>144</v>
      </c>
    </row>
    <row r="566" spans="1:11" ht="30" customHeight="1">
      <c r="A566" s="31">
        <v>20705</v>
      </c>
      <c r="B566" s="16" t="s">
        <v>178</v>
      </c>
      <c r="C566" s="15" t="s">
        <v>188</v>
      </c>
      <c r="D566" s="15" t="s">
        <v>2367</v>
      </c>
      <c r="E566" s="15">
        <v>0.21</v>
      </c>
      <c r="F566" s="131">
        <v>3269.8779385907437</v>
      </c>
      <c r="G566" s="17" t="e">
        <f t="shared" si="8"/>
        <v>#VALUE!</v>
      </c>
      <c r="H566" s="141">
        <v>885</v>
      </c>
      <c r="I566" s="141">
        <v>0</v>
      </c>
      <c r="J566" s="149">
        <v>12</v>
      </c>
      <c r="K566" s="150">
        <v>144</v>
      </c>
    </row>
    <row r="567" spans="1:11" ht="30" customHeight="1">
      <c r="A567" s="31">
        <v>20707</v>
      </c>
      <c r="B567" s="16" t="s">
        <v>178</v>
      </c>
      <c r="C567" s="15" t="s">
        <v>188</v>
      </c>
      <c r="D567" s="15" t="s">
        <v>2368</v>
      </c>
      <c r="E567" s="15">
        <v>0.21</v>
      </c>
      <c r="F567" s="131">
        <v>3705.8616637361774</v>
      </c>
      <c r="G567" s="17" t="e">
        <f t="shared" si="8"/>
        <v>#VALUE!</v>
      </c>
      <c r="H567" s="141">
        <v>678</v>
      </c>
      <c r="I567" s="141">
        <v>0</v>
      </c>
      <c r="J567" s="149">
        <v>12</v>
      </c>
      <c r="K567" s="150">
        <v>72</v>
      </c>
    </row>
    <row r="568" spans="1:11" ht="30" customHeight="1">
      <c r="A568" s="31">
        <v>20708</v>
      </c>
      <c r="B568" s="16" t="s">
        <v>178</v>
      </c>
      <c r="C568" s="15" t="s">
        <v>188</v>
      </c>
      <c r="D568" s="15" t="s">
        <v>2369</v>
      </c>
      <c r="E568" s="15">
        <v>0.21</v>
      </c>
      <c r="F568" s="131">
        <v>4904.8169078861174</v>
      </c>
      <c r="G568" s="17" t="e">
        <f t="shared" si="8"/>
        <v>#VALUE!</v>
      </c>
      <c r="H568" s="141">
        <v>259</v>
      </c>
      <c r="I568" s="141">
        <v>0</v>
      </c>
      <c r="J568" s="149">
        <v>12</v>
      </c>
      <c r="K568" s="150">
        <v>72</v>
      </c>
    </row>
    <row r="569" spans="1:11" ht="30" customHeight="1">
      <c r="A569" s="31">
        <v>20711</v>
      </c>
      <c r="B569" s="16" t="s">
        <v>178</v>
      </c>
      <c r="C569" s="15" t="s">
        <v>3123</v>
      </c>
      <c r="D569" s="15" t="s">
        <v>2370</v>
      </c>
      <c r="E569" s="15">
        <v>0.21</v>
      </c>
      <c r="F569" s="131">
        <v>2070.9226944408047</v>
      </c>
      <c r="G569" s="17" t="e">
        <f t="shared" si="8"/>
        <v>#VALUE!</v>
      </c>
      <c r="H569" s="141">
        <v>578</v>
      </c>
      <c r="I569" s="141">
        <v>0</v>
      </c>
      <c r="J569" s="149">
        <v>12</v>
      </c>
      <c r="K569" s="150">
        <v>144</v>
      </c>
    </row>
    <row r="570" spans="1:11" ht="30" customHeight="1">
      <c r="A570" s="31">
        <v>20712</v>
      </c>
      <c r="B570" s="16" t="s">
        <v>178</v>
      </c>
      <c r="C570" s="15" t="s">
        <v>2025</v>
      </c>
      <c r="D570" s="15" t="s">
        <v>185</v>
      </c>
      <c r="E570" s="15">
        <v>0.21</v>
      </c>
      <c r="F570" s="131">
        <v>3124.5762297461761</v>
      </c>
      <c r="G570" s="17" t="e">
        <f t="shared" si="8"/>
        <v>#VALUE!</v>
      </c>
      <c r="H570" s="141">
        <v>1967</v>
      </c>
      <c r="I570" s="141">
        <v>288</v>
      </c>
      <c r="J570" s="149">
        <v>12</v>
      </c>
      <c r="K570" s="150">
        <v>144</v>
      </c>
    </row>
    <row r="571" spans="1:11" ht="30" customHeight="1">
      <c r="A571" s="31">
        <v>20714</v>
      </c>
      <c r="B571" s="16" t="s">
        <v>178</v>
      </c>
      <c r="C571" s="15" t="s">
        <v>3123</v>
      </c>
      <c r="D571" s="15" t="s">
        <v>2371</v>
      </c>
      <c r="E571" s="15">
        <v>0.21</v>
      </c>
      <c r="F571" s="131">
        <v>3269.8779385907437</v>
      </c>
      <c r="G571" s="17" t="e">
        <f t="shared" si="8"/>
        <v>#VALUE!</v>
      </c>
      <c r="H571" s="141">
        <v>1498</v>
      </c>
      <c r="I571" s="141">
        <v>288</v>
      </c>
      <c r="J571" s="149">
        <v>12</v>
      </c>
      <c r="K571" s="150">
        <v>144</v>
      </c>
    </row>
    <row r="572" spans="1:11" ht="30" customHeight="1">
      <c r="A572" s="31">
        <v>20716</v>
      </c>
      <c r="B572" s="16" t="s">
        <v>178</v>
      </c>
      <c r="C572" s="15" t="s">
        <v>2024</v>
      </c>
      <c r="D572" s="15" t="s">
        <v>186</v>
      </c>
      <c r="E572" s="15">
        <v>0.21</v>
      </c>
      <c r="F572" s="131">
        <v>4248.3249677217673</v>
      </c>
      <c r="G572" s="17" t="e">
        <f t="shared" si="8"/>
        <v>#VALUE!</v>
      </c>
      <c r="H572" s="141">
        <v>2037</v>
      </c>
      <c r="I572" s="141">
        <v>0</v>
      </c>
      <c r="J572" s="149">
        <v>12</v>
      </c>
      <c r="K572" s="150">
        <v>72</v>
      </c>
    </row>
    <row r="573" spans="1:11" ht="30" customHeight="1">
      <c r="A573" s="31">
        <v>20717</v>
      </c>
      <c r="B573" s="16" t="s">
        <v>2578</v>
      </c>
      <c r="C573" s="15" t="s">
        <v>1890</v>
      </c>
      <c r="D573" s="15" t="s">
        <v>187</v>
      </c>
      <c r="E573" s="15">
        <v>0.21</v>
      </c>
      <c r="F573" s="131">
        <v>4821.8743501815097</v>
      </c>
      <c r="G573" s="17" t="e">
        <f t="shared" si="8"/>
        <v>#VALUE!</v>
      </c>
      <c r="H573" s="141">
        <v>279</v>
      </c>
      <c r="I573" s="141">
        <v>0</v>
      </c>
      <c r="J573" s="149">
        <v>12</v>
      </c>
      <c r="K573" s="150">
        <v>72</v>
      </c>
    </row>
    <row r="574" spans="1:11" ht="30" customHeight="1">
      <c r="A574" s="31">
        <v>20734</v>
      </c>
      <c r="B574" s="16" t="s">
        <v>2578</v>
      </c>
      <c r="C574" s="15" t="s">
        <v>3124</v>
      </c>
      <c r="D574" s="15" t="s">
        <v>2580</v>
      </c>
      <c r="E574" s="15">
        <v>0.21</v>
      </c>
      <c r="F574" s="131">
        <v>5143.332640193612</v>
      </c>
      <c r="G574" s="17" t="e">
        <f t="shared" si="8"/>
        <v>#VALUE!</v>
      </c>
      <c r="H574" s="141">
        <v>476</v>
      </c>
      <c r="I574" s="141">
        <v>0</v>
      </c>
      <c r="J574" s="149">
        <v>25</v>
      </c>
      <c r="K574" s="150">
        <v>100</v>
      </c>
    </row>
    <row r="575" spans="1:11" ht="30" customHeight="1">
      <c r="A575" s="31">
        <v>20735</v>
      </c>
      <c r="B575" s="16" t="s">
        <v>2578</v>
      </c>
      <c r="C575" s="15" t="s">
        <v>3125</v>
      </c>
      <c r="D575" s="15" t="s">
        <v>2581</v>
      </c>
      <c r="E575" s="15">
        <v>0.21</v>
      </c>
      <c r="F575" s="131">
        <v>7589.9874030634901</v>
      </c>
      <c r="G575" s="17" t="e">
        <f t="shared" si="8"/>
        <v>#VALUE!</v>
      </c>
      <c r="H575" s="141">
        <v>209</v>
      </c>
      <c r="I575" s="141">
        <v>0</v>
      </c>
      <c r="J575" s="149">
        <v>20</v>
      </c>
      <c r="K575" s="150">
        <v>60</v>
      </c>
    </row>
    <row r="576" spans="1:11" ht="30" customHeight="1">
      <c r="A576" s="31">
        <v>20737</v>
      </c>
      <c r="B576" s="16" t="s">
        <v>2578</v>
      </c>
      <c r="C576" s="15" t="s">
        <v>3126</v>
      </c>
      <c r="D576" s="15" t="s">
        <v>2582</v>
      </c>
      <c r="E576" s="15">
        <v>0.21</v>
      </c>
      <c r="F576" s="131">
        <v>16407.766886034311</v>
      </c>
      <c r="G576" s="17" t="e">
        <f t="shared" si="8"/>
        <v>#VALUE!</v>
      </c>
      <c r="H576" s="141">
        <v>161</v>
      </c>
      <c r="I576" s="141">
        <v>60</v>
      </c>
      <c r="J576" s="149">
        <v>10</v>
      </c>
      <c r="K576" s="150">
        <v>30</v>
      </c>
    </row>
    <row r="577" spans="1:11" ht="30" customHeight="1">
      <c r="A577" s="31">
        <v>20738</v>
      </c>
      <c r="B577" s="16" t="s">
        <v>178</v>
      </c>
      <c r="C577" s="15" t="s">
        <v>2372</v>
      </c>
      <c r="D577" s="15" t="s">
        <v>2945</v>
      </c>
      <c r="E577" s="15">
        <v>0.21</v>
      </c>
      <c r="F577" s="131">
        <v>20164.247287976264</v>
      </c>
      <c r="G577" s="17" t="e">
        <f t="shared" si="8"/>
        <v>#VALUE!</v>
      </c>
      <c r="H577" s="141">
        <v>549</v>
      </c>
      <c r="I577" s="141">
        <v>40</v>
      </c>
      <c r="J577" s="149">
        <v>10</v>
      </c>
      <c r="K577" s="150">
        <v>20</v>
      </c>
    </row>
    <row r="578" spans="1:11" ht="30" customHeight="1">
      <c r="A578" s="31">
        <v>20739</v>
      </c>
      <c r="B578" s="16" t="s">
        <v>2578</v>
      </c>
      <c r="C578" s="15" t="s">
        <v>3127</v>
      </c>
      <c r="D578" s="15" t="s">
        <v>2583</v>
      </c>
      <c r="E578" s="15">
        <v>0.21</v>
      </c>
      <c r="F578" s="131">
        <v>26676.57337253197</v>
      </c>
      <c r="G578" s="17" t="e">
        <f t="shared" si="8"/>
        <v>#VALUE!</v>
      </c>
      <c r="H578" s="141">
        <v>276</v>
      </c>
      <c r="I578" s="141">
        <v>0</v>
      </c>
      <c r="J578" s="149">
        <v>10</v>
      </c>
      <c r="K578" s="150">
        <v>20</v>
      </c>
    </row>
    <row r="579" spans="1:11" ht="30" customHeight="1">
      <c r="A579" s="31">
        <v>20740</v>
      </c>
      <c r="B579" s="16" t="s">
        <v>2578</v>
      </c>
      <c r="C579" s="15" t="s">
        <v>3128</v>
      </c>
      <c r="D579" s="15" t="s">
        <v>2584</v>
      </c>
      <c r="E579" s="15">
        <v>0.21</v>
      </c>
      <c r="F579" s="131">
        <v>37503.467168078423</v>
      </c>
      <c r="G579" s="17" t="e">
        <f t="shared" si="8"/>
        <v>#VALUE!</v>
      </c>
      <c r="H579" s="141">
        <v>327</v>
      </c>
      <c r="I579" s="141">
        <v>24</v>
      </c>
      <c r="J579" s="149">
        <v>6</v>
      </c>
      <c r="K579" s="150">
        <v>12</v>
      </c>
    </row>
    <row r="580" spans="1:11" ht="30" customHeight="1">
      <c r="A580" s="31">
        <v>20193</v>
      </c>
      <c r="B580" s="16" t="s">
        <v>178</v>
      </c>
      <c r="C580" s="15" t="s">
        <v>190</v>
      </c>
      <c r="D580" s="15" t="s">
        <v>2945</v>
      </c>
      <c r="E580" s="15">
        <v>0.21</v>
      </c>
      <c r="F580" s="131">
        <v>26377.015371298672</v>
      </c>
      <c r="G580" s="17" t="e">
        <f t="shared" si="8"/>
        <v>#VALUE!</v>
      </c>
      <c r="H580" s="141">
        <v>239</v>
      </c>
      <c r="I580" s="141">
        <v>0</v>
      </c>
      <c r="J580" s="149">
        <v>10</v>
      </c>
      <c r="K580" s="150">
        <v>40</v>
      </c>
    </row>
    <row r="581" spans="1:11" ht="30" customHeight="1">
      <c r="A581" s="31">
        <v>20183</v>
      </c>
      <c r="B581" s="16" t="s">
        <v>178</v>
      </c>
      <c r="C581" s="15" t="s">
        <v>3129</v>
      </c>
      <c r="D581" s="15" t="s">
        <v>3038</v>
      </c>
      <c r="E581" s="15">
        <v>0.21</v>
      </c>
      <c r="F581" s="131">
        <v>50247.124323011107</v>
      </c>
      <c r="G581" s="17" t="e">
        <f t="shared" si="8"/>
        <v>#VALUE!</v>
      </c>
      <c r="H581" s="141">
        <v>84</v>
      </c>
      <c r="I581" s="141">
        <v>0</v>
      </c>
      <c r="J581" s="149">
        <v>0</v>
      </c>
      <c r="K581" s="150">
        <v>8</v>
      </c>
    </row>
    <row r="582" spans="1:11" ht="30" customHeight="1">
      <c r="A582" s="31">
        <v>20184</v>
      </c>
      <c r="B582" s="16" t="s">
        <v>2578</v>
      </c>
      <c r="C582" s="15" t="s">
        <v>3121</v>
      </c>
      <c r="D582" s="15" t="s">
        <v>2585</v>
      </c>
      <c r="E582" s="15">
        <v>0.21</v>
      </c>
      <c r="F582" s="131">
        <v>93972.973446870776</v>
      </c>
      <c r="G582" s="17" t="e">
        <f t="shared" si="8"/>
        <v>#VALUE!</v>
      </c>
      <c r="H582" s="141">
        <v>78</v>
      </c>
      <c r="I582" s="141">
        <v>0</v>
      </c>
      <c r="J582" s="149">
        <v>0</v>
      </c>
      <c r="K582" s="150">
        <v>6</v>
      </c>
    </row>
    <row r="583" spans="1:11" ht="30" customHeight="1">
      <c r="A583" s="31">
        <v>20185</v>
      </c>
      <c r="B583" s="16" t="s">
        <v>178</v>
      </c>
      <c r="C583" s="15" t="s">
        <v>3130</v>
      </c>
      <c r="D583" s="15" t="s">
        <v>3039</v>
      </c>
      <c r="E583" s="15">
        <v>0.21</v>
      </c>
      <c r="F583" s="131">
        <v>142893.66591641551</v>
      </c>
      <c r="G583" s="17" t="e">
        <f t="shared" si="8"/>
        <v>#VALUE!</v>
      </c>
      <c r="H583" s="141">
        <v>101</v>
      </c>
      <c r="I583" s="141">
        <v>20</v>
      </c>
      <c r="J583" s="149">
        <v>0</v>
      </c>
      <c r="K583" s="150">
        <v>4</v>
      </c>
    </row>
    <row r="584" spans="1:11" ht="30" customHeight="1">
      <c r="A584" s="31">
        <v>20195</v>
      </c>
      <c r="B584" s="16" t="s">
        <v>2578</v>
      </c>
      <c r="C584" s="15" t="s">
        <v>3131</v>
      </c>
      <c r="D584" s="15" t="s">
        <v>2586</v>
      </c>
      <c r="E584" s="15">
        <v>0.21</v>
      </c>
      <c r="F584" s="131">
        <v>61934.297208998061</v>
      </c>
      <c r="G584" s="17" t="e">
        <f t="shared" ref="G584:G647" si="9">(F584*$G$6)</f>
        <v>#VALUE!</v>
      </c>
      <c r="H584" s="141">
        <v>63</v>
      </c>
      <c r="I584" s="141">
        <v>0</v>
      </c>
      <c r="J584" s="149">
        <v>0</v>
      </c>
      <c r="K584" s="150">
        <v>12</v>
      </c>
    </row>
    <row r="585" spans="1:11" ht="30" customHeight="1">
      <c r="A585" s="31">
        <v>20196</v>
      </c>
      <c r="B585" s="16" t="s">
        <v>2578</v>
      </c>
      <c r="C585" s="15" t="s">
        <v>3132</v>
      </c>
      <c r="D585" s="15" t="s">
        <v>2586</v>
      </c>
      <c r="E585" s="15">
        <v>0.21</v>
      </c>
      <c r="F585" s="131">
        <v>52290.54850863506</v>
      </c>
      <c r="G585" s="17" t="e">
        <f t="shared" si="9"/>
        <v>#VALUE!</v>
      </c>
      <c r="H585" s="141">
        <v>91</v>
      </c>
      <c r="I585" s="141">
        <v>0</v>
      </c>
      <c r="J585" s="149">
        <v>0</v>
      </c>
      <c r="K585" s="150">
        <v>12</v>
      </c>
    </row>
    <row r="586" spans="1:11" ht="30" customHeight="1">
      <c r="A586" s="31">
        <v>20197</v>
      </c>
      <c r="B586" s="16" t="s">
        <v>2578</v>
      </c>
      <c r="C586" s="15" t="s">
        <v>3133</v>
      </c>
      <c r="D586" s="15" t="s">
        <v>2586</v>
      </c>
      <c r="E586" s="15">
        <v>0.21</v>
      </c>
      <c r="F586" s="131">
        <v>52290.54850863506</v>
      </c>
      <c r="G586" s="17" t="e">
        <f t="shared" si="9"/>
        <v>#VALUE!</v>
      </c>
      <c r="H586" s="141">
        <v>99</v>
      </c>
      <c r="I586" s="141">
        <v>0</v>
      </c>
      <c r="J586" s="149">
        <v>0</v>
      </c>
      <c r="K586" s="150">
        <v>12</v>
      </c>
    </row>
    <row r="587" spans="1:11" ht="30" customHeight="1">
      <c r="A587" s="31">
        <v>20042</v>
      </c>
      <c r="B587" s="16" t="s">
        <v>2578</v>
      </c>
      <c r="C587" s="15" t="s">
        <v>3134</v>
      </c>
      <c r="D587" s="15" t="s">
        <v>3040</v>
      </c>
      <c r="E587" s="15">
        <v>0.21</v>
      </c>
      <c r="F587" s="131">
        <v>6857.7768535914829</v>
      </c>
      <c r="G587" s="17" t="e">
        <f t="shared" si="9"/>
        <v>#VALUE!</v>
      </c>
      <c r="H587" s="141">
        <v>233</v>
      </c>
      <c r="I587" s="141">
        <v>0</v>
      </c>
      <c r="J587" s="149">
        <v>20</v>
      </c>
      <c r="K587" s="150">
        <v>120</v>
      </c>
    </row>
    <row r="588" spans="1:11" ht="30" customHeight="1">
      <c r="A588" s="31">
        <v>20043</v>
      </c>
      <c r="B588" s="16" t="s">
        <v>2578</v>
      </c>
      <c r="C588" s="15" t="s">
        <v>3135</v>
      </c>
      <c r="D588" s="15" t="s">
        <v>3041</v>
      </c>
      <c r="E588" s="15">
        <v>0.21</v>
      </c>
      <c r="F588" s="131">
        <v>11143.887387086159</v>
      </c>
      <c r="G588" s="17" t="e">
        <f t="shared" si="9"/>
        <v>#VALUE!</v>
      </c>
      <c r="H588" s="141">
        <v>102</v>
      </c>
      <c r="I588" s="141">
        <v>0</v>
      </c>
      <c r="J588" s="149">
        <v>10</v>
      </c>
      <c r="K588" s="150">
        <v>60</v>
      </c>
    </row>
    <row r="589" spans="1:11" ht="30" customHeight="1">
      <c r="A589" s="31">
        <v>20186</v>
      </c>
      <c r="B589" s="16" t="s">
        <v>2578</v>
      </c>
      <c r="C589" s="15" t="s">
        <v>3136</v>
      </c>
      <c r="D589" s="15" t="s">
        <v>2587</v>
      </c>
      <c r="E589" s="15">
        <v>0.21</v>
      </c>
      <c r="F589" s="131">
        <v>49718.882188538242</v>
      </c>
      <c r="G589" s="17" t="e">
        <f t="shared" si="9"/>
        <v>#VALUE!</v>
      </c>
      <c r="H589" s="141">
        <v>116</v>
      </c>
      <c r="I589" s="141">
        <v>0</v>
      </c>
      <c r="J589" s="149">
        <v>10</v>
      </c>
      <c r="K589" s="150">
        <v>20</v>
      </c>
    </row>
    <row r="590" spans="1:11" ht="30" customHeight="1">
      <c r="A590" s="30">
        <v>20031</v>
      </c>
      <c r="B590" s="16" t="s">
        <v>178</v>
      </c>
      <c r="C590" s="15" t="s">
        <v>190</v>
      </c>
      <c r="D590" s="15" t="s">
        <v>191</v>
      </c>
      <c r="E590" s="15">
        <v>0.21</v>
      </c>
      <c r="F590" s="131">
        <v>6318.2979662590105</v>
      </c>
      <c r="G590" s="17" t="e">
        <f t="shared" si="9"/>
        <v>#VALUE!</v>
      </c>
      <c r="H590" s="141">
        <v>431</v>
      </c>
      <c r="I590" s="141">
        <v>0</v>
      </c>
      <c r="J590" s="149">
        <v>10</v>
      </c>
      <c r="K590" s="150">
        <v>100</v>
      </c>
    </row>
    <row r="591" spans="1:11" ht="30" customHeight="1">
      <c r="A591" s="30">
        <v>20032</v>
      </c>
      <c r="B591" s="16" t="s">
        <v>178</v>
      </c>
      <c r="C591" s="15" t="s">
        <v>192</v>
      </c>
      <c r="D591" s="15" t="s">
        <v>4204</v>
      </c>
      <c r="E591" s="15">
        <v>0.21</v>
      </c>
      <c r="F591" s="131">
        <v>6654.2686687202113</v>
      </c>
      <c r="G591" s="17" t="e">
        <f t="shared" si="9"/>
        <v>#VALUE!</v>
      </c>
      <c r="H591" s="141">
        <v>198</v>
      </c>
      <c r="I591" s="141">
        <v>0</v>
      </c>
      <c r="J591" s="149">
        <v>24</v>
      </c>
      <c r="K591" s="150">
        <v>96</v>
      </c>
    </row>
    <row r="592" spans="1:11" ht="30" customHeight="1">
      <c r="A592" s="30">
        <v>20033</v>
      </c>
      <c r="B592" s="16" t="s">
        <v>178</v>
      </c>
      <c r="C592" s="15" t="s">
        <v>193</v>
      </c>
      <c r="D592" s="15" t="s">
        <v>3042</v>
      </c>
      <c r="E592" s="15">
        <v>0.21</v>
      </c>
      <c r="F592" s="131">
        <v>14229.300893619027</v>
      </c>
      <c r="G592" s="17" t="e">
        <f t="shared" si="9"/>
        <v>#VALUE!</v>
      </c>
      <c r="H592" s="141">
        <v>203</v>
      </c>
      <c r="I592" s="141">
        <v>0</v>
      </c>
      <c r="J592" s="149">
        <v>6</v>
      </c>
      <c r="K592" s="150">
        <v>48</v>
      </c>
    </row>
    <row r="593" spans="1:11" ht="30" customHeight="1">
      <c r="A593" s="30">
        <v>20040</v>
      </c>
      <c r="B593" s="16" t="s">
        <v>178</v>
      </c>
      <c r="C593" s="15" t="s">
        <v>196</v>
      </c>
      <c r="D593" s="15" t="s">
        <v>3043</v>
      </c>
      <c r="E593" s="15">
        <v>0.21</v>
      </c>
      <c r="F593" s="131">
        <v>23077.007218497522</v>
      </c>
      <c r="G593" s="17" t="e">
        <f t="shared" si="9"/>
        <v>#VALUE!</v>
      </c>
      <c r="H593" s="141">
        <v>157</v>
      </c>
      <c r="I593" s="141">
        <v>0</v>
      </c>
      <c r="J593" s="149">
        <v>6</v>
      </c>
      <c r="K593" s="150">
        <v>36</v>
      </c>
    </row>
    <row r="594" spans="1:11" ht="30" customHeight="1">
      <c r="A594" s="30">
        <v>20034</v>
      </c>
      <c r="B594" s="16" t="s">
        <v>178</v>
      </c>
      <c r="C594" s="15" t="s">
        <v>194</v>
      </c>
      <c r="D594" s="15" t="s">
        <v>3044</v>
      </c>
      <c r="E594" s="15">
        <v>0.21</v>
      </c>
      <c r="F594" s="131">
        <v>25957.640191439667</v>
      </c>
      <c r="G594" s="17" t="e">
        <f t="shared" si="9"/>
        <v>#VALUE!</v>
      </c>
      <c r="H594" s="141">
        <v>122</v>
      </c>
      <c r="I594" s="141">
        <v>0</v>
      </c>
      <c r="J594" s="149">
        <v>5</v>
      </c>
      <c r="K594" s="150">
        <v>20</v>
      </c>
    </row>
    <row r="595" spans="1:11" ht="30" customHeight="1">
      <c r="A595" s="30">
        <v>20035</v>
      </c>
      <c r="B595" s="16" t="s">
        <v>178</v>
      </c>
      <c r="C595" s="15" t="s">
        <v>195</v>
      </c>
      <c r="D595" s="15" t="s">
        <v>3045</v>
      </c>
      <c r="E595" s="15">
        <v>0.21</v>
      </c>
      <c r="F595" s="131">
        <v>38372.163761258649</v>
      </c>
      <c r="G595" s="17" t="e">
        <f t="shared" si="9"/>
        <v>#VALUE!</v>
      </c>
      <c r="H595" s="141">
        <v>256</v>
      </c>
      <c r="I595" s="141">
        <v>40</v>
      </c>
      <c r="J595" s="149">
        <v>5</v>
      </c>
      <c r="K595" s="150">
        <v>20</v>
      </c>
    </row>
    <row r="596" spans="1:11" ht="30" customHeight="1">
      <c r="A596" s="30">
        <v>20036</v>
      </c>
      <c r="B596" s="16" t="s">
        <v>178</v>
      </c>
      <c r="C596" s="15" t="s">
        <v>622</v>
      </c>
      <c r="D596" s="15" t="s">
        <v>3046</v>
      </c>
      <c r="E596" s="15">
        <v>0.21</v>
      </c>
      <c r="F596" s="131">
        <v>49042.498069202222</v>
      </c>
      <c r="G596" s="17" t="e">
        <f t="shared" si="9"/>
        <v>#VALUE!</v>
      </c>
      <c r="H596" s="141">
        <v>111</v>
      </c>
      <c r="I596" s="141">
        <v>20</v>
      </c>
      <c r="J596" s="149">
        <v>5</v>
      </c>
      <c r="K596" s="150">
        <v>20</v>
      </c>
    </row>
    <row r="597" spans="1:11" ht="30" customHeight="1">
      <c r="A597" s="31">
        <v>20044</v>
      </c>
      <c r="B597" s="16" t="s">
        <v>178</v>
      </c>
      <c r="C597" s="15" t="s">
        <v>1892</v>
      </c>
      <c r="D597" s="15" t="s">
        <v>1817</v>
      </c>
      <c r="E597" s="15">
        <v>0.21</v>
      </c>
      <c r="F597" s="131">
        <v>11927.202733291133</v>
      </c>
      <c r="G597" s="17" t="e">
        <f t="shared" si="9"/>
        <v>#VALUE!</v>
      </c>
      <c r="H597" s="141">
        <v>208</v>
      </c>
      <c r="I597" s="141">
        <v>60</v>
      </c>
      <c r="J597" s="149">
        <v>10</v>
      </c>
      <c r="K597" s="150">
        <v>60</v>
      </c>
    </row>
    <row r="598" spans="1:11" ht="30" customHeight="1">
      <c r="A598" s="31">
        <v>20045</v>
      </c>
      <c r="B598" s="16" t="s">
        <v>178</v>
      </c>
      <c r="C598" s="15" t="s">
        <v>2360</v>
      </c>
      <c r="D598" s="15" t="s">
        <v>3047</v>
      </c>
      <c r="E598" s="15">
        <v>0.21</v>
      </c>
      <c r="F598" s="131">
        <v>15150.434448803782</v>
      </c>
      <c r="G598" s="17" t="e">
        <f t="shared" si="9"/>
        <v>#VALUE!</v>
      </c>
      <c r="H598" s="141">
        <v>138</v>
      </c>
      <c r="I598" s="141">
        <v>0</v>
      </c>
      <c r="J598" s="149">
        <v>10</v>
      </c>
      <c r="K598" s="150">
        <v>60</v>
      </c>
    </row>
    <row r="599" spans="1:11" ht="30" customHeight="1">
      <c r="A599" s="31">
        <v>20187</v>
      </c>
      <c r="B599" s="16" t="s">
        <v>2578</v>
      </c>
      <c r="C599" s="15" t="s">
        <v>3136</v>
      </c>
      <c r="D599" s="15" t="s">
        <v>2588</v>
      </c>
      <c r="E599" s="15">
        <v>0.21</v>
      </c>
      <c r="F599" s="131">
        <v>60755.616812287044</v>
      </c>
      <c r="G599" s="17" t="e">
        <f t="shared" si="9"/>
        <v>#VALUE!</v>
      </c>
      <c r="H599" s="141">
        <v>45</v>
      </c>
      <c r="I599" s="141">
        <v>0</v>
      </c>
      <c r="J599" s="149">
        <v>0</v>
      </c>
      <c r="K599" s="150">
        <v>12</v>
      </c>
    </row>
    <row r="600" spans="1:11" ht="30" customHeight="1">
      <c r="A600" s="31">
        <v>20188</v>
      </c>
      <c r="B600" s="16" t="s">
        <v>2578</v>
      </c>
      <c r="C600" s="15" t="s">
        <v>3136</v>
      </c>
      <c r="D600" s="15" t="s">
        <v>2589</v>
      </c>
      <c r="E600" s="15">
        <v>0.21</v>
      </c>
      <c r="F600" s="131">
        <v>60755.616812287044</v>
      </c>
      <c r="G600" s="17" t="e">
        <f t="shared" si="9"/>
        <v>#VALUE!</v>
      </c>
      <c r="H600" s="141">
        <v>74</v>
      </c>
      <c r="I600" s="141">
        <v>0</v>
      </c>
      <c r="J600" s="149">
        <v>0</v>
      </c>
      <c r="K600" s="150">
        <v>12</v>
      </c>
    </row>
    <row r="601" spans="1:11" ht="30" customHeight="1">
      <c r="A601" s="30">
        <v>20041</v>
      </c>
      <c r="B601" s="16" t="s">
        <v>178</v>
      </c>
      <c r="C601" s="15" t="s">
        <v>197</v>
      </c>
      <c r="D601" s="15" t="s">
        <v>3048</v>
      </c>
      <c r="E601" s="15">
        <v>0.21</v>
      </c>
      <c r="F601" s="131">
        <v>52223.07848791618</v>
      </c>
      <c r="G601" s="17" t="e">
        <f t="shared" si="9"/>
        <v>#VALUE!</v>
      </c>
      <c r="H601" s="141">
        <v>110</v>
      </c>
      <c r="I601" s="141">
        <v>0</v>
      </c>
      <c r="J601" s="149">
        <v>5</v>
      </c>
      <c r="K601" s="150">
        <v>20</v>
      </c>
    </row>
    <row r="602" spans="1:11" ht="30" customHeight="1">
      <c r="A602" s="31">
        <v>20039</v>
      </c>
      <c r="B602" s="16" t="s">
        <v>2578</v>
      </c>
      <c r="C602" s="15" t="s">
        <v>3137</v>
      </c>
      <c r="D602" s="15" t="s">
        <v>2590</v>
      </c>
      <c r="E602" s="15">
        <v>0.21</v>
      </c>
      <c r="F602" s="131">
        <v>32145.829001210066</v>
      </c>
      <c r="G602" s="17" t="e">
        <f t="shared" si="9"/>
        <v>#VALUE!</v>
      </c>
      <c r="H602" s="141">
        <v>98</v>
      </c>
      <c r="I602" s="141">
        <v>0</v>
      </c>
      <c r="J602" s="149">
        <v>6</v>
      </c>
      <c r="K602" s="150">
        <v>48</v>
      </c>
    </row>
    <row r="603" spans="1:11" ht="30" customHeight="1">
      <c r="A603" s="30">
        <v>20202</v>
      </c>
      <c r="B603" s="16" t="s">
        <v>178</v>
      </c>
      <c r="C603" s="15" t="s">
        <v>248</v>
      </c>
      <c r="D603" s="15" t="s">
        <v>623</v>
      </c>
      <c r="E603" s="15">
        <v>0.21</v>
      </c>
      <c r="F603" s="131">
        <v>1911.3874862972075</v>
      </c>
      <c r="G603" s="17" t="e">
        <f t="shared" si="9"/>
        <v>#VALUE!</v>
      </c>
      <c r="H603" s="141">
        <v>402</v>
      </c>
      <c r="I603" s="141">
        <v>0</v>
      </c>
      <c r="J603" s="149">
        <v>40</v>
      </c>
      <c r="K603" s="150">
        <v>320</v>
      </c>
    </row>
    <row r="604" spans="1:11" ht="30" customHeight="1">
      <c r="A604" s="30">
        <v>20203</v>
      </c>
      <c r="B604" s="16" t="s">
        <v>178</v>
      </c>
      <c r="C604" s="15" t="s">
        <v>248</v>
      </c>
      <c r="D604" s="15" t="s">
        <v>249</v>
      </c>
      <c r="E604" s="15">
        <v>0.21</v>
      </c>
      <c r="F604" s="131">
        <v>1846.8526995014431</v>
      </c>
      <c r="G604" s="17" t="e">
        <f t="shared" si="9"/>
        <v>#VALUE!</v>
      </c>
      <c r="H604" s="141">
        <v>594</v>
      </c>
      <c r="I604" s="141">
        <v>0</v>
      </c>
      <c r="J604" s="149">
        <v>40</v>
      </c>
      <c r="K604" s="150">
        <v>320</v>
      </c>
    </row>
    <row r="605" spans="1:11" ht="30" customHeight="1">
      <c r="A605" s="30">
        <v>20205</v>
      </c>
      <c r="B605" s="16" t="s">
        <v>178</v>
      </c>
      <c r="C605" s="15" t="s">
        <v>248</v>
      </c>
      <c r="D605" s="15" t="s">
        <v>250</v>
      </c>
      <c r="E605" s="15">
        <v>0.21</v>
      </c>
      <c r="F605" s="131">
        <v>1846.8526995014431</v>
      </c>
      <c r="G605" s="17" t="e">
        <f t="shared" si="9"/>
        <v>#VALUE!</v>
      </c>
      <c r="H605" s="141">
        <v>1296</v>
      </c>
      <c r="I605" s="141">
        <v>0</v>
      </c>
      <c r="J605" s="149">
        <v>40</v>
      </c>
      <c r="K605" s="150">
        <v>320</v>
      </c>
    </row>
    <row r="606" spans="1:11" ht="30" customHeight="1">
      <c r="A606" s="30">
        <v>20207</v>
      </c>
      <c r="B606" s="16" t="s">
        <v>178</v>
      </c>
      <c r="C606" s="15" t="s">
        <v>248</v>
      </c>
      <c r="D606" s="15" t="s">
        <v>624</v>
      </c>
      <c r="E606" s="15">
        <v>0.21</v>
      </c>
      <c r="F606" s="131">
        <v>1911.3874862972075</v>
      </c>
      <c r="G606" s="17" t="e">
        <f t="shared" si="9"/>
        <v>#VALUE!</v>
      </c>
      <c r="H606" s="141">
        <v>411</v>
      </c>
      <c r="I606" s="141">
        <v>0</v>
      </c>
      <c r="J606" s="149">
        <v>40</v>
      </c>
      <c r="K606" s="150">
        <v>320</v>
      </c>
    </row>
    <row r="607" spans="1:11" ht="30" customHeight="1">
      <c r="A607" s="30">
        <v>20212</v>
      </c>
      <c r="B607" s="16" t="s">
        <v>178</v>
      </c>
      <c r="C607" s="15" t="s">
        <v>251</v>
      </c>
      <c r="D607" s="15" t="s">
        <v>625</v>
      </c>
      <c r="E607" s="15">
        <v>0.21</v>
      </c>
      <c r="F607" s="131">
        <v>1911.3874862972075</v>
      </c>
      <c r="G607" s="17" t="e">
        <f t="shared" si="9"/>
        <v>#VALUE!</v>
      </c>
      <c r="H607" s="141">
        <v>1144</v>
      </c>
      <c r="I607" s="141">
        <v>0</v>
      </c>
      <c r="J607" s="149">
        <v>40</v>
      </c>
      <c r="K607" s="150">
        <v>320</v>
      </c>
    </row>
    <row r="608" spans="1:11" ht="30" customHeight="1">
      <c r="A608" s="30">
        <v>20213</v>
      </c>
      <c r="B608" s="16" t="s">
        <v>178</v>
      </c>
      <c r="C608" s="15" t="s">
        <v>251</v>
      </c>
      <c r="D608" s="15" t="s">
        <v>252</v>
      </c>
      <c r="E608" s="15">
        <v>0.21</v>
      </c>
      <c r="F608" s="131">
        <v>1846.8526995014431</v>
      </c>
      <c r="G608" s="17" t="e">
        <f t="shared" si="9"/>
        <v>#VALUE!</v>
      </c>
      <c r="H608" s="141">
        <v>4294</v>
      </c>
      <c r="I608" s="141">
        <v>640</v>
      </c>
      <c r="J608" s="149">
        <v>40</v>
      </c>
      <c r="K608" s="150">
        <v>320</v>
      </c>
    </row>
    <row r="609" spans="1:11" ht="30" customHeight="1">
      <c r="A609" s="30">
        <v>20214</v>
      </c>
      <c r="B609" s="16" t="s">
        <v>178</v>
      </c>
      <c r="C609" s="15" t="s">
        <v>251</v>
      </c>
      <c r="D609" s="15" t="s">
        <v>626</v>
      </c>
      <c r="E609" s="15">
        <v>0.21</v>
      </c>
      <c r="F609" s="131">
        <v>1911.3874862972075</v>
      </c>
      <c r="G609" s="17" t="e">
        <f t="shared" si="9"/>
        <v>#VALUE!</v>
      </c>
      <c r="H609" s="141">
        <v>291</v>
      </c>
      <c r="I609" s="141">
        <v>0</v>
      </c>
      <c r="J609" s="149">
        <v>40</v>
      </c>
      <c r="K609" s="150">
        <v>320</v>
      </c>
    </row>
    <row r="610" spans="1:11" ht="30" customHeight="1">
      <c r="A610" s="30">
        <v>20217</v>
      </c>
      <c r="B610" s="16" t="s">
        <v>178</v>
      </c>
      <c r="C610" s="15" t="s">
        <v>253</v>
      </c>
      <c r="D610" s="15" t="s">
        <v>627</v>
      </c>
      <c r="E610" s="15">
        <v>0.21</v>
      </c>
      <c r="F610" s="131">
        <v>1911.3874862972075</v>
      </c>
      <c r="G610" s="17" t="e">
        <f t="shared" si="9"/>
        <v>#VALUE!</v>
      </c>
      <c r="H610" s="141">
        <v>340</v>
      </c>
      <c r="I610" s="141">
        <v>0</v>
      </c>
      <c r="J610" s="149">
        <v>40</v>
      </c>
      <c r="K610" s="150">
        <v>320</v>
      </c>
    </row>
    <row r="611" spans="1:11" ht="30" customHeight="1">
      <c r="A611" s="30">
        <v>20218</v>
      </c>
      <c r="B611" s="16" t="s">
        <v>178</v>
      </c>
      <c r="C611" s="15" t="s">
        <v>253</v>
      </c>
      <c r="D611" s="15" t="s">
        <v>254</v>
      </c>
      <c r="E611" s="15">
        <v>0.21</v>
      </c>
      <c r="F611" s="131">
        <v>1846.8526995014431</v>
      </c>
      <c r="G611" s="17" t="e">
        <f t="shared" si="9"/>
        <v>#VALUE!</v>
      </c>
      <c r="H611" s="141">
        <v>1512</v>
      </c>
      <c r="I611" s="141">
        <v>0</v>
      </c>
      <c r="J611" s="149">
        <v>40</v>
      </c>
      <c r="K611" s="150">
        <v>320</v>
      </c>
    </row>
    <row r="612" spans="1:11" ht="30" customHeight="1">
      <c r="A612" s="30">
        <v>20219</v>
      </c>
      <c r="B612" s="16" t="s">
        <v>178</v>
      </c>
      <c r="C612" s="15" t="s">
        <v>253</v>
      </c>
      <c r="D612" s="15" t="s">
        <v>628</v>
      </c>
      <c r="E612" s="15">
        <v>0.21</v>
      </c>
      <c r="F612" s="131">
        <v>1911.3874862972075</v>
      </c>
      <c r="G612" s="17" t="e">
        <f t="shared" si="9"/>
        <v>#VALUE!</v>
      </c>
      <c r="H612" s="141">
        <v>407</v>
      </c>
      <c r="I612" s="141">
        <v>0</v>
      </c>
      <c r="J612" s="149">
        <v>40</v>
      </c>
      <c r="K612" s="150">
        <v>320</v>
      </c>
    </row>
    <row r="613" spans="1:11" ht="30" customHeight="1">
      <c r="A613" s="30">
        <v>20221</v>
      </c>
      <c r="B613" s="16" t="s">
        <v>178</v>
      </c>
      <c r="C613" s="15" t="s">
        <v>629</v>
      </c>
      <c r="D613" s="15" t="s">
        <v>630</v>
      </c>
      <c r="E613" s="15">
        <v>0.21</v>
      </c>
      <c r="F613" s="131">
        <v>1911.3874862972075</v>
      </c>
      <c r="G613" s="17" t="e">
        <f t="shared" si="9"/>
        <v>#VALUE!</v>
      </c>
      <c r="H613" s="141">
        <v>263</v>
      </c>
      <c r="I613" s="141">
        <v>0</v>
      </c>
      <c r="J613" s="149">
        <v>40</v>
      </c>
      <c r="K613" s="150">
        <v>320</v>
      </c>
    </row>
    <row r="614" spans="1:11" ht="30" customHeight="1">
      <c r="A614" s="30">
        <v>20222</v>
      </c>
      <c r="B614" s="16" t="s">
        <v>178</v>
      </c>
      <c r="C614" s="15" t="s">
        <v>629</v>
      </c>
      <c r="D614" s="15" t="s">
        <v>631</v>
      </c>
      <c r="E614" s="15">
        <v>0.21</v>
      </c>
      <c r="F614" s="131">
        <v>1911.3874862972075</v>
      </c>
      <c r="G614" s="17" t="e">
        <f t="shared" si="9"/>
        <v>#VALUE!</v>
      </c>
      <c r="H614" s="141">
        <v>189</v>
      </c>
      <c r="I614" s="141">
        <v>0</v>
      </c>
      <c r="J614" s="149">
        <v>40</v>
      </c>
      <c r="K614" s="150">
        <v>320</v>
      </c>
    </row>
    <row r="615" spans="1:11" ht="30" customHeight="1">
      <c r="A615" s="30">
        <v>20223</v>
      </c>
      <c r="B615" s="16" t="s">
        <v>178</v>
      </c>
      <c r="C615" s="15" t="s">
        <v>629</v>
      </c>
      <c r="D615" s="15" t="s">
        <v>632</v>
      </c>
      <c r="E615" s="15">
        <v>0.21</v>
      </c>
      <c r="F615" s="131">
        <v>1911.3874862972075</v>
      </c>
      <c r="G615" s="17" t="e">
        <f t="shared" si="9"/>
        <v>#VALUE!</v>
      </c>
      <c r="H615" s="141">
        <v>562</v>
      </c>
      <c r="I615" s="141">
        <v>0</v>
      </c>
      <c r="J615" s="149">
        <v>40</v>
      </c>
      <c r="K615" s="150">
        <v>320</v>
      </c>
    </row>
    <row r="616" spans="1:11" ht="30" customHeight="1">
      <c r="A616" s="30">
        <v>20224</v>
      </c>
      <c r="B616" s="16" t="s">
        <v>178</v>
      </c>
      <c r="C616" s="15" t="s">
        <v>629</v>
      </c>
      <c r="D616" s="15" t="s">
        <v>633</v>
      </c>
      <c r="E616" s="15">
        <v>0.21</v>
      </c>
      <c r="F616" s="131">
        <v>1911.3874862972075</v>
      </c>
      <c r="G616" s="17" t="e">
        <f t="shared" si="9"/>
        <v>#VALUE!</v>
      </c>
      <c r="H616" s="141">
        <v>411</v>
      </c>
      <c r="I616" s="141">
        <v>0</v>
      </c>
      <c r="J616" s="149">
        <v>40</v>
      </c>
      <c r="K616" s="150">
        <v>320</v>
      </c>
    </row>
    <row r="617" spans="1:11" ht="30" customHeight="1">
      <c r="A617" s="30">
        <v>20225</v>
      </c>
      <c r="B617" s="16" t="s">
        <v>178</v>
      </c>
      <c r="C617" s="15" t="s">
        <v>629</v>
      </c>
      <c r="D617" s="15" t="s">
        <v>634</v>
      </c>
      <c r="E617" s="15">
        <v>0.21</v>
      </c>
      <c r="F617" s="131">
        <v>1911.3874862972075</v>
      </c>
      <c r="G617" s="17" t="e">
        <f t="shared" si="9"/>
        <v>#VALUE!</v>
      </c>
      <c r="H617" s="141">
        <v>651</v>
      </c>
      <c r="I617" s="141">
        <v>0</v>
      </c>
      <c r="J617" s="149">
        <v>40</v>
      </c>
      <c r="K617" s="150">
        <v>320</v>
      </c>
    </row>
    <row r="618" spans="1:11" ht="30" customHeight="1">
      <c r="A618" s="30">
        <v>20226</v>
      </c>
      <c r="B618" s="16" t="s">
        <v>178</v>
      </c>
      <c r="C618" s="15" t="s">
        <v>629</v>
      </c>
      <c r="D618" s="15" t="s">
        <v>635</v>
      </c>
      <c r="E618" s="15">
        <v>0.21</v>
      </c>
      <c r="F618" s="131">
        <v>1911.3874862972075</v>
      </c>
      <c r="G618" s="17" t="e">
        <f t="shared" si="9"/>
        <v>#VALUE!</v>
      </c>
      <c r="H618" s="141">
        <v>2</v>
      </c>
      <c r="I618" s="141">
        <v>0</v>
      </c>
      <c r="J618" s="149">
        <v>40</v>
      </c>
      <c r="K618" s="150">
        <v>320</v>
      </c>
    </row>
    <row r="619" spans="1:11" ht="30" customHeight="1">
      <c r="A619" s="30">
        <v>20227</v>
      </c>
      <c r="B619" s="16" t="s">
        <v>178</v>
      </c>
      <c r="C619" s="15" t="s">
        <v>629</v>
      </c>
      <c r="D619" s="15" t="s">
        <v>636</v>
      </c>
      <c r="E619" s="15">
        <v>0.21</v>
      </c>
      <c r="F619" s="131">
        <v>1911.3874862972075</v>
      </c>
      <c r="G619" s="17" t="e">
        <f t="shared" si="9"/>
        <v>#VALUE!</v>
      </c>
      <c r="H619" s="141">
        <v>432</v>
      </c>
      <c r="I619" s="141">
        <v>0</v>
      </c>
      <c r="J619" s="149">
        <v>40</v>
      </c>
      <c r="K619" s="150">
        <v>320</v>
      </c>
    </row>
    <row r="620" spans="1:11" ht="30" customHeight="1">
      <c r="A620" s="30">
        <v>20233</v>
      </c>
      <c r="B620" s="16" t="s">
        <v>178</v>
      </c>
      <c r="C620" s="15" t="s">
        <v>637</v>
      </c>
      <c r="D620" s="15" t="s">
        <v>638</v>
      </c>
      <c r="E620" s="15">
        <v>0.21</v>
      </c>
      <c r="F620" s="131">
        <v>1911.3874862972075</v>
      </c>
      <c r="G620" s="17" t="e">
        <f t="shared" si="9"/>
        <v>#VALUE!</v>
      </c>
      <c r="H620" s="141">
        <v>211</v>
      </c>
      <c r="I620" s="141">
        <v>0</v>
      </c>
      <c r="J620" s="149">
        <v>40</v>
      </c>
      <c r="K620" s="150">
        <v>320</v>
      </c>
    </row>
    <row r="621" spans="1:11" ht="30" customHeight="1">
      <c r="A621" s="30">
        <v>20234</v>
      </c>
      <c r="B621" s="16" t="s">
        <v>178</v>
      </c>
      <c r="C621" s="15" t="s">
        <v>637</v>
      </c>
      <c r="D621" s="15" t="s">
        <v>639</v>
      </c>
      <c r="E621" s="15">
        <v>0.21</v>
      </c>
      <c r="F621" s="131">
        <v>1911.3874862972075</v>
      </c>
      <c r="G621" s="17" t="e">
        <f t="shared" si="9"/>
        <v>#VALUE!</v>
      </c>
      <c r="H621" s="141">
        <v>186</v>
      </c>
      <c r="I621" s="141">
        <v>0</v>
      </c>
      <c r="J621" s="149">
        <v>40</v>
      </c>
      <c r="K621" s="150">
        <v>320</v>
      </c>
    </row>
    <row r="622" spans="1:11" ht="30" customHeight="1">
      <c r="A622" s="30">
        <v>20235</v>
      </c>
      <c r="B622" s="16" t="s">
        <v>178</v>
      </c>
      <c r="C622" s="15" t="s">
        <v>637</v>
      </c>
      <c r="D622" s="15" t="s">
        <v>640</v>
      </c>
      <c r="E622" s="15">
        <v>0.21</v>
      </c>
      <c r="F622" s="131">
        <v>1911.3874862972075</v>
      </c>
      <c r="G622" s="17" t="e">
        <f t="shared" si="9"/>
        <v>#VALUE!</v>
      </c>
      <c r="H622" s="141">
        <v>158</v>
      </c>
      <c r="I622" s="141">
        <v>0</v>
      </c>
      <c r="J622" s="149">
        <v>40</v>
      </c>
      <c r="K622" s="150">
        <v>320</v>
      </c>
    </row>
    <row r="623" spans="1:11" ht="30" customHeight="1">
      <c r="A623" s="30">
        <v>20236</v>
      </c>
      <c r="B623" s="16" t="s">
        <v>178</v>
      </c>
      <c r="C623" s="15" t="s">
        <v>637</v>
      </c>
      <c r="D623" s="15" t="s">
        <v>641</v>
      </c>
      <c r="E623" s="15">
        <v>0.21</v>
      </c>
      <c r="F623" s="131">
        <v>1911.3874862972075</v>
      </c>
      <c r="G623" s="17" t="e">
        <f t="shared" si="9"/>
        <v>#VALUE!</v>
      </c>
      <c r="H623" s="141">
        <v>189</v>
      </c>
      <c r="I623" s="141">
        <v>0</v>
      </c>
      <c r="J623" s="149">
        <v>40</v>
      </c>
      <c r="K623" s="150">
        <v>320</v>
      </c>
    </row>
    <row r="624" spans="1:11" ht="30" customHeight="1">
      <c r="A624" s="30">
        <v>20271</v>
      </c>
      <c r="B624" s="16" t="s">
        <v>178</v>
      </c>
      <c r="C624" s="15" t="s">
        <v>255</v>
      </c>
      <c r="D624" s="15" t="s">
        <v>252</v>
      </c>
      <c r="E624" s="15">
        <v>0.21</v>
      </c>
      <c r="F624" s="131">
        <v>3277.6561644998123</v>
      </c>
      <c r="G624" s="17" t="e">
        <f t="shared" si="9"/>
        <v>#VALUE!</v>
      </c>
      <c r="H624" s="141">
        <v>5369</v>
      </c>
      <c r="I624" s="141">
        <v>0</v>
      </c>
      <c r="J624" s="149">
        <v>40</v>
      </c>
      <c r="K624" s="150">
        <v>160</v>
      </c>
    </row>
    <row r="625" spans="1:11" ht="30" customHeight="1">
      <c r="A625" s="30">
        <v>20273</v>
      </c>
      <c r="B625" s="16" t="s">
        <v>178</v>
      </c>
      <c r="C625" s="15" t="s">
        <v>256</v>
      </c>
      <c r="D625" s="15" t="s">
        <v>254</v>
      </c>
      <c r="E625" s="15">
        <v>0.21</v>
      </c>
      <c r="F625" s="131">
        <v>3277.6561644998123</v>
      </c>
      <c r="G625" s="17" t="e">
        <f t="shared" si="9"/>
        <v>#VALUE!</v>
      </c>
      <c r="H625" s="141">
        <v>768</v>
      </c>
      <c r="I625" s="141">
        <v>0</v>
      </c>
      <c r="J625" s="149">
        <v>40</v>
      </c>
      <c r="K625" s="150">
        <v>160</v>
      </c>
    </row>
    <row r="626" spans="1:11" ht="30" customHeight="1">
      <c r="A626" s="30">
        <v>20285</v>
      </c>
      <c r="B626" s="16" t="s">
        <v>178</v>
      </c>
      <c r="C626" s="15" t="s">
        <v>257</v>
      </c>
      <c r="D626" s="15" t="s">
        <v>258</v>
      </c>
      <c r="E626" s="15">
        <v>0.21</v>
      </c>
      <c r="F626" s="131">
        <v>3474.3090000000002</v>
      </c>
      <c r="G626" s="17" t="e">
        <f t="shared" si="9"/>
        <v>#VALUE!</v>
      </c>
      <c r="H626" s="141">
        <v>221</v>
      </c>
      <c r="I626" s="141">
        <v>0</v>
      </c>
      <c r="J626" s="149">
        <v>40</v>
      </c>
      <c r="K626" s="150">
        <v>160</v>
      </c>
    </row>
    <row r="627" spans="1:11" ht="30" customHeight="1">
      <c r="A627" s="30">
        <v>20286</v>
      </c>
      <c r="B627" s="16" t="s">
        <v>178</v>
      </c>
      <c r="C627" s="15" t="s">
        <v>255</v>
      </c>
      <c r="D627" s="15" t="s">
        <v>259</v>
      </c>
      <c r="E627" s="15">
        <v>0.21</v>
      </c>
      <c r="F627" s="131">
        <v>3277.6561644998123</v>
      </c>
      <c r="G627" s="17" t="e">
        <f t="shared" si="9"/>
        <v>#VALUE!</v>
      </c>
      <c r="H627" s="141">
        <v>179</v>
      </c>
      <c r="I627" s="141">
        <v>0</v>
      </c>
      <c r="J627" s="149">
        <v>40</v>
      </c>
      <c r="K627" s="150">
        <v>160</v>
      </c>
    </row>
    <row r="628" spans="1:11" ht="30" customHeight="1">
      <c r="A628" s="30">
        <v>20302</v>
      </c>
      <c r="B628" s="16" t="s">
        <v>178</v>
      </c>
      <c r="C628" s="15" t="s">
        <v>248</v>
      </c>
      <c r="D628" s="15" t="s">
        <v>642</v>
      </c>
      <c r="E628" s="15">
        <v>0.21</v>
      </c>
      <c r="F628" s="131">
        <v>2793.5975042526984</v>
      </c>
      <c r="G628" s="17" t="e">
        <f t="shared" si="9"/>
        <v>#VALUE!</v>
      </c>
      <c r="H628" s="141">
        <v>520</v>
      </c>
      <c r="I628" s="141">
        <v>0</v>
      </c>
      <c r="J628" s="149">
        <v>40</v>
      </c>
      <c r="K628" s="150">
        <v>320</v>
      </c>
    </row>
    <row r="629" spans="1:11" ht="30" customHeight="1">
      <c r="A629" s="30">
        <v>20303</v>
      </c>
      <c r="B629" s="16" t="s">
        <v>178</v>
      </c>
      <c r="C629" s="15" t="s">
        <v>248</v>
      </c>
      <c r="D629" s="15" t="s">
        <v>260</v>
      </c>
      <c r="E629" s="15">
        <v>0.21</v>
      </c>
      <c r="F629" s="131">
        <v>2607.9183723729161</v>
      </c>
      <c r="G629" s="17" t="e">
        <f t="shared" si="9"/>
        <v>#VALUE!</v>
      </c>
      <c r="H629" s="141">
        <v>324</v>
      </c>
      <c r="I629" s="141">
        <v>0</v>
      </c>
      <c r="J629" s="149">
        <v>40</v>
      </c>
      <c r="K629" s="150">
        <v>320</v>
      </c>
    </row>
    <row r="630" spans="1:11" ht="30" customHeight="1">
      <c r="A630" s="30">
        <v>20305</v>
      </c>
      <c r="B630" s="16" t="s">
        <v>178</v>
      </c>
      <c r="C630" s="15" t="s">
        <v>248</v>
      </c>
      <c r="D630" s="15" t="s">
        <v>261</v>
      </c>
      <c r="E630" s="15">
        <v>0.21</v>
      </c>
      <c r="F630" s="131">
        <v>2607.9183723729161</v>
      </c>
      <c r="G630" s="17" t="e">
        <f t="shared" si="9"/>
        <v>#VALUE!</v>
      </c>
      <c r="H630" s="141">
        <v>1098</v>
      </c>
      <c r="I630" s="141">
        <v>0</v>
      </c>
      <c r="J630" s="149">
        <v>40</v>
      </c>
      <c r="K630" s="150">
        <v>320</v>
      </c>
    </row>
    <row r="631" spans="1:11" ht="30" customHeight="1">
      <c r="A631" s="30">
        <v>20307</v>
      </c>
      <c r="B631" s="16" t="s">
        <v>178</v>
      </c>
      <c r="C631" s="15" t="s">
        <v>248</v>
      </c>
      <c r="D631" s="15" t="s">
        <v>643</v>
      </c>
      <c r="E631" s="15">
        <v>0.21</v>
      </c>
      <c r="F631" s="131">
        <v>2793.5975042526984</v>
      </c>
      <c r="G631" s="17" t="e">
        <f t="shared" si="9"/>
        <v>#VALUE!</v>
      </c>
      <c r="H631" s="141">
        <v>435</v>
      </c>
      <c r="I631" s="141">
        <v>0</v>
      </c>
      <c r="J631" s="149">
        <v>40</v>
      </c>
      <c r="K631" s="150">
        <v>320</v>
      </c>
    </row>
    <row r="632" spans="1:11" ht="30" customHeight="1">
      <c r="A632" s="30">
        <v>20312</v>
      </c>
      <c r="B632" s="16" t="s">
        <v>178</v>
      </c>
      <c r="C632" s="15" t="s">
        <v>251</v>
      </c>
      <c r="D632" s="15" t="s">
        <v>644</v>
      </c>
      <c r="E632" s="15">
        <v>0.21</v>
      </c>
      <c r="F632" s="131">
        <v>2793.5975042526984</v>
      </c>
      <c r="G632" s="17" t="e">
        <f t="shared" si="9"/>
        <v>#VALUE!</v>
      </c>
      <c r="H632" s="141">
        <v>1686</v>
      </c>
      <c r="I632" s="141">
        <v>0</v>
      </c>
      <c r="J632" s="149">
        <v>40</v>
      </c>
      <c r="K632" s="150">
        <v>320</v>
      </c>
    </row>
    <row r="633" spans="1:11" ht="30" customHeight="1">
      <c r="A633" s="30">
        <v>20313</v>
      </c>
      <c r="B633" s="16" t="s">
        <v>178</v>
      </c>
      <c r="C633" s="15" t="s">
        <v>251</v>
      </c>
      <c r="D633" s="15" t="s">
        <v>262</v>
      </c>
      <c r="E633" s="15">
        <v>0.21</v>
      </c>
      <c r="F633" s="131">
        <v>2607.9183723729161</v>
      </c>
      <c r="G633" s="17" t="e">
        <f t="shared" si="9"/>
        <v>#VALUE!</v>
      </c>
      <c r="H633" s="141">
        <v>14150</v>
      </c>
      <c r="I633" s="141">
        <v>0</v>
      </c>
      <c r="J633" s="149">
        <v>40</v>
      </c>
      <c r="K633" s="150">
        <v>320</v>
      </c>
    </row>
    <row r="634" spans="1:11" ht="30" customHeight="1">
      <c r="A634" s="30">
        <v>20314</v>
      </c>
      <c r="B634" s="16" t="s">
        <v>178</v>
      </c>
      <c r="C634" s="15" t="s">
        <v>251</v>
      </c>
      <c r="D634" s="15" t="s">
        <v>645</v>
      </c>
      <c r="E634" s="15">
        <v>0.21</v>
      </c>
      <c r="F634" s="131">
        <v>2793.5975042526984</v>
      </c>
      <c r="G634" s="17" t="e">
        <f t="shared" si="9"/>
        <v>#VALUE!</v>
      </c>
      <c r="H634" s="141">
        <v>1034</v>
      </c>
      <c r="I634" s="141">
        <v>0</v>
      </c>
      <c r="J634" s="149">
        <v>40</v>
      </c>
      <c r="K634" s="150">
        <v>320</v>
      </c>
    </row>
    <row r="635" spans="1:11" ht="30" customHeight="1">
      <c r="A635" s="30">
        <v>20317</v>
      </c>
      <c r="B635" s="16" t="s">
        <v>178</v>
      </c>
      <c r="C635" s="15" t="s">
        <v>253</v>
      </c>
      <c r="D635" s="15" t="s">
        <v>646</v>
      </c>
      <c r="E635" s="15">
        <v>0.21</v>
      </c>
      <c r="F635" s="131">
        <v>2793.5975042526984</v>
      </c>
      <c r="G635" s="17" t="e">
        <f t="shared" si="9"/>
        <v>#VALUE!</v>
      </c>
      <c r="H635" s="141">
        <v>755</v>
      </c>
      <c r="I635" s="141">
        <v>0</v>
      </c>
      <c r="J635" s="149">
        <v>40</v>
      </c>
      <c r="K635" s="150">
        <v>320</v>
      </c>
    </row>
    <row r="636" spans="1:11" ht="30" customHeight="1">
      <c r="A636" s="30">
        <v>20318</v>
      </c>
      <c r="B636" s="16" t="s">
        <v>178</v>
      </c>
      <c r="C636" s="15" t="s">
        <v>253</v>
      </c>
      <c r="D636" s="15" t="s">
        <v>263</v>
      </c>
      <c r="E636" s="15">
        <v>0.21</v>
      </c>
      <c r="F636" s="131">
        <v>2607.9183723729161</v>
      </c>
      <c r="G636" s="17" t="e">
        <f t="shared" si="9"/>
        <v>#VALUE!</v>
      </c>
      <c r="H636" s="141">
        <v>531</v>
      </c>
      <c r="I636" s="141">
        <v>0</v>
      </c>
      <c r="J636" s="149">
        <v>40</v>
      </c>
      <c r="K636" s="150">
        <v>320</v>
      </c>
    </row>
    <row r="637" spans="1:11" ht="30" customHeight="1">
      <c r="A637" s="30">
        <v>20319</v>
      </c>
      <c r="B637" s="16" t="s">
        <v>178</v>
      </c>
      <c r="C637" s="15" t="s">
        <v>253</v>
      </c>
      <c r="D637" s="15" t="s">
        <v>647</v>
      </c>
      <c r="E637" s="15">
        <v>0.21</v>
      </c>
      <c r="F637" s="131">
        <v>2793.5975042526984</v>
      </c>
      <c r="G637" s="17" t="e">
        <f t="shared" si="9"/>
        <v>#VALUE!</v>
      </c>
      <c r="H637" s="141">
        <v>329</v>
      </c>
      <c r="I637" s="141">
        <v>0</v>
      </c>
      <c r="J637" s="149">
        <v>40</v>
      </c>
      <c r="K637" s="150">
        <v>320</v>
      </c>
    </row>
    <row r="638" spans="1:11" ht="30" customHeight="1">
      <c r="A638" s="30">
        <v>20321</v>
      </c>
      <c r="B638" s="16" t="s">
        <v>178</v>
      </c>
      <c r="C638" s="15" t="s">
        <v>629</v>
      </c>
      <c r="D638" s="15" t="s">
        <v>648</v>
      </c>
      <c r="E638" s="15">
        <v>0.21</v>
      </c>
      <c r="F638" s="131">
        <v>2793.5975042526984</v>
      </c>
      <c r="G638" s="17" t="e">
        <f t="shared" si="9"/>
        <v>#VALUE!</v>
      </c>
      <c r="H638" s="141">
        <v>368</v>
      </c>
      <c r="I638" s="141">
        <v>0</v>
      </c>
      <c r="J638" s="149">
        <v>40</v>
      </c>
      <c r="K638" s="150">
        <v>320</v>
      </c>
    </row>
    <row r="639" spans="1:11" ht="30" customHeight="1">
      <c r="A639" s="30">
        <v>20322</v>
      </c>
      <c r="B639" s="16" t="s">
        <v>178</v>
      </c>
      <c r="C639" s="15" t="s">
        <v>629</v>
      </c>
      <c r="D639" s="15" t="s">
        <v>649</v>
      </c>
      <c r="E639" s="15">
        <v>0.21</v>
      </c>
      <c r="F639" s="131">
        <v>2793.5975042526984</v>
      </c>
      <c r="G639" s="17" t="e">
        <f t="shared" si="9"/>
        <v>#VALUE!</v>
      </c>
      <c r="H639" s="141">
        <v>332</v>
      </c>
      <c r="I639" s="141">
        <v>0</v>
      </c>
      <c r="J639" s="149">
        <v>40</v>
      </c>
      <c r="K639" s="150">
        <v>320</v>
      </c>
    </row>
    <row r="640" spans="1:11" ht="30" customHeight="1">
      <c r="A640" s="30">
        <v>20323</v>
      </c>
      <c r="B640" s="16" t="s">
        <v>178</v>
      </c>
      <c r="C640" s="15" t="s">
        <v>629</v>
      </c>
      <c r="D640" s="15" t="s">
        <v>650</v>
      </c>
      <c r="E640" s="15">
        <v>0.21</v>
      </c>
      <c r="F640" s="131">
        <v>2793.5975042526984</v>
      </c>
      <c r="G640" s="17" t="e">
        <f t="shared" si="9"/>
        <v>#VALUE!</v>
      </c>
      <c r="H640" s="141">
        <v>225</v>
      </c>
      <c r="I640" s="141">
        <v>0</v>
      </c>
      <c r="J640" s="149">
        <v>40</v>
      </c>
      <c r="K640" s="150">
        <v>320</v>
      </c>
    </row>
    <row r="641" spans="1:11" ht="30" customHeight="1">
      <c r="A641" s="30">
        <v>20324</v>
      </c>
      <c r="B641" s="16" t="s">
        <v>178</v>
      </c>
      <c r="C641" s="15" t="s">
        <v>629</v>
      </c>
      <c r="D641" s="15" t="s">
        <v>651</v>
      </c>
      <c r="E641" s="15">
        <v>0.21</v>
      </c>
      <c r="F641" s="131">
        <v>2793.5975042526984</v>
      </c>
      <c r="G641" s="17" t="e">
        <f t="shared" si="9"/>
        <v>#VALUE!</v>
      </c>
      <c r="H641" s="141">
        <v>261</v>
      </c>
      <c r="I641" s="141">
        <v>0</v>
      </c>
      <c r="J641" s="149">
        <v>40</v>
      </c>
      <c r="K641" s="150">
        <v>320</v>
      </c>
    </row>
    <row r="642" spans="1:11" ht="30" customHeight="1">
      <c r="A642" s="30">
        <v>20325</v>
      </c>
      <c r="B642" s="16" t="s">
        <v>178</v>
      </c>
      <c r="C642" s="15" t="s">
        <v>629</v>
      </c>
      <c r="D642" s="15" t="s">
        <v>652</v>
      </c>
      <c r="E642" s="15">
        <v>0.21</v>
      </c>
      <c r="F642" s="131">
        <v>2793.5975042526984</v>
      </c>
      <c r="G642" s="17" t="e">
        <f t="shared" si="9"/>
        <v>#VALUE!</v>
      </c>
      <c r="H642" s="141">
        <v>298</v>
      </c>
      <c r="I642" s="141">
        <v>0</v>
      </c>
      <c r="J642" s="149">
        <v>40</v>
      </c>
      <c r="K642" s="150">
        <v>320</v>
      </c>
    </row>
    <row r="643" spans="1:11" ht="30" customHeight="1">
      <c r="A643" s="30">
        <v>20326</v>
      </c>
      <c r="B643" s="16" t="s">
        <v>178</v>
      </c>
      <c r="C643" s="15" t="s">
        <v>629</v>
      </c>
      <c r="D643" s="15" t="s">
        <v>653</v>
      </c>
      <c r="E643" s="15">
        <v>0.21</v>
      </c>
      <c r="F643" s="131">
        <v>2793.5975042526984</v>
      </c>
      <c r="G643" s="17" t="e">
        <f t="shared" si="9"/>
        <v>#VALUE!</v>
      </c>
      <c r="H643" s="141">
        <v>393</v>
      </c>
      <c r="I643" s="141">
        <v>0</v>
      </c>
      <c r="J643" s="149">
        <v>40</v>
      </c>
      <c r="K643" s="150">
        <v>320</v>
      </c>
    </row>
    <row r="644" spans="1:11" ht="30" customHeight="1">
      <c r="A644" s="30">
        <v>20327</v>
      </c>
      <c r="B644" s="16" t="s">
        <v>178</v>
      </c>
      <c r="C644" s="15" t="s">
        <v>629</v>
      </c>
      <c r="D644" s="15" t="s">
        <v>654</v>
      </c>
      <c r="E644" s="15">
        <v>0.21</v>
      </c>
      <c r="F644" s="131">
        <v>2793.5975042526984</v>
      </c>
      <c r="G644" s="17" t="e">
        <f t="shared" si="9"/>
        <v>#VALUE!</v>
      </c>
      <c r="H644" s="141">
        <v>191</v>
      </c>
      <c r="I644" s="141">
        <v>0</v>
      </c>
      <c r="J644" s="149">
        <v>40</v>
      </c>
      <c r="K644" s="150">
        <v>320</v>
      </c>
    </row>
    <row r="645" spans="1:11" ht="30" customHeight="1">
      <c r="A645" s="31">
        <v>20047</v>
      </c>
      <c r="B645" s="16" t="s">
        <v>2578</v>
      </c>
      <c r="C645" s="15" t="s">
        <v>3138</v>
      </c>
      <c r="D645" s="15" t="s">
        <v>2591</v>
      </c>
      <c r="E645" s="15">
        <v>0.21</v>
      </c>
      <c r="F645" s="131">
        <v>22823.538590859152</v>
      </c>
      <c r="G645" s="17" t="e">
        <f t="shared" si="9"/>
        <v>#VALUE!</v>
      </c>
      <c r="H645" s="141">
        <v>204</v>
      </c>
      <c r="I645" s="141">
        <v>60</v>
      </c>
      <c r="J645" s="149">
        <v>20</v>
      </c>
      <c r="K645" s="150">
        <v>60</v>
      </c>
    </row>
    <row r="646" spans="1:11" ht="30" customHeight="1">
      <c r="A646" s="30">
        <v>20360</v>
      </c>
      <c r="B646" s="16" t="s">
        <v>178</v>
      </c>
      <c r="C646" s="15" t="s">
        <v>264</v>
      </c>
      <c r="D646" s="15" t="s">
        <v>265</v>
      </c>
      <c r="E646" s="15">
        <v>0.21</v>
      </c>
      <c r="F646" s="131">
        <v>14951.388832117722</v>
      </c>
      <c r="G646" s="17" t="e">
        <f t="shared" si="9"/>
        <v>#VALUE!</v>
      </c>
      <c r="H646" s="141">
        <v>2488</v>
      </c>
      <c r="I646" s="141">
        <v>500</v>
      </c>
      <c r="J646" s="149">
        <v>10</v>
      </c>
      <c r="K646" s="150">
        <v>100</v>
      </c>
    </row>
    <row r="647" spans="1:11" ht="30" customHeight="1">
      <c r="A647" s="30">
        <v>20361</v>
      </c>
      <c r="B647" s="16" t="s">
        <v>178</v>
      </c>
      <c r="C647" s="15" t="s">
        <v>266</v>
      </c>
      <c r="D647" s="15" t="s">
        <v>267</v>
      </c>
      <c r="E647" s="15">
        <v>0.21</v>
      </c>
      <c r="F647" s="131">
        <v>14978.178383852613</v>
      </c>
      <c r="G647" s="17" t="e">
        <f t="shared" si="9"/>
        <v>#VALUE!</v>
      </c>
      <c r="H647" s="141">
        <v>1569</v>
      </c>
      <c r="I647" s="141">
        <v>0</v>
      </c>
      <c r="J647" s="149">
        <v>10</v>
      </c>
      <c r="K647" s="150">
        <v>100</v>
      </c>
    </row>
    <row r="648" spans="1:11" ht="30" customHeight="1">
      <c r="A648" s="31">
        <v>20365</v>
      </c>
      <c r="B648" s="16" t="s">
        <v>178</v>
      </c>
      <c r="C648" s="15" t="s">
        <v>1818</v>
      </c>
      <c r="D648" s="15" t="s">
        <v>2959</v>
      </c>
      <c r="E648" s="15">
        <v>0.21</v>
      </c>
      <c r="F648" s="131">
        <v>16921.278089929696</v>
      </c>
      <c r="G648" s="17" t="e">
        <f t="shared" ref="G648:G712" si="10">(F648*$G$6)</f>
        <v>#VALUE!</v>
      </c>
      <c r="H648" s="141">
        <v>415</v>
      </c>
      <c r="I648" s="141">
        <v>0</v>
      </c>
      <c r="J648" s="149">
        <v>16</v>
      </c>
      <c r="K648" s="150">
        <v>96</v>
      </c>
    </row>
    <row r="649" spans="1:11" ht="30" customHeight="1">
      <c r="A649" s="31">
        <v>20369</v>
      </c>
      <c r="B649" s="16" t="s">
        <v>2578</v>
      </c>
      <c r="C649" s="15" t="s">
        <v>3139</v>
      </c>
      <c r="D649" s="15" t="s">
        <v>2592</v>
      </c>
      <c r="E649" s="15">
        <v>0.21</v>
      </c>
      <c r="F649" s="131">
        <v>16287.220027279771</v>
      </c>
      <c r="G649" s="17" t="e">
        <f t="shared" si="10"/>
        <v>#VALUE!</v>
      </c>
      <c r="H649" s="141">
        <v>110</v>
      </c>
      <c r="I649" s="141">
        <v>48</v>
      </c>
      <c r="J649" s="149">
        <v>12</v>
      </c>
      <c r="K649" s="150">
        <v>48</v>
      </c>
    </row>
    <row r="650" spans="1:11" ht="30" customHeight="1">
      <c r="A650" s="31">
        <v>20385</v>
      </c>
      <c r="B650" s="16" t="s">
        <v>178</v>
      </c>
      <c r="C650" s="15" t="s">
        <v>1819</v>
      </c>
      <c r="D650" s="15" t="s">
        <v>3049</v>
      </c>
      <c r="E650" s="15">
        <v>0.21</v>
      </c>
      <c r="F650" s="131">
        <v>80555.425516461502</v>
      </c>
      <c r="G650" s="17" t="e">
        <f t="shared" si="10"/>
        <v>#VALUE!</v>
      </c>
      <c r="H650" s="141">
        <v>70</v>
      </c>
      <c r="I650" s="141">
        <v>40</v>
      </c>
      <c r="J650" s="149">
        <v>0</v>
      </c>
      <c r="K650" s="150">
        <v>8</v>
      </c>
    </row>
    <row r="651" spans="1:11" ht="30" customHeight="1">
      <c r="A651" s="31">
        <v>20375</v>
      </c>
      <c r="B651" s="16" t="s">
        <v>2578</v>
      </c>
      <c r="C651" s="15" t="s">
        <v>3136</v>
      </c>
      <c r="D651" s="15" t="s">
        <v>2593</v>
      </c>
      <c r="E651" s="15">
        <v>0.21</v>
      </c>
      <c r="F651" s="131">
        <v>40825.202831536786</v>
      </c>
      <c r="G651" s="17" t="e">
        <f t="shared" si="10"/>
        <v>#VALUE!</v>
      </c>
      <c r="H651" s="141">
        <v>84</v>
      </c>
      <c r="I651" s="141">
        <v>20</v>
      </c>
      <c r="J651" s="149">
        <v>0</v>
      </c>
      <c r="K651" s="150">
        <v>20</v>
      </c>
    </row>
    <row r="652" spans="1:11" ht="30" customHeight="1">
      <c r="A652" s="30">
        <v>20370</v>
      </c>
      <c r="B652" s="16" t="s">
        <v>178</v>
      </c>
      <c r="C652" s="15" t="s">
        <v>268</v>
      </c>
      <c r="D652" s="15" t="s">
        <v>96</v>
      </c>
      <c r="E652" s="15">
        <v>0.21</v>
      </c>
      <c r="F652" s="131">
        <v>41166.874344087009</v>
      </c>
      <c r="G652" s="17" t="e">
        <f t="shared" si="10"/>
        <v>#VALUE!</v>
      </c>
      <c r="H652" s="141">
        <v>463</v>
      </c>
      <c r="I652" s="141">
        <v>0</v>
      </c>
      <c r="J652" s="149">
        <v>12</v>
      </c>
      <c r="K652" s="150">
        <v>48</v>
      </c>
    </row>
    <row r="653" spans="1:11" ht="30" customHeight="1">
      <c r="A653" s="31">
        <v>20376</v>
      </c>
      <c r="B653" s="16" t="s">
        <v>2578</v>
      </c>
      <c r="C653" s="15" t="s">
        <v>3140</v>
      </c>
      <c r="D653" s="15" t="s">
        <v>2594</v>
      </c>
      <c r="E653" s="15">
        <v>0.21</v>
      </c>
      <c r="F653" s="131">
        <v>46182.840998405132</v>
      </c>
      <c r="G653" s="17" t="e">
        <f t="shared" si="10"/>
        <v>#VALUE!</v>
      </c>
      <c r="H653" s="141">
        <v>59</v>
      </c>
      <c r="I653" s="141">
        <v>0</v>
      </c>
      <c r="J653" s="149">
        <v>0</v>
      </c>
      <c r="K653" s="150">
        <v>20</v>
      </c>
    </row>
    <row r="654" spans="1:11" ht="30" customHeight="1">
      <c r="A654" s="31">
        <v>20377</v>
      </c>
      <c r="B654" s="16" t="s">
        <v>2578</v>
      </c>
      <c r="C654" s="15" t="s">
        <v>3136</v>
      </c>
      <c r="D654" s="15" t="s">
        <v>2591</v>
      </c>
      <c r="E654" s="15">
        <v>0.21</v>
      </c>
      <c r="F654" s="131">
        <v>41962.379000000001</v>
      </c>
      <c r="G654" s="17" t="e">
        <f t="shared" si="10"/>
        <v>#VALUE!</v>
      </c>
      <c r="H654" s="141">
        <v>59</v>
      </c>
      <c r="I654" s="141">
        <v>0</v>
      </c>
      <c r="J654" s="149">
        <v>0</v>
      </c>
      <c r="K654" s="150">
        <v>20</v>
      </c>
    </row>
    <row r="655" spans="1:11" ht="30" customHeight="1">
      <c r="A655" s="31">
        <v>77817</v>
      </c>
      <c r="B655" s="16" t="s">
        <v>2578</v>
      </c>
      <c r="C655" s="15" t="s">
        <v>3141</v>
      </c>
      <c r="D655" s="15" t="s">
        <v>2595</v>
      </c>
      <c r="E655" s="15">
        <v>0.21</v>
      </c>
      <c r="F655" s="131">
        <v>10268.806486497662</v>
      </c>
      <c r="G655" s="17" t="e">
        <f t="shared" si="10"/>
        <v>#VALUE!</v>
      </c>
      <c r="H655" s="141">
        <v>147</v>
      </c>
      <c r="I655" s="141">
        <v>96</v>
      </c>
      <c r="J655" s="149">
        <v>12</v>
      </c>
      <c r="K655" s="150">
        <v>48</v>
      </c>
    </row>
    <row r="656" spans="1:11" ht="30" customHeight="1">
      <c r="A656" s="31">
        <v>77803</v>
      </c>
      <c r="B656" s="16" t="s">
        <v>178</v>
      </c>
      <c r="C656" s="15" t="s">
        <v>1820</v>
      </c>
      <c r="D656" s="15" t="s">
        <v>80</v>
      </c>
      <c r="E656" s="15">
        <v>0.21</v>
      </c>
      <c r="F656" s="131">
        <v>3095.0958309388702</v>
      </c>
      <c r="G656" s="17" t="e">
        <f t="shared" si="10"/>
        <v>#VALUE!</v>
      </c>
      <c r="H656" s="141">
        <v>214</v>
      </c>
      <c r="I656" s="141">
        <v>0</v>
      </c>
      <c r="J656" s="149" t="e">
        <v>#N/A</v>
      </c>
      <c r="K656" s="150" t="e">
        <v>#N/A</v>
      </c>
    </row>
    <row r="657" spans="1:11" ht="30" customHeight="1">
      <c r="A657" s="31">
        <v>77812</v>
      </c>
      <c r="B657" s="16" t="s">
        <v>178</v>
      </c>
      <c r="C657" s="15" t="s">
        <v>1820</v>
      </c>
      <c r="D657" s="15" t="s">
        <v>97</v>
      </c>
      <c r="E657" s="15">
        <v>0.21</v>
      </c>
      <c r="F657" s="131">
        <v>3301.3829957620164</v>
      </c>
      <c r="G657" s="17" t="e">
        <f t="shared" si="10"/>
        <v>#VALUE!</v>
      </c>
      <c r="H657" s="141">
        <v>25</v>
      </c>
      <c r="I657" s="141">
        <v>0</v>
      </c>
      <c r="J657" s="149">
        <v>25</v>
      </c>
      <c r="K657" s="150">
        <v>100</v>
      </c>
    </row>
    <row r="658" spans="1:11" ht="30" customHeight="1">
      <c r="A658" s="30">
        <v>77823</v>
      </c>
      <c r="B658" s="16" t="s">
        <v>178</v>
      </c>
      <c r="C658" s="15" t="s">
        <v>439</v>
      </c>
      <c r="D658" s="15" t="s">
        <v>440</v>
      </c>
      <c r="E658" s="15">
        <v>0.21</v>
      </c>
      <c r="F658" s="131">
        <v>6499.6662068120004</v>
      </c>
      <c r="G658" s="17" t="e">
        <f t="shared" si="10"/>
        <v>#VALUE!</v>
      </c>
      <c r="H658" s="141">
        <v>449</v>
      </c>
      <c r="I658" s="141">
        <v>0</v>
      </c>
      <c r="J658" s="149">
        <v>25</v>
      </c>
      <c r="K658" s="150">
        <v>100</v>
      </c>
    </row>
    <row r="659" spans="1:11" ht="30" customHeight="1">
      <c r="A659" s="30">
        <v>77825</v>
      </c>
      <c r="B659" s="16" t="s">
        <v>178</v>
      </c>
      <c r="C659" s="15" t="s">
        <v>439</v>
      </c>
      <c r="D659" s="15" t="s">
        <v>441</v>
      </c>
      <c r="E659" s="15">
        <v>0.21</v>
      </c>
      <c r="F659" s="131">
        <v>6705.9533716351425</v>
      </c>
      <c r="G659" s="17" t="e">
        <f t="shared" si="10"/>
        <v>#VALUE!</v>
      </c>
      <c r="H659" s="141">
        <v>174</v>
      </c>
      <c r="I659" s="141">
        <v>0</v>
      </c>
      <c r="J659" s="149">
        <v>25</v>
      </c>
      <c r="K659" s="150">
        <v>100</v>
      </c>
    </row>
    <row r="660" spans="1:11" ht="30" customHeight="1">
      <c r="A660" s="30">
        <v>77830</v>
      </c>
      <c r="B660" s="16" t="s">
        <v>178</v>
      </c>
      <c r="C660" s="15" t="s">
        <v>439</v>
      </c>
      <c r="D660" s="15" t="s">
        <v>442</v>
      </c>
      <c r="E660" s="15">
        <v>0.21</v>
      </c>
      <c r="F660" s="131">
        <v>6190.1040664786624</v>
      </c>
      <c r="G660" s="17" t="e">
        <f t="shared" si="10"/>
        <v>#VALUE!</v>
      </c>
      <c r="H660" s="141">
        <v>180</v>
      </c>
      <c r="I660" s="141">
        <v>0</v>
      </c>
      <c r="J660" s="149">
        <v>25</v>
      </c>
      <c r="K660" s="150">
        <v>100</v>
      </c>
    </row>
    <row r="661" spans="1:11" ht="30" customHeight="1">
      <c r="A661" s="30">
        <v>77831</v>
      </c>
      <c r="B661" s="16" t="s">
        <v>178</v>
      </c>
      <c r="C661" s="15" t="s">
        <v>439</v>
      </c>
      <c r="D661" s="15" t="s">
        <v>443</v>
      </c>
      <c r="E661" s="15">
        <v>0.21</v>
      </c>
      <c r="F661" s="131">
        <v>6499.6662068120004</v>
      </c>
      <c r="G661" s="17" t="e">
        <f t="shared" si="10"/>
        <v>#VALUE!</v>
      </c>
      <c r="H661" s="141">
        <v>126</v>
      </c>
      <c r="I661" s="141">
        <v>100</v>
      </c>
      <c r="J661" s="149">
        <v>25</v>
      </c>
      <c r="K661" s="150">
        <v>100</v>
      </c>
    </row>
    <row r="662" spans="1:11" ht="30" customHeight="1">
      <c r="A662" s="30">
        <v>77832</v>
      </c>
      <c r="B662" s="16" t="s">
        <v>178</v>
      </c>
      <c r="C662" s="15" t="s">
        <v>439</v>
      </c>
      <c r="D662" s="15" t="s">
        <v>444</v>
      </c>
      <c r="E662" s="15">
        <v>0.21</v>
      </c>
      <c r="F662" s="131">
        <v>6705.9533716351425</v>
      </c>
      <c r="G662" s="17" t="e">
        <f t="shared" si="10"/>
        <v>#VALUE!</v>
      </c>
      <c r="H662" s="141">
        <v>4283</v>
      </c>
      <c r="I662" s="141">
        <v>700</v>
      </c>
      <c r="J662" s="149">
        <v>25</v>
      </c>
      <c r="K662" s="150">
        <v>100</v>
      </c>
    </row>
    <row r="663" spans="1:11" ht="30" customHeight="1">
      <c r="A663" s="30">
        <v>77838</v>
      </c>
      <c r="B663" s="16" t="s">
        <v>178</v>
      </c>
      <c r="C663" s="15" t="s">
        <v>439</v>
      </c>
      <c r="D663" s="15" t="s">
        <v>445</v>
      </c>
      <c r="E663" s="15">
        <v>0.21</v>
      </c>
      <c r="F663" s="131">
        <v>6128.2246551393409</v>
      </c>
      <c r="G663" s="17" t="e">
        <f t="shared" si="10"/>
        <v>#VALUE!</v>
      </c>
      <c r="H663" s="141">
        <v>400</v>
      </c>
      <c r="I663" s="141">
        <v>0</v>
      </c>
      <c r="J663" s="149">
        <v>25</v>
      </c>
      <c r="K663" s="150">
        <v>100</v>
      </c>
    </row>
    <row r="664" spans="1:11" ht="30" customHeight="1">
      <c r="A664" s="30">
        <v>77841</v>
      </c>
      <c r="B664" s="16" t="s">
        <v>178</v>
      </c>
      <c r="C664" s="15" t="s">
        <v>439</v>
      </c>
      <c r="D664" s="15" t="s">
        <v>655</v>
      </c>
      <c r="E664" s="15">
        <v>0.21</v>
      </c>
      <c r="F664" s="131">
        <v>6514.9078062511589</v>
      </c>
      <c r="G664" s="17" t="e">
        <f t="shared" si="10"/>
        <v>#VALUE!</v>
      </c>
      <c r="H664" s="141">
        <v>116</v>
      </c>
      <c r="I664" s="141">
        <v>0</v>
      </c>
      <c r="J664" s="149">
        <v>25</v>
      </c>
      <c r="K664" s="150">
        <v>100</v>
      </c>
    </row>
    <row r="665" spans="1:11" ht="30" customHeight="1">
      <c r="A665" s="30">
        <v>77842</v>
      </c>
      <c r="B665" s="16" t="s">
        <v>178</v>
      </c>
      <c r="C665" s="15" t="s">
        <v>439</v>
      </c>
      <c r="D665" s="15" t="s">
        <v>656</v>
      </c>
      <c r="E665" s="15">
        <v>0.21</v>
      </c>
      <c r="F665" s="131">
        <v>6912.3281318573663</v>
      </c>
      <c r="G665" s="17" t="e">
        <f t="shared" si="10"/>
        <v>#VALUE!</v>
      </c>
      <c r="H665" s="141">
        <v>96</v>
      </c>
      <c r="I665" s="141">
        <v>0</v>
      </c>
      <c r="J665" s="149">
        <v>25</v>
      </c>
      <c r="K665" s="150">
        <v>100</v>
      </c>
    </row>
    <row r="666" spans="1:11" ht="30" customHeight="1">
      <c r="A666" s="30">
        <v>77843</v>
      </c>
      <c r="B666" s="16" t="s">
        <v>178</v>
      </c>
      <c r="C666" s="15" t="s">
        <v>439</v>
      </c>
      <c r="D666" s="15" t="s">
        <v>446</v>
      </c>
      <c r="E666" s="15">
        <v>0.21</v>
      </c>
      <c r="F666" s="131">
        <v>6912.3281318573663</v>
      </c>
      <c r="G666" s="17" t="e">
        <f t="shared" si="10"/>
        <v>#VALUE!</v>
      </c>
      <c r="H666" s="141">
        <v>316</v>
      </c>
      <c r="I666" s="141">
        <v>100</v>
      </c>
      <c r="J666" s="149">
        <v>25</v>
      </c>
      <c r="K666" s="150">
        <v>100</v>
      </c>
    </row>
    <row r="667" spans="1:11" ht="30" customHeight="1">
      <c r="A667" s="30">
        <v>77845</v>
      </c>
      <c r="B667" s="16" t="s">
        <v>178</v>
      </c>
      <c r="C667" s="15" t="s">
        <v>439</v>
      </c>
      <c r="D667" s="15" t="s">
        <v>447</v>
      </c>
      <c r="E667" s="15">
        <v>0.21</v>
      </c>
      <c r="F667" s="131">
        <v>7221.8026767916217</v>
      </c>
      <c r="G667" s="17" t="e">
        <f t="shared" si="10"/>
        <v>#VALUE!</v>
      </c>
      <c r="H667" s="141">
        <v>348</v>
      </c>
      <c r="I667" s="141">
        <v>0</v>
      </c>
      <c r="J667" s="149">
        <v>25</v>
      </c>
      <c r="K667" s="150">
        <v>100</v>
      </c>
    </row>
    <row r="668" spans="1:11" ht="30" customHeight="1">
      <c r="A668" s="30">
        <v>77846</v>
      </c>
      <c r="B668" s="16" t="s">
        <v>178</v>
      </c>
      <c r="C668" s="15" t="s">
        <v>439</v>
      </c>
      <c r="D668" s="15" t="s">
        <v>657</v>
      </c>
      <c r="E668" s="15">
        <v>0.21</v>
      </c>
      <c r="F668" s="131">
        <v>9182.0125173064225</v>
      </c>
      <c r="G668" s="17" t="e">
        <f t="shared" si="10"/>
        <v>#VALUE!</v>
      </c>
      <c r="H668" s="141">
        <v>373</v>
      </c>
      <c r="I668" s="141">
        <v>100</v>
      </c>
      <c r="J668" s="149">
        <v>25</v>
      </c>
      <c r="K668" s="150">
        <v>100</v>
      </c>
    </row>
    <row r="669" spans="1:11" ht="30" customHeight="1">
      <c r="A669" s="30">
        <v>77847</v>
      </c>
      <c r="B669" s="16" t="s">
        <v>178</v>
      </c>
      <c r="C669" s="15" t="s">
        <v>439</v>
      </c>
      <c r="D669" s="15" t="s">
        <v>448</v>
      </c>
      <c r="E669" s="15">
        <v>0.21</v>
      </c>
      <c r="F669" s="131">
        <v>9491.5746576397596</v>
      </c>
      <c r="G669" s="17" t="e">
        <f t="shared" si="10"/>
        <v>#VALUE!</v>
      </c>
      <c r="H669" s="141">
        <v>120</v>
      </c>
      <c r="I669" s="141">
        <v>0</v>
      </c>
      <c r="J669" s="149">
        <v>25</v>
      </c>
      <c r="K669" s="150">
        <v>100</v>
      </c>
    </row>
    <row r="670" spans="1:11" ht="30" customHeight="1">
      <c r="A670" s="30">
        <v>77848</v>
      </c>
      <c r="B670" s="16" t="s">
        <v>178</v>
      </c>
      <c r="C670" s="15" t="s">
        <v>439</v>
      </c>
      <c r="D670" s="15" t="s">
        <v>658</v>
      </c>
      <c r="E670" s="15">
        <v>0.21</v>
      </c>
      <c r="F670" s="131">
        <v>9388.3872775286472</v>
      </c>
      <c r="G670" s="17" t="e">
        <f t="shared" si="10"/>
        <v>#VALUE!</v>
      </c>
      <c r="H670" s="141">
        <v>343</v>
      </c>
      <c r="I670" s="141">
        <v>0</v>
      </c>
      <c r="J670" s="149">
        <v>25</v>
      </c>
      <c r="K670" s="150">
        <v>100</v>
      </c>
    </row>
    <row r="671" spans="1:11" ht="30" customHeight="1">
      <c r="A671" s="31">
        <v>77849</v>
      </c>
      <c r="B671" s="16" t="s">
        <v>2578</v>
      </c>
      <c r="C671" s="15" t="s">
        <v>3142</v>
      </c>
      <c r="D671" s="15" t="s">
        <v>2596</v>
      </c>
      <c r="E671" s="15">
        <v>0.21</v>
      </c>
      <c r="F671" s="131">
        <v>10715.276333736691</v>
      </c>
      <c r="G671" s="17" t="e">
        <f t="shared" si="10"/>
        <v>#VALUE!</v>
      </c>
      <c r="H671" s="141">
        <v>298</v>
      </c>
      <c r="I671" s="141">
        <v>0</v>
      </c>
      <c r="J671" s="149">
        <v>25</v>
      </c>
      <c r="K671" s="150">
        <v>100</v>
      </c>
    </row>
    <row r="672" spans="1:11" ht="30" customHeight="1">
      <c r="A672" s="30">
        <v>77858</v>
      </c>
      <c r="B672" s="16" t="s">
        <v>178</v>
      </c>
      <c r="C672" s="15" t="s">
        <v>439</v>
      </c>
      <c r="D672" s="15" t="s">
        <v>449</v>
      </c>
      <c r="E672" s="15">
        <v>0.21</v>
      </c>
      <c r="F672" s="131">
        <v>7221.8026767916217</v>
      </c>
      <c r="G672" s="17" t="e">
        <f t="shared" si="10"/>
        <v>#VALUE!</v>
      </c>
      <c r="H672" s="141">
        <v>294</v>
      </c>
      <c r="I672" s="141">
        <v>0</v>
      </c>
      <c r="J672" s="149">
        <v>25</v>
      </c>
      <c r="K672" s="150">
        <v>100</v>
      </c>
    </row>
    <row r="673" spans="1:11" ht="30" customHeight="1">
      <c r="A673" s="30">
        <v>77861</v>
      </c>
      <c r="B673" s="16" t="s">
        <v>178</v>
      </c>
      <c r="C673" s="15" t="s">
        <v>450</v>
      </c>
      <c r="D673" s="15" t="s">
        <v>451</v>
      </c>
      <c r="E673" s="15">
        <v>0.21</v>
      </c>
      <c r="F673" s="131">
        <v>4745.7435311203426</v>
      </c>
      <c r="G673" s="17" t="e">
        <f t="shared" si="10"/>
        <v>#VALUE!</v>
      </c>
      <c r="H673" s="141">
        <v>989</v>
      </c>
      <c r="I673" s="141">
        <v>100</v>
      </c>
      <c r="J673" s="149">
        <v>25</v>
      </c>
      <c r="K673" s="150">
        <v>100</v>
      </c>
    </row>
    <row r="674" spans="1:11" ht="30" customHeight="1">
      <c r="A674" s="30">
        <v>77863</v>
      </c>
      <c r="B674" s="16" t="s">
        <v>178</v>
      </c>
      <c r="C674" s="15" t="s">
        <v>452</v>
      </c>
      <c r="D674" s="15" t="s">
        <v>451</v>
      </c>
      <c r="E674" s="15">
        <v>0.21</v>
      </c>
      <c r="F674" s="131">
        <v>10781.838036701103</v>
      </c>
      <c r="G674" s="17" t="e">
        <f t="shared" si="10"/>
        <v>#VALUE!</v>
      </c>
      <c r="H674" s="141">
        <v>845</v>
      </c>
      <c r="I674" s="141">
        <v>0</v>
      </c>
      <c r="J674" s="149">
        <v>25</v>
      </c>
      <c r="K674" s="150">
        <v>100</v>
      </c>
    </row>
    <row r="675" spans="1:11" ht="30" customHeight="1">
      <c r="A675" s="30">
        <v>20051</v>
      </c>
      <c r="B675" s="16" t="s">
        <v>178</v>
      </c>
      <c r="C675" s="15" t="s">
        <v>198</v>
      </c>
      <c r="D675" s="15" t="s">
        <v>199</v>
      </c>
      <c r="E675" s="15">
        <v>0.21</v>
      </c>
      <c r="F675" s="131">
        <v>7982.7070079421574</v>
      </c>
      <c r="G675" s="17" t="e">
        <f t="shared" si="10"/>
        <v>#VALUE!</v>
      </c>
      <c r="H675" s="141">
        <v>1512</v>
      </c>
      <c r="I675" s="141">
        <v>400</v>
      </c>
      <c r="J675" s="149">
        <v>20</v>
      </c>
      <c r="K675" s="150">
        <v>80</v>
      </c>
    </row>
    <row r="676" spans="1:11" ht="30" customHeight="1">
      <c r="A676" s="30">
        <v>77864</v>
      </c>
      <c r="B676" s="16" t="s">
        <v>178</v>
      </c>
      <c r="C676" s="15" t="s">
        <v>453</v>
      </c>
      <c r="D676" s="15" t="s">
        <v>454</v>
      </c>
      <c r="E676" s="15">
        <v>0.21</v>
      </c>
      <c r="F676" s="131">
        <v>7693.0984000000008</v>
      </c>
      <c r="G676" s="17" t="e">
        <f t="shared" si="10"/>
        <v>#VALUE!</v>
      </c>
      <c r="H676" s="141">
        <v>2087</v>
      </c>
      <c r="I676" s="141">
        <v>200</v>
      </c>
      <c r="J676" s="149">
        <v>25</v>
      </c>
      <c r="K676" s="150">
        <v>100</v>
      </c>
    </row>
    <row r="677" spans="1:11" ht="30" customHeight="1">
      <c r="A677" s="31">
        <v>77865</v>
      </c>
      <c r="B677" s="16" t="s">
        <v>178</v>
      </c>
      <c r="C677" s="15" t="s">
        <v>1821</v>
      </c>
      <c r="D677" s="15" t="s">
        <v>1822</v>
      </c>
      <c r="E677" s="15">
        <v>0.21</v>
      </c>
      <c r="F677" s="131">
        <v>13205.619578447146</v>
      </c>
      <c r="G677" s="17" t="e">
        <f t="shared" si="10"/>
        <v>#VALUE!</v>
      </c>
      <c r="H677" s="141">
        <v>522</v>
      </c>
      <c r="I677" s="141">
        <v>100</v>
      </c>
      <c r="J677" s="149">
        <v>20</v>
      </c>
      <c r="K677" s="150">
        <v>100</v>
      </c>
    </row>
    <row r="678" spans="1:11" ht="30" customHeight="1">
      <c r="A678" s="132">
        <v>77867</v>
      </c>
      <c r="B678" s="133" t="s">
        <v>178</v>
      </c>
      <c r="C678" s="134" t="s">
        <v>4205</v>
      </c>
      <c r="D678" s="134" t="s">
        <v>4206</v>
      </c>
      <c r="E678" s="15">
        <v>0.21</v>
      </c>
      <c r="F678" s="135">
        <v>0</v>
      </c>
      <c r="G678" s="17" t="e">
        <f t="shared" si="10"/>
        <v>#VALUE!</v>
      </c>
      <c r="H678" s="141">
        <v>144</v>
      </c>
      <c r="I678" s="141">
        <v>0</v>
      </c>
      <c r="J678" s="149" t="e">
        <v>#N/A</v>
      </c>
      <c r="K678" s="150" t="e">
        <v>#N/A</v>
      </c>
    </row>
    <row r="679" spans="1:11" ht="30" customHeight="1">
      <c r="A679" s="31">
        <v>77868</v>
      </c>
      <c r="B679" s="16" t="s">
        <v>2578</v>
      </c>
      <c r="C679" s="15" t="s">
        <v>3143</v>
      </c>
      <c r="D679" s="15" t="s">
        <v>2597</v>
      </c>
      <c r="E679" s="15">
        <v>0.21</v>
      </c>
      <c r="F679" s="131">
        <v>9601.6447677936976</v>
      </c>
      <c r="G679" s="17" t="e">
        <f t="shared" si="10"/>
        <v>#VALUE!</v>
      </c>
      <c r="H679" s="141">
        <v>309</v>
      </c>
      <c r="I679" s="141">
        <v>100</v>
      </c>
      <c r="J679" s="149">
        <v>25</v>
      </c>
      <c r="K679" s="150">
        <v>100</v>
      </c>
    </row>
    <row r="680" spans="1:11" ht="30" customHeight="1">
      <c r="A680" s="31">
        <v>20048</v>
      </c>
      <c r="B680" s="16" t="s">
        <v>178</v>
      </c>
      <c r="C680" s="15" t="s">
        <v>3144</v>
      </c>
      <c r="D680" s="15" t="s">
        <v>2362</v>
      </c>
      <c r="E680" s="15">
        <v>0.21</v>
      </c>
      <c r="F680" s="131">
        <v>17003.365280671878</v>
      </c>
      <c r="G680" s="17" t="e">
        <f t="shared" si="10"/>
        <v>#VALUE!</v>
      </c>
      <c r="H680" s="141">
        <v>1043</v>
      </c>
      <c r="I680" s="141">
        <v>360</v>
      </c>
      <c r="J680" s="149">
        <v>6</v>
      </c>
      <c r="K680" s="150">
        <v>36</v>
      </c>
    </row>
    <row r="681" spans="1:11" ht="30" customHeight="1">
      <c r="A681" s="31">
        <v>20049</v>
      </c>
      <c r="B681" s="16" t="s">
        <v>178</v>
      </c>
      <c r="C681" s="15" t="s">
        <v>3145</v>
      </c>
      <c r="D681" s="15" t="s">
        <v>2362</v>
      </c>
      <c r="E681" s="15">
        <v>0.21</v>
      </c>
      <c r="F681" s="131">
        <v>20927.21880698076</v>
      </c>
      <c r="G681" s="17" t="e">
        <f t="shared" si="10"/>
        <v>#VALUE!</v>
      </c>
      <c r="H681" s="141">
        <v>354</v>
      </c>
      <c r="I681" s="141">
        <v>72</v>
      </c>
      <c r="J681" s="149">
        <v>6</v>
      </c>
      <c r="K681" s="150">
        <v>36</v>
      </c>
    </row>
    <row r="682" spans="1:11" ht="30" customHeight="1">
      <c r="A682" s="31">
        <v>20053</v>
      </c>
      <c r="B682" s="16" t="s">
        <v>178</v>
      </c>
      <c r="C682" s="15" t="s">
        <v>2361</v>
      </c>
      <c r="D682" s="15" t="s">
        <v>2362</v>
      </c>
      <c r="E682" s="15">
        <v>0.21</v>
      </c>
      <c r="F682" s="131">
        <v>19728.263562830827</v>
      </c>
      <c r="G682" s="17" t="e">
        <f t="shared" si="10"/>
        <v>#VALUE!</v>
      </c>
      <c r="H682" s="141">
        <v>591</v>
      </c>
      <c r="I682" s="141">
        <v>360</v>
      </c>
      <c r="J682" s="149">
        <v>6</v>
      </c>
      <c r="K682" s="150">
        <v>36</v>
      </c>
    </row>
    <row r="683" spans="1:11" ht="30" customHeight="1">
      <c r="A683" s="31">
        <v>20054</v>
      </c>
      <c r="B683" s="16" t="s">
        <v>178</v>
      </c>
      <c r="C683" s="15" t="s">
        <v>2363</v>
      </c>
      <c r="D683" s="15" t="s">
        <v>2362</v>
      </c>
      <c r="E683" s="15">
        <v>0.21</v>
      </c>
      <c r="F683" s="131">
        <v>23652.11708913972</v>
      </c>
      <c r="G683" s="17" t="e">
        <f t="shared" si="10"/>
        <v>#VALUE!</v>
      </c>
      <c r="H683" s="141">
        <v>566</v>
      </c>
      <c r="I683" s="141">
        <v>72</v>
      </c>
      <c r="J683" s="149">
        <v>6</v>
      </c>
      <c r="K683" s="150">
        <v>36</v>
      </c>
    </row>
    <row r="684" spans="1:11" ht="30" customHeight="1">
      <c r="A684" s="30">
        <v>20056</v>
      </c>
      <c r="B684" s="16" t="s">
        <v>178</v>
      </c>
      <c r="C684" s="15" t="s">
        <v>3146</v>
      </c>
      <c r="D684" s="15" t="s">
        <v>200</v>
      </c>
      <c r="E684" s="15">
        <v>0.21</v>
      </c>
      <c r="F684" s="131">
        <v>21089.931968920228</v>
      </c>
      <c r="G684" s="17" t="e">
        <f t="shared" si="10"/>
        <v>#VALUE!</v>
      </c>
      <c r="H684" s="141">
        <v>1704</v>
      </c>
      <c r="I684" s="141">
        <v>252</v>
      </c>
      <c r="J684" s="149">
        <v>6</v>
      </c>
      <c r="K684" s="150">
        <v>36</v>
      </c>
    </row>
    <row r="685" spans="1:11" ht="30" customHeight="1">
      <c r="A685" s="30">
        <v>20057</v>
      </c>
      <c r="B685" s="16" t="s">
        <v>178</v>
      </c>
      <c r="C685" s="15" t="s">
        <v>3147</v>
      </c>
      <c r="D685" s="15" t="s">
        <v>200</v>
      </c>
      <c r="E685" s="15">
        <v>0.21</v>
      </c>
      <c r="F685" s="131">
        <v>25488.366978481132</v>
      </c>
      <c r="G685" s="17" t="e">
        <f t="shared" si="10"/>
        <v>#VALUE!</v>
      </c>
      <c r="H685" s="141">
        <v>679</v>
      </c>
      <c r="I685" s="141">
        <v>72</v>
      </c>
      <c r="J685" s="149">
        <v>6</v>
      </c>
      <c r="K685" s="150">
        <v>36</v>
      </c>
    </row>
    <row r="686" spans="1:11" ht="30" customHeight="1">
      <c r="A686" s="30">
        <v>20068</v>
      </c>
      <c r="B686" s="16" t="s">
        <v>178</v>
      </c>
      <c r="C686" s="15" t="s">
        <v>2094</v>
      </c>
      <c r="D686" s="15" t="s">
        <v>201</v>
      </c>
      <c r="E686" s="15">
        <v>0.21</v>
      </c>
      <c r="F686" s="131">
        <v>15101.293532825764</v>
      </c>
      <c r="G686" s="17" t="e">
        <f t="shared" si="10"/>
        <v>#VALUE!</v>
      </c>
      <c r="H686" s="141">
        <v>453</v>
      </c>
      <c r="I686" s="141">
        <v>0</v>
      </c>
      <c r="J686" s="149">
        <v>10</v>
      </c>
      <c r="K686" s="150">
        <v>60</v>
      </c>
    </row>
    <row r="687" spans="1:11" ht="30" customHeight="1">
      <c r="A687" s="30">
        <v>20069</v>
      </c>
      <c r="B687" s="16" t="s">
        <v>178</v>
      </c>
      <c r="C687" s="15" t="s">
        <v>2095</v>
      </c>
      <c r="D687" s="15" t="s">
        <v>202</v>
      </c>
      <c r="E687" s="15">
        <v>0.21</v>
      </c>
      <c r="F687" s="131">
        <v>15449.78492204483</v>
      </c>
      <c r="G687" s="17" t="e">
        <f t="shared" si="10"/>
        <v>#VALUE!</v>
      </c>
      <c r="H687" s="141">
        <v>364</v>
      </c>
      <c r="I687" s="141">
        <v>0</v>
      </c>
      <c r="J687" s="149">
        <v>10</v>
      </c>
      <c r="K687" s="150">
        <v>60</v>
      </c>
    </row>
    <row r="688" spans="1:11" ht="30" customHeight="1">
      <c r="A688" s="31">
        <v>20098</v>
      </c>
      <c r="B688" s="16" t="s">
        <v>2578</v>
      </c>
      <c r="C688" s="15" t="s">
        <v>3148</v>
      </c>
      <c r="D688" s="15" t="s">
        <v>2598</v>
      </c>
      <c r="E688" s="15">
        <v>0.21</v>
      </c>
      <c r="F688" s="131">
        <v>13822.706470520334</v>
      </c>
      <c r="G688" s="17" t="e">
        <f t="shared" si="10"/>
        <v>#VALUE!</v>
      </c>
      <c r="H688" s="141">
        <v>100</v>
      </c>
      <c r="I688" s="141">
        <v>0</v>
      </c>
      <c r="J688" s="149">
        <v>10</v>
      </c>
      <c r="K688" s="150">
        <v>60</v>
      </c>
    </row>
    <row r="689" spans="1:11" ht="30" customHeight="1">
      <c r="A689" s="30">
        <v>20090</v>
      </c>
      <c r="B689" s="16" t="s">
        <v>178</v>
      </c>
      <c r="C689" s="15" t="s">
        <v>1893</v>
      </c>
      <c r="D689" s="15" t="s">
        <v>207</v>
      </c>
      <c r="E689" s="15">
        <v>0.21</v>
      </c>
      <c r="F689" s="131">
        <v>23119.97889640987</v>
      </c>
      <c r="G689" s="17" t="e">
        <f t="shared" si="10"/>
        <v>#VALUE!</v>
      </c>
      <c r="H689" s="141">
        <v>643</v>
      </c>
      <c r="I689" s="141">
        <v>72</v>
      </c>
      <c r="J689" s="149">
        <v>6</v>
      </c>
      <c r="K689" s="150">
        <v>36</v>
      </c>
    </row>
    <row r="690" spans="1:11" ht="30" customHeight="1">
      <c r="A690" s="30">
        <v>20094</v>
      </c>
      <c r="B690" s="16" t="s">
        <v>178</v>
      </c>
      <c r="C690" s="15" t="s">
        <v>208</v>
      </c>
      <c r="D690" s="15" t="s">
        <v>3050</v>
      </c>
      <c r="E690" s="15">
        <v>0.21</v>
      </c>
      <c r="F690" s="131">
        <v>35949.225396328016</v>
      </c>
      <c r="G690" s="17" t="e">
        <f t="shared" si="10"/>
        <v>#VALUE!</v>
      </c>
      <c r="H690" s="141">
        <v>405</v>
      </c>
      <c r="I690" s="141">
        <v>40</v>
      </c>
      <c r="J690" s="149">
        <v>5</v>
      </c>
      <c r="K690" s="150">
        <v>20</v>
      </c>
    </row>
    <row r="691" spans="1:11" ht="30" customHeight="1">
      <c r="A691" s="30">
        <v>20061</v>
      </c>
      <c r="B691" s="16" t="s">
        <v>178</v>
      </c>
      <c r="C691" s="15" t="s">
        <v>203</v>
      </c>
      <c r="D691" s="15" t="s">
        <v>204</v>
      </c>
      <c r="E691" s="15">
        <v>0.21</v>
      </c>
      <c r="F691" s="131">
        <v>53028.773059499734</v>
      </c>
      <c r="G691" s="17" t="e">
        <f t="shared" si="10"/>
        <v>#VALUE!</v>
      </c>
      <c r="H691" s="141">
        <v>93</v>
      </c>
      <c r="I691" s="141">
        <v>0</v>
      </c>
      <c r="J691" s="149">
        <v>10</v>
      </c>
      <c r="K691" s="150">
        <v>20</v>
      </c>
    </row>
    <row r="692" spans="1:11" ht="30" customHeight="1">
      <c r="A692" s="30">
        <v>20062</v>
      </c>
      <c r="B692" s="16" t="s">
        <v>178</v>
      </c>
      <c r="C692" s="15" t="s">
        <v>205</v>
      </c>
      <c r="D692" s="15" t="s">
        <v>206</v>
      </c>
      <c r="E692" s="15">
        <v>0.21</v>
      </c>
      <c r="F692" s="131">
        <v>62265.056066497469</v>
      </c>
      <c r="G692" s="17" t="e">
        <f t="shared" si="10"/>
        <v>#VALUE!</v>
      </c>
      <c r="H692" s="141">
        <v>36</v>
      </c>
      <c r="I692" s="141">
        <v>0</v>
      </c>
      <c r="J692" s="149" t="e">
        <v>#N/A</v>
      </c>
      <c r="K692" s="150" t="e">
        <v>#N/A</v>
      </c>
    </row>
    <row r="693" spans="1:11" ht="30" customHeight="1">
      <c r="A693" s="30">
        <v>43001</v>
      </c>
      <c r="B693" s="16" t="s">
        <v>178</v>
      </c>
      <c r="C693" s="15" t="s">
        <v>365</v>
      </c>
      <c r="D693" s="15" t="s">
        <v>72</v>
      </c>
      <c r="E693" s="15">
        <v>0.21</v>
      </c>
      <c r="F693" s="131">
        <v>18498.225147588855</v>
      </c>
      <c r="G693" s="17" t="e">
        <f t="shared" si="10"/>
        <v>#VALUE!</v>
      </c>
      <c r="H693" s="141">
        <v>3705</v>
      </c>
      <c r="I693" s="141">
        <v>1200</v>
      </c>
      <c r="J693" s="149">
        <v>6</v>
      </c>
      <c r="K693" s="150">
        <v>24</v>
      </c>
    </row>
    <row r="694" spans="1:11" ht="30" customHeight="1">
      <c r="A694" s="30">
        <v>43003</v>
      </c>
      <c r="B694" s="16" t="s">
        <v>178</v>
      </c>
      <c r="C694" s="15" t="s">
        <v>366</v>
      </c>
      <c r="D694" s="15" t="s">
        <v>367</v>
      </c>
      <c r="E694" s="15">
        <v>0.21</v>
      </c>
      <c r="F694" s="131">
        <v>29441.397598651725</v>
      </c>
      <c r="G694" s="17" t="e">
        <f t="shared" si="10"/>
        <v>#VALUE!</v>
      </c>
      <c r="H694" s="141">
        <v>786</v>
      </c>
      <c r="I694" s="141">
        <v>240</v>
      </c>
      <c r="J694" s="149">
        <v>6</v>
      </c>
      <c r="K694" s="150">
        <v>24</v>
      </c>
    </row>
    <row r="695" spans="1:11" ht="30" customHeight="1">
      <c r="A695" s="31">
        <v>43094</v>
      </c>
      <c r="B695" s="16" t="s">
        <v>2578</v>
      </c>
      <c r="C695" s="15" t="s">
        <v>2900</v>
      </c>
      <c r="D695" s="15" t="s">
        <v>31</v>
      </c>
      <c r="E695" s="15">
        <v>0.21</v>
      </c>
      <c r="F695" s="131">
        <v>58623.895281575911</v>
      </c>
      <c r="G695" s="17" t="e">
        <f t="shared" si="10"/>
        <v>#VALUE!</v>
      </c>
      <c r="H695" s="141">
        <v>165</v>
      </c>
      <c r="I695" s="141">
        <v>24</v>
      </c>
      <c r="J695" s="149">
        <v>6</v>
      </c>
      <c r="K695" s="150">
        <v>24</v>
      </c>
    </row>
    <row r="696" spans="1:11" ht="30" customHeight="1">
      <c r="A696" s="31">
        <v>43098</v>
      </c>
      <c r="B696" s="16" t="s">
        <v>2578</v>
      </c>
      <c r="C696" s="15" t="s">
        <v>2901</v>
      </c>
      <c r="D696" s="15" t="s">
        <v>2902</v>
      </c>
      <c r="E696" s="15">
        <v>0.21</v>
      </c>
      <c r="F696" s="131">
        <v>58072.140973043446</v>
      </c>
      <c r="G696" s="17" t="e">
        <f t="shared" si="10"/>
        <v>#VALUE!</v>
      </c>
      <c r="H696" s="141">
        <v>207</v>
      </c>
      <c r="I696" s="141">
        <v>0</v>
      </c>
      <c r="J696" s="149">
        <v>6</v>
      </c>
      <c r="K696" s="150">
        <v>36</v>
      </c>
    </row>
    <row r="697" spans="1:11" ht="30" customHeight="1">
      <c r="A697" s="30">
        <v>43099</v>
      </c>
      <c r="B697" s="16" t="s">
        <v>178</v>
      </c>
      <c r="C697" s="15" t="s">
        <v>366</v>
      </c>
      <c r="D697" s="15" t="s">
        <v>372</v>
      </c>
      <c r="E697" s="15">
        <v>0.21</v>
      </c>
      <c r="F697" s="131">
        <v>63496.63141237502</v>
      </c>
      <c r="G697" s="17" t="e">
        <f t="shared" si="10"/>
        <v>#VALUE!</v>
      </c>
      <c r="H697" s="141">
        <v>386</v>
      </c>
      <c r="I697" s="141">
        <v>0</v>
      </c>
      <c r="J697" s="149">
        <v>6</v>
      </c>
      <c r="K697" s="150">
        <v>24</v>
      </c>
    </row>
    <row r="698" spans="1:11" ht="30" customHeight="1">
      <c r="A698" s="31">
        <v>43096</v>
      </c>
      <c r="B698" s="16" t="s">
        <v>2578</v>
      </c>
      <c r="C698" s="15" t="s">
        <v>3149</v>
      </c>
      <c r="D698" s="15" t="s">
        <v>2599</v>
      </c>
      <c r="E698" s="15">
        <v>0.21</v>
      </c>
      <c r="F698" s="131">
        <v>66412.389776805518</v>
      </c>
      <c r="G698" s="17" t="e">
        <f t="shared" si="10"/>
        <v>#VALUE!</v>
      </c>
      <c r="H698" s="141">
        <v>110</v>
      </c>
      <c r="I698" s="141">
        <v>12</v>
      </c>
      <c r="J698" s="149">
        <v>0</v>
      </c>
      <c r="K698" s="150">
        <v>12</v>
      </c>
    </row>
    <row r="699" spans="1:11" ht="30" customHeight="1">
      <c r="A699" s="30">
        <v>43100</v>
      </c>
      <c r="B699" s="16" t="s">
        <v>178</v>
      </c>
      <c r="C699" s="15" t="s">
        <v>373</v>
      </c>
      <c r="D699" s="15" t="s">
        <v>374</v>
      </c>
      <c r="E699" s="15">
        <v>0.21</v>
      </c>
      <c r="F699" s="131">
        <v>95244.947118562544</v>
      </c>
      <c r="G699" s="17" t="e">
        <f t="shared" si="10"/>
        <v>#VALUE!</v>
      </c>
      <c r="H699" s="141">
        <v>98</v>
      </c>
      <c r="I699" s="141">
        <v>0</v>
      </c>
      <c r="J699" s="149">
        <v>0</v>
      </c>
      <c r="K699" s="150">
        <v>8</v>
      </c>
    </row>
    <row r="700" spans="1:11" ht="30" customHeight="1">
      <c r="A700" s="31">
        <v>43110</v>
      </c>
      <c r="B700" s="16" t="s">
        <v>2578</v>
      </c>
      <c r="C700" s="15" t="s">
        <v>3150</v>
      </c>
      <c r="D700" s="15" t="s">
        <v>2600</v>
      </c>
      <c r="E700" s="15">
        <v>0.105</v>
      </c>
      <c r="F700" s="131">
        <v>246745.18242959847</v>
      </c>
      <c r="G700" s="17" t="e">
        <f t="shared" si="10"/>
        <v>#VALUE!</v>
      </c>
      <c r="H700" s="141">
        <v>39</v>
      </c>
      <c r="I700" s="141">
        <v>10</v>
      </c>
      <c r="J700" s="149">
        <v>0</v>
      </c>
      <c r="K700" s="150">
        <v>5</v>
      </c>
    </row>
    <row r="701" spans="1:11" ht="30" customHeight="1">
      <c r="A701" s="30">
        <v>43021</v>
      </c>
      <c r="B701" s="16" t="s">
        <v>178</v>
      </c>
      <c r="C701" s="15" t="s">
        <v>659</v>
      </c>
      <c r="D701" s="15" t="s">
        <v>660</v>
      </c>
      <c r="E701" s="15">
        <v>0.21</v>
      </c>
      <c r="F701" s="131">
        <v>36032.712113883645</v>
      </c>
      <c r="G701" s="17" t="e">
        <f t="shared" si="10"/>
        <v>#VALUE!</v>
      </c>
      <c r="H701" s="141">
        <v>645</v>
      </c>
      <c r="I701" s="141">
        <v>0</v>
      </c>
      <c r="J701" s="149">
        <v>6</v>
      </c>
      <c r="K701" s="150">
        <v>24</v>
      </c>
    </row>
    <row r="702" spans="1:11" ht="30" customHeight="1">
      <c r="A702" s="30">
        <v>43022</v>
      </c>
      <c r="B702" s="16" t="s">
        <v>178</v>
      </c>
      <c r="C702" s="15" t="s">
        <v>1894</v>
      </c>
      <c r="D702" s="15" t="s">
        <v>661</v>
      </c>
      <c r="E702" s="15">
        <v>0.21</v>
      </c>
      <c r="F702" s="131">
        <v>21101.622157928974</v>
      </c>
      <c r="G702" s="17" t="e">
        <f t="shared" si="10"/>
        <v>#VALUE!</v>
      </c>
      <c r="H702" s="141">
        <v>967</v>
      </c>
      <c r="I702" s="141">
        <v>200</v>
      </c>
      <c r="J702" s="149">
        <v>10</v>
      </c>
      <c r="K702" s="150">
        <v>40</v>
      </c>
    </row>
    <row r="703" spans="1:11" ht="30" customHeight="1">
      <c r="A703" s="31">
        <v>43020</v>
      </c>
      <c r="B703" s="16" t="s">
        <v>2578</v>
      </c>
      <c r="C703" s="15" t="s">
        <v>3151</v>
      </c>
      <c r="D703" s="15" t="s">
        <v>2608</v>
      </c>
      <c r="E703" s="15">
        <v>0.21</v>
      </c>
      <c r="F703" s="131">
        <v>36610.527473600356</v>
      </c>
      <c r="G703" s="17" t="e">
        <f t="shared" si="10"/>
        <v>#VALUE!</v>
      </c>
      <c r="H703" s="141">
        <v>119</v>
      </c>
      <c r="I703" s="141">
        <v>0</v>
      </c>
      <c r="J703" s="149">
        <v>6</v>
      </c>
      <c r="K703" s="150">
        <v>24</v>
      </c>
    </row>
    <row r="704" spans="1:11" ht="30" customHeight="1">
      <c r="A704" s="31">
        <v>43023</v>
      </c>
      <c r="B704" s="16" t="s">
        <v>2578</v>
      </c>
      <c r="C704" s="15" t="s">
        <v>3152</v>
      </c>
      <c r="D704" s="15" t="s">
        <v>2602</v>
      </c>
      <c r="E704" s="15">
        <v>0.21</v>
      </c>
      <c r="F704" s="131">
        <v>1873.5826487887903</v>
      </c>
      <c r="G704" s="17" t="e">
        <f t="shared" si="10"/>
        <v>#VALUE!</v>
      </c>
      <c r="H704" s="141">
        <v>896</v>
      </c>
      <c r="I704" s="141">
        <v>0</v>
      </c>
      <c r="J704" s="149">
        <v>0</v>
      </c>
      <c r="K704" s="150">
        <v>200</v>
      </c>
    </row>
    <row r="705" spans="1:11" ht="30" customHeight="1">
      <c r="A705" s="31">
        <v>43024</v>
      </c>
      <c r="B705" s="16" t="s">
        <v>2578</v>
      </c>
      <c r="C705" s="15" t="s">
        <v>3153</v>
      </c>
      <c r="D705" s="15" t="s">
        <v>2603</v>
      </c>
      <c r="E705" s="15">
        <v>0.21</v>
      </c>
      <c r="F705" s="131">
        <v>1983.7933928351902</v>
      </c>
      <c r="G705" s="17" t="e">
        <f t="shared" si="10"/>
        <v>#VALUE!</v>
      </c>
      <c r="H705" s="141">
        <v>787</v>
      </c>
      <c r="I705" s="141">
        <v>0</v>
      </c>
      <c r="J705" s="149">
        <v>0</v>
      </c>
      <c r="K705" s="150">
        <v>200</v>
      </c>
    </row>
    <row r="706" spans="1:11" ht="30" customHeight="1">
      <c r="A706" s="31">
        <v>43025</v>
      </c>
      <c r="B706" s="16" t="s">
        <v>2578</v>
      </c>
      <c r="C706" s="15" t="s">
        <v>3152</v>
      </c>
      <c r="D706" s="15" t="s">
        <v>2604</v>
      </c>
      <c r="E706" s="15">
        <v>0.21</v>
      </c>
      <c r="F706" s="131">
        <v>2204.2148809279893</v>
      </c>
      <c r="G706" s="17" t="e">
        <f t="shared" si="10"/>
        <v>#VALUE!</v>
      </c>
      <c r="H706" s="141">
        <v>985</v>
      </c>
      <c r="I706" s="141">
        <v>0</v>
      </c>
      <c r="J706" s="149">
        <v>0</v>
      </c>
      <c r="K706" s="150">
        <v>200</v>
      </c>
    </row>
    <row r="707" spans="1:11" ht="30" customHeight="1">
      <c r="A707" s="31">
        <v>43028</v>
      </c>
      <c r="B707" s="16" t="s">
        <v>2578</v>
      </c>
      <c r="C707" s="15" t="s">
        <v>3152</v>
      </c>
      <c r="D707" s="15" t="s">
        <v>2605</v>
      </c>
      <c r="E707" s="15">
        <v>0.21</v>
      </c>
      <c r="F707" s="131">
        <v>3196.1115773455836</v>
      </c>
      <c r="G707" s="17" t="e">
        <f t="shared" si="10"/>
        <v>#VALUE!</v>
      </c>
      <c r="H707" s="141">
        <v>701</v>
      </c>
      <c r="I707" s="141">
        <v>400</v>
      </c>
      <c r="J707" s="149">
        <v>0</v>
      </c>
      <c r="K707" s="150">
        <v>100</v>
      </c>
    </row>
    <row r="708" spans="1:11" ht="30" customHeight="1">
      <c r="A708" s="31">
        <v>43029</v>
      </c>
      <c r="B708" s="16" t="s">
        <v>2578</v>
      </c>
      <c r="C708" s="15" t="s">
        <v>2601</v>
      </c>
      <c r="D708" s="15" t="s">
        <v>2606</v>
      </c>
      <c r="E708" s="15">
        <v>0.21</v>
      </c>
      <c r="F708" s="131">
        <v>3571.7587779122305</v>
      </c>
      <c r="G708" s="17" t="e">
        <f t="shared" si="10"/>
        <v>#VALUE!</v>
      </c>
      <c r="H708" s="141">
        <v>534</v>
      </c>
      <c r="I708" s="141">
        <v>200</v>
      </c>
      <c r="J708" s="149">
        <v>0</v>
      </c>
      <c r="K708" s="150">
        <v>100</v>
      </c>
    </row>
    <row r="709" spans="1:11" ht="30" customHeight="1">
      <c r="A709" s="31">
        <v>43030</v>
      </c>
      <c r="B709" s="16" t="s">
        <v>2578</v>
      </c>
      <c r="C709" s="15" t="s">
        <v>3152</v>
      </c>
      <c r="D709" s="15" t="s">
        <v>2607</v>
      </c>
      <c r="E709" s="15">
        <v>0.21</v>
      </c>
      <c r="F709" s="131">
        <v>3636.9545535311818</v>
      </c>
      <c r="G709" s="17" t="e">
        <f t="shared" si="10"/>
        <v>#VALUE!</v>
      </c>
      <c r="H709" s="141">
        <v>624</v>
      </c>
      <c r="I709" s="141">
        <v>100</v>
      </c>
      <c r="J709" s="149">
        <v>0</v>
      </c>
      <c r="K709" s="150">
        <v>100</v>
      </c>
    </row>
    <row r="710" spans="1:11" ht="30" customHeight="1">
      <c r="A710" s="30">
        <v>25001</v>
      </c>
      <c r="B710" s="16" t="s">
        <v>269</v>
      </c>
      <c r="C710" s="15" t="s">
        <v>1895</v>
      </c>
      <c r="D710" s="15" t="s">
        <v>270</v>
      </c>
      <c r="E710" s="15">
        <v>0.21</v>
      </c>
      <c r="F710" s="131">
        <v>11608.815858590951</v>
      </c>
      <c r="G710" s="17" t="e">
        <f t="shared" si="10"/>
        <v>#VALUE!</v>
      </c>
      <c r="H710" s="141">
        <v>302</v>
      </c>
      <c r="I710" s="141">
        <v>60</v>
      </c>
      <c r="J710" s="149">
        <v>6</v>
      </c>
      <c r="K710" s="150">
        <v>60</v>
      </c>
    </row>
    <row r="711" spans="1:11" ht="30" customHeight="1">
      <c r="A711" s="30">
        <v>25002</v>
      </c>
      <c r="B711" s="16" t="s">
        <v>269</v>
      </c>
      <c r="C711" s="15" t="s">
        <v>1895</v>
      </c>
      <c r="D711" s="15" t="s">
        <v>271</v>
      </c>
      <c r="E711" s="15">
        <v>0.21</v>
      </c>
      <c r="F711" s="131">
        <v>14033.809252838833</v>
      </c>
      <c r="G711" s="17" t="e">
        <f t="shared" si="10"/>
        <v>#VALUE!</v>
      </c>
      <c r="H711" s="141">
        <v>151</v>
      </c>
      <c r="I711" s="141">
        <v>72</v>
      </c>
      <c r="J711" s="149">
        <v>6</v>
      </c>
      <c r="K711" s="150">
        <v>36</v>
      </c>
    </row>
    <row r="712" spans="1:11" ht="30" customHeight="1">
      <c r="A712" s="30">
        <v>25003</v>
      </c>
      <c r="B712" s="16" t="s">
        <v>269</v>
      </c>
      <c r="C712" s="15" t="s">
        <v>1895</v>
      </c>
      <c r="D712" s="15" t="s">
        <v>272</v>
      </c>
      <c r="E712" s="15">
        <v>0.21</v>
      </c>
      <c r="F712" s="131">
        <v>18155.627355071225</v>
      </c>
      <c r="G712" s="17" t="e">
        <f t="shared" si="10"/>
        <v>#VALUE!</v>
      </c>
      <c r="H712" s="141">
        <v>123</v>
      </c>
      <c r="I712" s="141">
        <v>0</v>
      </c>
      <c r="J712" s="149">
        <v>6</v>
      </c>
      <c r="K712" s="150">
        <v>24</v>
      </c>
    </row>
    <row r="713" spans="1:11" ht="30" customHeight="1">
      <c r="A713" s="31">
        <v>25005</v>
      </c>
      <c r="B713" s="16" t="s">
        <v>269</v>
      </c>
      <c r="C713" s="15" t="s">
        <v>1895</v>
      </c>
      <c r="D713" s="15" t="s">
        <v>331</v>
      </c>
      <c r="E713" s="15">
        <v>0.21</v>
      </c>
      <c r="F713" s="131">
        <v>27011.425757961242</v>
      </c>
      <c r="G713" s="17" t="e">
        <f t="shared" ref="G713:G776" si="11">(F713*$G$6)</f>
        <v>#VALUE!</v>
      </c>
      <c r="H713" s="141">
        <v>56</v>
      </c>
      <c r="I713" s="141">
        <v>0</v>
      </c>
      <c r="J713" s="149">
        <v>4</v>
      </c>
      <c r="K713" s="150">
        <v>16</v>
      </c>
    </row>
    <row r="714" spans="1:11" ht="30" customHeight="1">
      <c r="A714" s="30">
        <v>25006</v>
      </c>
      <c r="B714" s="16" t="s">
        <v>269</v>
      </c>
      <c r="C714" s="15" t="s">
        <v>1895</v>
      </c>
      <c r="D714" s="15" t="s">
        <v>273</v>
      </c>
      <c r="E714" s="15">
        <v>0.21</v>
      </c>
      <c r="F714" s="131">
        <v>28656.449663139436</v>
      </c>
      <c r="G714" s="17" t="e">
        <f t="shared" si="11"/>
        <v>#VALUE!</v>
      </c>
      <c r="H714" s="141">
        <v>38</v>
      </c>
      <c r="I714" s="141">
        <v>0</v>
      </c>
      <c r="J714" s="149">
        <v>4</v>
      </c>
      <c r="K714" s="150">
        <v>16</v>
      </c>
    </row>
    <row r="715" spans="1:11" ht="30" customHeight="1">
      <c r="A715" s="30">
        <v>25007</v>
      </c>
      <c r="B715" s="16" t="s">
        <v>269</v>
      </c>
      <c r="C715" s="15" t="s">
        <v>1895</v>
      </c>
      <c r="D715" s="15" t="s">
        <v>274</v>
      </c>
      <c r="E715" s="15">
        <v>0.21</v>
      </c>
      <c r="F715" s="131">
        <v>36900.085867604212</v>
      </c>
      <c r="G715" s="17" t="e">
        <f t="shared" si="11"/>
        <v>#VALUE!</v>
      </c>
      <c r="H715" s="141">
        <v>31</v>
      </c>
      <c r="I715" s="141">
        <v>0</v>
      </c>
      <c r="J715" s="149">
        <v>4</v>
      </c>
      <c r="K715" s="150">
        <v>8</v>
      </c>
    </row>
    <row r="716" spans="1:11" ht="30" customHeight="1">
      <c r="A716" s="30">
        <v>25008</v>
      </c>
      <c r="B716" s="16" t="s">
        <v>269</v>
      </c>
      <c r="C716" s="15" t="s">
        <v>1895</v>
      </c>
      <c r="D716" s="15" t="s">
        <v>275</v>
      </c>
      <c r="E716" s="15">
        <v>0.21</v>
      </c>
      <c r="F716" s="131">
        <v>43769.782704658217</v>
      </c>
      <c r="G716" s="17" t="e">
        <f t="shared" si="11"/>
        <v>#VALUE!</v>
      </c>
      <c r="H716" s="141">
        <v>35</v>
      </c>
      <c r="I716" s="141">
        <v>0</v>
      </c>
      <c r="J716" s="149">
        <v>4</v>
      </c>
      <c r="K716" s="150">
        <v>8</v>
      </c>
    </row>
    <row r="717" spans="1:11" ht="30" customHeight="1">
      <c r="A717" s="30">
        <v>25010</v>
      </c>
      <c r="B717" s="16" t="s">
        <v>269</v>
      </c>
      <c r="C717" s="15" t="s">
        <v>1896</v>
      </c>
      <c r="D717" s="15" t="s">
        <v>273</v>
      </c>
      <c r="E717" s="15">
        <v>0.21</v>
      </c>
      <c r="F717" s="131">
        <v>27086.23324324139</v>
      </c>
      <c r="G717" s="17" t="e">
        <f t="shared" si="11"/>
        <v>#VALUE!</v>
      </c>
      <c r="H717" s="141">
        <v>298</v>
      </c>
      <c r="I717" s="141">
        <v>112</v>
      </c>
      <c r="J717" s="149">
        <v>4</v>
      </c>
      <c r="K717" s="150">
        <v>16</v>
      </c>
    </row>
    <row r="718" spans="1:11" ht="30" customHeight="1">
      <c r="A718" s="30">
        <v>25012</v>
      </c>
      <c r="B718" s="16" t="s">
        <v>269</v>
      </c>
      <c r="C718" s="15" t="s">
        <v>1896</v>
      </c>
      <c r="D718" s="15" t="s">
        <v>274</v>
      </c>
      <c r="E718" s="15">
        <v>0.21</v>
      </c>
      <c r="F718" s="131">
        <v>34544.761237757157</v>
      </c>
      <c r="G718" s="17" t="e">
        <f t="shared" si="11"/>
        <v>#VALUE!</v>
      </c>
      <c r="H718" s="141">
        <v>235</v>
      </c>
      <c r="I718" s="141">
        <v>180</v>
      </c>
      <c r="J718" s="149">
        <v>4</v>
      </c>
      <c r="K718" s="150">
        <v>12</v>
      </c>
    </row>
    <row r="719" spans="1:11" ht="30" customHeight="1">
      <c r="A719" s="30">
        <v>25013</v>
      </c>
      <c r="B719" s="16" t="s">
        <v>269</v>
      </c>
      <c r="C719" s="15" t="s">
        <v>1896</v>
      </c>
      <c r="D719" s="15" t="s">
        <v>275</v>
      </c>
      <c r="E719" s="15">
        <v>0.21</v>
      </c>
      <c r="F719" s="131">
        <v>41610.735127298394</v>
      </c>
      <c r="G719" s="17" t="e">
        <f t="shared" si="11"/>
        <v>#VALUE!</v>
      </c>
      <c r="H719" s="141">
        <v>288</v>
      </c>
      <c r="I719" s="141">
        <v>120</v>
      </c>
      <c r="J719" s="149">
        <v>4</v>
      </c>
      <c r="K719" s="150">
        <v>8</v>
      </c>
    </row>
    <row r="720" spans="1:11" ht="30" customHeight="1">
      <c r="A720" s="30">
        <v>25043</v>
      </c>
      <c r="B720" s="16" t="s">
        <v>269</v>
      </c>
      <c r="C720" s="15" t="s">
        <v>1896</v>
      </c>
      <c r="D720" s="15" t="s">
        <v>291</v>
      </c>
      <c r="E720" s="15">
        <v>0.21</v>
      </c>
      <c r="F720" s="131">
        <v>27184.371769485027</v>
      </c>
      <c r="G720" s="17" t="e">
        <f t="shared" si="11"/>
        <v>#VALUE!</v>
      </c>
      <c r="H720" s="141">
        <v>151</v>
      </c>
      <c r="I720" s="141">
        <v>16</v>
      </c>
      <c r="J720" s="149">
        <v>4</v>
      </c>
      <c r="K720" s="150">
        <v>16</v>
      </c>
    </row>
    <row r="721" spans="1:11" ht="30" customHeight="1">
      <c r="A721" s="30">
        <v>25044</v>
      </c>
      <c r="B721" s="16" t="s">
        <v>269</v>
      </c>
      <c r="C721" s="15" t="s">
        <v>1896</v>
      </c>
      <c r="D721" s="15" t="s">
        <v>292</v>
      </c>
      <c r="E721" s="15">
        <v>0.21</v>
      </c>
      <c r="F721" s="131">
        <v>42395.843337247417</v>
      </c>
      <c r="G721" s="17" t="e">
        <f t="shared" si="11"/>
        <v>#VALUE!</v>
      </c>
      <c r="H721" s="141">
        <v>108</v>
      </c>
      <c r="I721" s="141">
        <v>16</v>
      </c>
      <c r="J721" s="149">
        <v>4</v>
      </c>
      <c r="K721" s="150">
        <v>8</v>
      </c>
    </row>
    <row r="722" spans="1:11" ht="30" customHeight="1">
      <c r="A722" s="30">
        <v>25016</v>
      </c>
      <c r="B722" s="16" t="s">
        <v>269</v>
      </c>
      <c r="C722" s="15" t="s">
        <v>1896</v>
      </c>
      <c r="D722" s="15" t="s">
        <v>276</v>
      </c>
      <c r="E722" s="15">
        <v>0.21</v>
      </c>
      <c r="F722" s="131">
        <v>116097.87654621218</v>
      </c>
      <c r="G722" s="17" t="e">
        <f t="shared" si="11"/>
        <v>#VALUE!</v>
      </c>
      <c r="H722" s="141">
        <v>216</v>
      </c>
      <c r="I722" s="141">
        <v>0</v>
      </c>
      <c r="J722" s="149">
        <v>0</v>
      </c>
      <c r="K722" s="150">
        <v>4</v>
      </c>
    </row>
    <row r="723" spans="1:11" ht="30" customHeight="1">
      <c r="A723" s="31">
        <v>25045</v>
      </c>
      <c r="B723" s="16" t="s">
        <v>269</v>
      </c>
      <c r="C723" s="15" t="s">
        <v>1896</v>
      </c>
      <c r="D723" s="15" t="s">
        <v>2611</v>
      </c>
      <c r="E723" s="15">
        <v>0.21</v>
      </c>
      <c r="F723" s="131">
        <v>82150.451891981298</v>
      </c>
      <c r="G723" s="17" t="e">
        <f t="shared" si="11"/>
        <v>#VALUE!</v>
      </c>
      <c r="H723" s="141">
        <v>50</v>
      </c>
      <c r="I723" s="141">
        <v>0</v>
      </c>
      <c r="J723" s="149">
        <v>0</v>
      </c>
      <c r="K723" s="150">
        <v>6</v>
      </c>
    </row>
    <row r="724" spans="1:11" ht="30" customHeight="1">
      <c r="A724" s="31">
        <v>25046</v>
      </c>
      <c r="B724" s="16" t="s">
        <v>269</v>
      </c>
      <c r="C724" s="15" t="s">
        <v>1896</v>
      </c>
      <c r="D724" s="15" t="s">
        <v>2611</v>
      </c>
      <c r="E724" s="15">
        <v>0.21</v>
      </c>
      <c r="F724" s="131">
        <v>98893.071163444882</v>
      </c>
      <c r="G724" s="17" t="e">
        <f t="shared" si="11"/>
        <v>#VALUE!</v>
      </c>
      <c r="H724" s="141">
        <v>27</v>
      </c>
      <c r="I724" s="141">
        <v>0</v>
      </c>
      <c r="J724" s="149">
        <v>0</v>
      </c>
      <c r="K724" s="150">
        <v>4</v>
      </c>
    </row>
    <row r="725" spans="1:11" ht="30" customHeight="1">
      <c r="A725" s="31">
        <v>25047</v>
      </c>
      <c r="B725" s="16" t="s">
        <v>269</v>
      </c>
      <c r="C725" s="15" t="s">
        <v>1896</v>
      </c>
      <c r="D725" s="15" t="s">
        <v>2612</v>
      </c>
      <c r="E725" s="15">
        <v>0.21</v>
      </c>
      <c r="F725" s="131">
        <v>122221.12068168413</v>
      </c>
      <c r="G725" s="17" t="e">
        <f t="shared" si="11"/>
        <v>#VALUE!</v>
      </c>
      <c r="H725" s="141">
        <v>80</v>
      </c>
      <c r="I725" s="141">
        <v>0</v>
      </c>
      <c r="J725" s="149">
        <v>0</v>
      </c>
      <c r="K725" s="150">
        <v>4</v>
      </c>
    </row>
    <row r="726" spans="1:11" ht="30" customHeight="1">
      <c r="A726" s="30">
        <v>25022</v>
      </c>
      <c r="B726" s="16" t="s">
        <v>269</v>
      </c>
      <c r="C726" s="15" t="s">
        <v>1897</v>
      </c>
      <c r="D726" s="15" t="s">
        <v>277</v>
      </c>
      <c r="E726" s="15">
        <v>0.21</v>
      </c>
      <c r="F726" s="131">
        <v>19431.42819623839</v>
      </c>
      <c r="G726" s="17" t="e">
        <f t="shared" si="11"/>
        <v>#VALUE!</v>
      </c>
      <c r="H726" s="141">
        <v>1103</v>
      </c>
      <c r="I726" s="141">
        <v>72</v>
      </c>
      <c r="J726" s="149">
        <v>6</v>
      </c>
      <c r="K726" s="150">
        <v>24</v>
      </c>
    </row>
    <row r="727" spans="1:11" ht="30" customHeight="1">
      <c r="A727" s="30">
        <v>25025</v>
      </c>
      <c r="B727" s="16" t="s">
        <v>269</v>
      </c>
      <c r="C727" s="15" t="s">
        <v>1897</v>
      </c>
      <c r="D727" s="15" t="s">
        <v>278</v>
      </c>
      <c r="E727" s="15">
        <v>0.21</v>
      </c>
      <c r="F727" s="131">
        <v>30521.081661768392</v>
      </c>
      <c r="G727" s="17" t="e">
        <f t="shared" si="11"/>
        <v>#VALUE!</v>
      </c>
      <c r="H727" s="141">
        <v>161</v>
      </c>
      <c r="I727" s="141">
        <v>0</v>
      </c>
      <c r="J727" s="149">
        <v>4</v>
      </c>
      <c r="K727" s="150">
        <v>16</v>
      </c>
    </row>
    <row r="728" spans="1:11" ht="30" customHeight="1">
      <c r="A728" s="31">
        <v>25027</v>
      </c>
      <c r="B728" s="16" t="s">
        <v>269</v>
      </c>
      <c r="C728" s="15" t="s">
        <v>3154</v>
      </c>
      <c r="D728" s="15" t="s">
        <v>2613</v>
      </c>
      <c r="E728" s="15">
        <v>0.21</v>
      </c>
      <c r="F728" s="131">
        <v>15403.209729746493</v>
      </c>
      <c r="G728" s="17" t="e">
        <f t="shared" si="11"/>
        <v>#VALUE!</v>
      </c>
      <c r="H728" s="141">
        <v>130</v>
      </c>
      <c r="I728" s="141">
        <v>36</v>
      </c>
      <c r="J728" s="149">
        <v>6</v>
      </c>
      <c r="K728" s="150">
        <v>36</v>
      </c>
    </row>
    <row r="729" spans="1:11" ht="30" customHeight="1">
      <c r="A729" s="30">
        <v>25028</v>
      </c>
      <c r="B729" s="16" t="s">
        <v>269</v>
      </c>
      <c r="C729" s="15" t="s">
        <v>279</v>
      </c>
      <c r="D729" s="15" t="s">
        <v>280</v>
      </c>
      <c r="E729" s="15">
        <v>0.21</v>
      </c>
      <c r="F729" s="131">
        <v>14811.21558992977</v>
      </c>
      <c r="G729" s="17" t="e">
        <f t="shared" si="11"/>
        <v>#VALUE!</v>
      </c>
      <c r="H729" s="141">
        <v>441</v>
      </c>
      <c r="I729" s="141">
        <v>144</v>
      </c>
      <c r="J729" s="149">
        <v>6</v>
      </c>
      <c r="K729" s="150">
        <v>36</v>
      </c>
    </row>
    <row r="730" spans="1:11" ht="30" customHeight="1">
      <c r="A730" s="30">
        <v>25030</v>
      </c>
      <c r="B730" s="16" t="s">
        <v>269</v>
      </c>
      <c r="C730" s="15" t="s">
        <v>279</v>
      </c>
      <c r="D730" s="15" t="s">
        <v>281</v>
      </c>
      <c r="E730" s="15">
        <v>0.21</v>
      </c>
      <c r="F730" s="131">
        <v>21416.202209789451</v>
      </c>
      <c r="G730" s="17" t="e">
        <f t="shared" si="11"/>
        <v>#VALUE!</v>
      </c>
      <c r="H730" s="141">
        <v>542</v>
      </c>
      <c r="I730" s="141">
        <v>240</v>
      </c>
      <c r="J730" s="149">
        <v>6</v>
      </c>
      <c r="K730" s="150">
        <v>24</v>
      </c>
    </row>
    <row r="731" spans="1:11" ht="30" customHeight="1">
      <c r="A731" s="30">
        <v>25031</v>
      </c>
      <c r="B731" s="16" t="s">
        <v>269</v>
      </c>
      <c r="C731" s="15" t="s">
        <v>279</v>
      </c>
      <c r="D731" s="15" t="s">
        <v>282</v>
      </c>
      <c r="E731" s="15">
        <v>0.21</v>
      </c>
      <c r="F731" s="131">
        <v>23217.546748099907</v>
      </c>
      <c r="G731" s="17" t="e">
        <f t="shared" si="11"/>
        <v>#VALUE!</v>
      </c>
      <c r="H731" s="141">
        <v>353</v>
      </c>
      <c r="I731" s="141">
        <v>72</v>
      </c>
      <c r="J731" s="149">
        <v>6</v>
      </c>
      <c r="K731" s="150">
        <v>24</v>
      </c>
    </row>
    <row r="732" spans="1:11" ht="30" customHeight="1">
      <c r="A732" s="31">
        <v>25185</v>
      </c>
      <c r="B732" s="16" t="s">
        <v>269</v>
      </c>
      <c r="C732" s="15" t="s">
        <v>3155</v>
      </c>
      <c r="D732" s="15" t="s">
        <v>2903</v>
      </c>
      <c r="E732" s="15">
        <v>0.21</v>
      </c>
      <c r="F732" s="131">
        <v>23063.331600000001</v>
      </c>
      <c r="G732" s="17" t="e">
        <f t="shared" si="11"/>
        <v>#VALUE!</v>
      </c>
      <c r="H732" s="141">
        <v>118</v>
      </c>
      <c r="I732" s="141">
        <v>120</v>
      </c>
      <c r="J732" s="149">
        <v>6</v>
      </c>
      <c r="K732" s="150">
        <v>24</v>
      </c>
    </row>
    <row r="733" spans="1:11" ht="30" customHeight="1">
      <c r="A733" s="30">
        <v>25158</v>
      </c>
      <c r="B733" s="16" t="s">
        <v>269</v>
      </c>
      <c r="C733" s="15" t="s">
        <v>324</v>
      </c>
      <c r="D733" s="15" t="s">
        <v>130</v>
      </c>
      <c r="E733" s="15">
        <v>0.21</v>
      </c>
      <c r="F733" s="131">
        <v>20115.240595352123</v>
      </c>
      <c r="G733" s="17" t="e">
        <f t="shared" si="11"/>
        <v>#VALUE!</v>
      </c>
      <c r="H733" s="141">
        <v>161</v>
      </c>
      <c r="I733" s="141">
        <v>36</v>
      </c>
      <c r="J733" s="149">
        <v>6</v>
      </c>
      <c r="K733" s="150">
        <v>36</v>
      </c>
    </row>
    <row r="734" spans="1:11" ht="30" customHeight="1">
      <c r="A734" s="30">
        <v>25160</v>
      </c>
      <c r="B734" s="16" t="s">
        <v>269</v>
      </c>
      <c r="C734" s="15" t="s">
        <v>324</v>
      </c>
      <c r="D734" s="15" t="s">
        <v>131</v>
      </c>
      <c r="E734" s="15">
        <v>0.21</v>
      </c>
      <c r="F734" s="131">
        <v>21816.491555071552</v>
      </c>
      <c r="G734" s="17" t="e">
        <f t="shared" si="11"/>
        <v>#VALUE!</v>
      </c>
      <c r="H734" s="141">
        <v>238</v>
      </c>
      <c r="I734" s="141">
        <v>24</v>
      </c>
      <c r="J734" s="149">
        <v>6</v>
      </c>
      <c r="K734" s="150">
        <v>24</v>
      </c>
    </row>
    <row r="735" spans="1:11" ht="30" customHeight="1">
      <c r="A735" s="31">
        <v>25190</v>
      </c>
      <c r="B735" s="16" t="s">
        <v>269</v>
      </c>
      <c r="C735" s="15" t="s">
        <v>3155</v>
      </c>
      <c r="D735" s="15" t="s">
        <v>2614</v>
      </c>
      <c r="E735" s="15">
        <v>0.21</v>
      </c>
      <c r="F735" s="131">
        <v>33150.38615749788</v>
      </c>
      <c r="G735" s="17" t="e">
        <f t="shared" si="11"/>
        <v>#VALUE!</v>
      </c>
      <c r="H735" s="141">
        <v>211</v>
      </c>
      <c r="I735" s="141">
        <v>0</v>
      </c>
      <c r="J735" s="149">
        <v>6</v>
      </c>
      <c r="K735" s="150">
        <v>24</v>
      </c>
    </row>
    <row r="736" spans="1:11" ht="30" customHeight="1">
      <c r="A736" s="30">
        <v>25171</v>
      </c>
      <c r="B736" s="16" t="s">
        <v>269</v>
      </c>
      <c r="C736" s="15" t="s">
        <v>326</v>
      </c>
      <c r="D736" s="15" t="s">
        <v>327</v>
      </c>
      <c r="E736" s="15">
        <v>0.21</v>
      </c>
      <c r="F736" s="131">
        <v>51212.150999999998</v>
      </c>
      <c r="G736" s="17" t="e">
        <f t="shared" si="11"/>
        <v>#VALUE!</v>
      </c>
      <c r="H736" s="141">
        <v>193</v>
      </c>
      <c r="I736" s="141">
        <v>32</v>
      </c>
      <c r="J736" s="149">
        <v>4</v>
      </c>
      <c r="K736" s="150">
        <v>16</v>
      </c>
    </row>
    <row r="737" spans="1:11" ht="30" customHeight="1">
      <c r="A737" s="30">
        <v>25172</v>
      </c>
      <c r="B737" s="16" t="s">
        <v>269</v>
      </c>
      <c r="C737" s="15" t="s">
        <v>328</v>
      </c>
      <c r="D737" s="15" t="s">
        <v>329</v>
      </c>
      <c r="E737" s="15">
        <v>0.21</v>
      </c>
      <c r="F737" s="131">
        <v>54145.001400000008</v>
      </c>
      <c r="G737" s="17" t="e">
        <f t="shared" si="11"/>
        <v>#VALUE!</v>
      </c>
      <c r="H737" s="141">
        <v>642</v>
      </c>
      <c r="I737" s="141">
        <v>0</v>
      </c>
      <c r="J737" s="149">
        <v>4</v>
      </c>
      <c r="K737" s="150">
        <v>16</v>
      </c>
    </row>
    <row r="738" spans="1:11" ht="30" customHeight="1">
      <c r="A738" s="30">
        <v>25167</v>
      </c>
      <c r="B738" s="16" t="s">
        <v>269</v>
      </c>
      <c r="C738" s="15" t="s">
        <v>325</v>
      </c>
      <c r="D738" s="15" t="s">
        <v>294</v>
      </c>
      <c r="E738" s="15">
        <v>0.21</v>
      </c>
      <c r="F738" s="131">
        <v>27420.712327184981</v>
      </c>
      <c r="G738" s="17" t="e">
        <f t="shared" si="11"/>
        <v>#VALUE!</v>
      </c>
      <c r="H738" s="141">
        <v>413</v>
      </c>
      <c r="I738" s="141">
        <v>0</v>
      </c>
      <c r="J738" s="149">
        <v>4</v>
      </c>
      <c r="K738" s="150">
        <v>16</v>
      </c>
    </row>
    <row r="739" spans="1:11" ht="30" customHeight="1">
      <c r="A739" s="30">
        <v>25188</v>
      </c>
      <c r="B739" s="16" t="s">
        <v>269</v>
      </c>
      <c r="C739" s="15" t="s">
        <v>330</v>
      </c>
      <c r="D739" s="15" t="s">
        <v>272</v>
      </c>
      <c r="E739" s="15">
        <v>0.21</v>
      </c>
      <c r="F739" s="131">
        <v>20868.389600000002</v>
      </c>
      <c r="G739" s="17" t="e">
        <f t="shared" si="11"/>
        <v>#VALUE!</v>
      </c>
      <c r="H739" s="141">
        <v>65</v>
      </c>
      <c r="I739" s="141">
        <v>0</v>
      </c>
      <c r="J739" s="149">
        <v>6</v>
      </c>
      <c r="K739" s="150">
        <v>24</v>
      </c>
    </row>
    <row r="740" spans="1:11" ht="30" customHeight="1">
      <c r="A740" s="30">
        <v>25040</v>
      </c>
      <c r="B740" s="16" t="s">
        <v>269</v>
      </c>
      <c r="C740" s="15" t="s">
        <v>287</v>
      </c>
      <c r="D740" s="15" t="s">
        <v>288</v>
      </c>
      <c r="E740" s="15">
        <v>0.21</v>
      </c>
      <c r="F740" s="131">
        <v>32560.969231185329</v>
      </c>
      <c r="G740" s="17" t="e">
        <f t="shared" si="11"/>
        <v>#VALUE!</v>
      </c>
      <c r="H740" s="141">
        <v>106</v>
      </c>
      <c r="I740" s="141">
        <v>0</v>
      </c>
      <c r="J740" s="149">
        <v>4</v>
      </c>
      <c r="K740" s="150">
        <v>16</v>
      </c>
    </row>
    <row r="741" spans="1:11" ht="30" customHeight="1">
      <c r="A741" s="30">
        <v>25033</v>
      </c>
      <c r="B741" s="16" t="s">
        <v>269</v>
      </c>
      <c r="C741" s="15" t="s">
        <v>1898</v>
      </c>
      <c r="D741" s="15" t="s">
        <v>283</v>
      </c>
      <c r="E741" s="15">
        <v>0.21</v>
      </c>
      <c r="F741" s="131">
        <v>10938.498855778291</v>
      </c>
      <c r="G741" s="17" t="e">
        <f t="shared" si="11"/>
        <v>#VALUE!</v>
      </c>
      <c r="H741" s="141">
        <v>549</v>
      </c>
      <c r="I741" s="141">
        <v>72</v>
      </c>
      <c r="J741" s="149">
        <v>6</v>
      </c>
      <c r="K741" s="150">
        <v>36</v>
      </c>
    </row>
    <row r="742" spans="1:11" ht="30" customHeight="1">
      <c r="A742" s="30">
        <v>25035</v>
      </c>
      <c r="B742" s="16" t="s">
        <v>269</v>
      </c>
      <c r="C742" s="15" t="s">
        <v>1898</v>
      </c>
      <c r="D742" s="15" t="s">
        <v>284</v>
      </c>
      <c r="E742" s="15">
        <v>0.21</v>
      </c>
      <c r="F742" s="131">
        <v>13698.666378734841</v>
      </c>
      <c r="G742" s="17" t="e">
        <f t="shared" si="11"/>
        <v>#VALUE!</v>
      </c>
      <c r="H742" s="141">
        <v>1071</v>
      </c>
      <c r="I742" s="141">
        <v>240</v>
      </c>
      <c r="J742" s="149">
        <v>4</v>
      </c>
      <c r="K742" s="150">
        <v>24</v>
      </c>
    </row>
    <row r="743" spans="1:11" ht="30" customHeight="1">
      <c r="A743" s="30">
        <v>25037</v>
      </c>
      <c r="B743" s="16" t="s">
        <v>269</v>
      </c>
      <c r="C743" s="15" t="s">
        <v>1898</v>
      </c>
      <c r="D743" s="15" t="s">
        <v>285</v>
      </c>
      <c r="E743" s="15">
        <v>0.21</v>
      </c>
      <c r="F743" s="131">
        <v>18707.80210003884</v>
      </c>
      <c r="G743" s="17" t="e">
        <f t="shared" si="11"/>
        <v>#VALUE!</v>
      </c>
      <c r="H743" s="141">
        <v>362</v>
      </c>
      <c r="I743" s="141">
        <v>80</v>
      </c>
      <c r="J743" s="149">
        <v>4</v>
      </c>
      <c r="K743" s="150">
        <v>16</v>
      </c>
    </row>
    <row r="744" spans="1:11" ht="30" customHeight="1">
      <c r="A744" s="30">
        <v>25038</v>
      </c>
      <c r="B744" s="16" t="s">
        <v>269</v>
      </c>
      <c r="C744" s="15" t="s">
        <v>1898</v>
      </c>
      <c r="D744" s="15" t="s">
        <v>286</v>
      </c>
      <c r="E744" s="15">
        <v>0.21</v>
      </c>
      <c r="F744" s="131">
        <v>19116.658616415236</v>
      </c>
      <c r="G744" s="17" t="e">
        <f t="shared" si="11"/>
        <v>#VALUE!</v>
      </c>
      <c r="H744" s="141">
        <v>325</v>
      </c>
      <c r="I744" s="141">
        <v>0</v>
      </c>
      <c r="J744" s="149">
        <v>4</v>
      </c>
      <c r="K744" s="150">
        <v>16</v>
      </c>
    </row>
    <row r="745" spans="1:11" ht="30" customHeight="1">
      <c r="A745" s="31">
        <v>25173</v>
      </c>
      <c r="B745" s="16" t="s">
        <v>269</v>
      </c>
      <c r="C745" s="15" t="s">
        <v>3558</v>
      </c>
      <c r="D745" s="15" t="s">
        <v>2615</v>
      </c>
      <c r="E745" s="15">
        <v>0.21</v>
      </c>
      <c r="F745" s="131">
        <v>14071.70779984428</v>
      </c>
      <c r="G745" s="17" t="e">
        <f t="shared" si="11"/>
        <v>#VALUE!</v>
      </c>
      <c r="H745" s="141">
        <v>241</v>
      </c>
      <c r="I745" s="141">
        <v>0</v>
      </c>
      <c r="J745" s="149">
        <v>6</v>
      </c>
      <c r="K745" s="150">
        <v>36</v>
      </c>
    </row>
    <row r="746" spans="1:11" ht="30" customHeight="1">
      <c r="A746" s="31">
        <v>25175</v>
      </c>
      <c r="B746" s="16" t="s">
        <v>269</v>
      </c>
      <c r="C746" s="15" t="s">
        <v>3558</v>
      </c>
      <c r="D746" s="15" t="s">
        <v>2616</v>
      </c>
      <c r="E746" s="15">
        <v>0.21</v>
      </c>
      <c r="F746" s="131">
        <v>19679.230456925085</v>
      </c>
      <c r="G746" s="17" t="e">
        <f t="shared" si="11"/>
        <v>#VALUE!</v>
      </c>
      <c r="H746" s="141">
        <v>145</v>
      </c>
      <c r="I746" s="141">
        <v>0</v>
      </c>
      <c r="J746" s="149">
        <v>4</v>
      </c>
      <c r="K746" s="150">
        <v>24</v>
      </c>
    </row>
    <row r="747" spans="1:11" ht="30" customHeight="1">
      <c r="A747" s="31">
        <v>25177</v>
      </c>
      <c r="B747" s="16" t="s">
        <v>269</v>
      </c>
      <c r="C747" s="15" t="s">
        <v>3558</v>
      </c>
      <c r="D747" s="15" t="s">
        <v>2617</v>
      </c>
      <c r="E747" s="15">
        <v>0.21</v>
      </c>
      <c r="F747" s="131">
        <v>26662.183199704956</v>
      </c>
      <c r="G747" s="17" t="e">
        <f t="shared" si="11"/>
        <v>#VALUE!</v>
      </c>
      <c r="H747" s="141">
        <v>121</v>
      </c>
      <c r="I747" s="141">
        <v>0</v>
      </c>
      <c r="J747" s="149">
        <v>4</v>
      </c>
      <c r="K747" s="150">
        <v>16</v>
      </c>
    </row>
    <row r="748" spans="1:11" ht="30" customHeight="1">
      <c r="A748" s="30">
        <v>25042</v>
      </c>
      <c r="B748" s="16" t="s">
        <v>269</v>
      </c>
      <c r="C748" s="15" t="s">
        <v>289</v>
      </c>
      <c r="D748" s="15" t="s">
        <v>290</v>
      </c>
      <c r="E748" s="15">
        <v>0.21</v>
      </c>
      <c r="F748" s="131">
        <v>22447.620000000003</v>
      </c>
      <c r="G748" s="17" t="e">
        <f t="shared" si="11"/>
        <v>#VALUE!</v>
      </c>
      <c r="H748" s="141">
        <v>516</v>
      </c>
      <c r="I748" s="141">
        <v>0</v>
      </c>
      <c r="J748" s="149">
        <v>6</v>
      </c>
      <c r="K748" s="150">
        <v>36</v>
      </c>
    </row>
    <row r="749" spans="1:11" ht="30" customHeight="1">
      <c r="A749" s="30">
        <v>25053</v>
      </c>
      <c r="B749" s="16" t="s">
        <v>269</v>
      </c>
      <c r="C749" s="15" t="s">
        <v>293</v>
      </c>
      <c r="D749" s="15" t="s">
        <v>294</v>
      </c>
      <c r="E749" s="15">
        <v>0.21</v>
      </c>
      <c r="F749" s="131">
        <v>29122.04825598641</v>
      </c>
      <c r="G749" s="17" t="e">
        <f t="shared" si="11"/>
        <v>#VALUE!</v>
      </c>
      <c r="H749" s="141">
        <v>171</v>
      </c>
      <c r="I749" s="141">
        <v>0</v>
      </c>
      <c r="J749" s="149">
        <v>6</v>
      </c>
      <c r="K749" s="150">
        <v>24</v>
      </c>
    </row>
    <row r="750" spans="1:11" ht="30" customHeight="1">
      <c r="A750" s="31">
        <v>25054</v>
      </c>
      <c r="B750" s="16" t="s">
        <v>269</v>
      </c>
      <c r="C750" s="15" t="s">
        <v>293</v>
      </c>
      <c r="D750" s="15" t="s">
        <v>331</v>
      </c>
      <c r="E750" s="15">
        <v>0.21</v>
      </c>
      <c r="F750" s="131">
        <v>34824.648084644257</v>
      </c>
      <c r="G750" s="17" t="e">
        <f t="shared" si="11"/>
        <v>#VALUE!</v>
      </c>
      <c r="H750" s="141">
        <v>110</v>
      </c>
      <c r="I750" s="141">
        <v>18</v>
      </c>
      <c r="J750" s="149">
        <v>6</v>
      </c>
      <c r="K750" s="150">
        <v>18</v>
      </c>
    </row>
    <row r="751" spans="1:11" ht="30" customHeight="1">
      <c r="A751" s="31">
        <v>25051</v>
      </c>
      <c r="B751" s="16" t="s">
        <v>269</v>
      </c>
      <c r="C751" s="15" t="s">
        <v>293</v>
      </c>
      <c r="D751" s="15" t="s">
        <v>332</v>
      </c>
      <c r="E751" s="15">
        <v>0.21</v>
      </c>
      <c r="F751" s="131">
        <v>58487.549988312778</v>
      </c>
      <c r="G751" s="17" t="e">
        <f t="shared" si="11"/>
        <v>#VALUE!</v>
      </c>
      <c r="H751" s="141">
        <v>25</v>
      </c>
      <c r="I751" s="141">
        <v>0</v>
      </c>
      <c r="J751" s="149">
        <v>0</v>
      </c>
      <c r="K751" s="150">
        <v>12</v>
      </c>
    </row>
    <row r="752" spans="1:11" ht="30" customHeight="1">
      <c r="A752" s="31">
        <v>25052</v>
      </c>
      <c r="B752" s="16" t="s">
        <v>269</v>
      </c>
      <c r="C752" s="15" t="s">
        <v>293</v>
      </c>
      <c r="D752" s="15" t="s">
        <v>274</v>
      </c>
      <c r="E752" s="15">
        <v>0.21</v>
      </c>
      <c r="F752" s="131">
        <v>63733.570693371359</v>
      </c>
      <c r="G752" s="17" t="e">
        <f t="shared" si="11"/>
        <v>#VALUE!</v>
      </c>
      <c r="H752" s="141">
        <v>51</v>
      </c>
      <c r="I752" s="141">
        <v>0</v>
      </c>
      <c r="J752" s="149">
        <v>0</v>
      </c>
      <c r="K752" s="150">
        <v>8</v>
      </c>
    </row>
    <row r="753" spans="1:11" ht="30" customHeight="1">
      <c r="A753" s="30">
        <v>25253</v>
      </c>
      <c r="B753" s="16" t="s">
        <v>269</v>
      </c>
      <c r="C753" s="15" t="s">
        <v>293</v>
      </c>
      <c r="D753" s="15" t="s">
        <v>294</v>
      </c>
      <c r="E753" s="15">
        <v>0.21</v>
      </c>
      <c r="F753" s="131">
        <v>26319.937869929705</v>
      </c>
      <c r="G753" s="17" t="e">
        <f t="shared" si="11"/>
        <v>#VALUE!</v>
      </c>
      <c r="H753" s="141">
        <v>408</v>
      </c>
      <c r="I753" s="141">
        <v>24</v>
      </c>
      <c r="J753" s="149">
        <v>6</v>
      </c>
      <c r="K753" s="150">
        <v>24</v>
      </c>
    </row>
    <row r="754" spans="1:11" ht="30" customHeight="1">
      <c r="A754" s="30">
        <v>25254</v>
      </c>
      <c r="B754" s="16" t="s">
        <v>269</v>
      </c>
      <c r="C754" s="15" t="s">
        <v>293</v>
      </c>
      <c r="D754" s="15" t="s">
        <v>331</v>
      </c>
      <c r="E754" s="15">
        <v>0.21</v>
      </c>
      <c r="F754" s="131">
        <v>28258.259879462672</v>
      </c>
      <c r="G754" s="17" t="e">
        <f t="shared" si="11"/>
        <v>#VALUE!</v>
      </c>
      <c r="H754" s="141">
        <v>183</v>
      </c>
      <c r="I754" s="141">
        <v>0</v>
      </c>
      <c r="J754" s="149">
        <v>6</v>
      </c>
      <c r="K754" s="150">
        <v>24</v>
      </c>
    </row>
    <row r="755" spans="1:11" ht="30" customHeight="1">
      <c r="A755" s="30">
        <v>25255</v>
      </c>
      <c r="B755" s="16" t="s">
        <v>269</v>
      </c>
      <c r="C755" s="15" t="s">
        <v>293</v>
      </c>
      <c r="D755" s="15" t="s">
        <v>273</v>
      </c>
      <c r="E755" s="15">
        <v>0.21</v>
      </c>
      <c r="F755" s="131">
        <v>34090.925619707625</v>
      </c>
      <c r="G755" s="17" t="e">
        <f t="shared" si="11"/>
        <v>#VALUE!</v>
      </c>
      <c r="H755" s="141">
        <v>112</v>
      </c>
      <c r="I755" s="141">
        <v>0</v>
      </c>
      <c r="J755" s="149">
        <v>6</v>
      </c>
      <c r="K755" s="150">
        <v>12</v>
      </c>
    </row>
    <row r="756" spans="1:11" ht="30" customHeight="1">
      <c r="A756" s="30">
        <v>25256</v>
      </c>
      <c r="B756" s="16" t="s">
        <v>269</v>
      </c>
      <c r="C756" s="15" t="s">
        <v>293</v>
      </c>
      <c r="D756" s="15" t="s">
        <v>332</v>
      </c>
      <c r="E756" s="15">
        <v>0.21</v>
      </c>
      <c r="F756" s="131">
        <v>58226.094200031592</v>
      </c>
      <c r="G756" s="17" t="e">
        <f t="shared" si="11"/>
        <v>#VALUE!</v>
      </c>
      <c r="H756" s="141">
        <v>39</v>
      </c>
      <c r="I756" s="141">
        <v>0</v>
      </c>
      <c r="J756" s="149">
        <v>0</v>
      </c>
      <c r="K756" s="150">
        <v>12</v>
      </c>
    </row>
    <row r="757" spans="1:11" ht="30" customHeight="1">
      <c r="A757" s="31">
        <v>25261</v>
      </c>
      <c r="B757" s="16" t="s">
        <v>269</v>
      </c>
      <c r="C757" s="15" t="s">
        <v>293</v>
      </c>
      <c r="D757" s="15" t="s">
        <v>273</v>
      </c>
      <c r="E757" s="15">
        <v>0.21</v>
      </c>
      <c r="F757" s="131">
        <v>36779.942206775057</v>
      </c>
      <c r="G757" s="17" t="e">
        <f t="shared" si="11"/>
        <v>#VALUE!</v>
      </c>
      <c r="H757" s="141">
        <v>95</v>
      </c>
      <c r="I757" s="141">
        <v>0</v>
      </c>
      <c r="J757" s="149">
        <v>4</v>
      </c>
      <c r="K757" s="150">
        <v>12</v>
      </c>
    </row>
    <row r="758" spans="1:11" ht="30" customHeight="1">
      <c r="A758" s="31">
        <v>25262</v>
      </c>
      <c r="B758" s="16" t="s">
        <v>269</v>
      </c>
      <c r="C758" s="15" t="s">
        <v>293</v>
      </c>
      <c r="D758" s="15" t="s">
        <v>275</v>
      </c>
      <c r="E758" s="15">
        <v>0.21</v>
      </c>
      <c r="F758" s="131">
        <v>68097.516759078586</v>
      </c>
      <c r="G758" s="17" t="e">
        <f t="shared" si="11"/>
        <v>#VALUE!</v>
      </c>
      <c r="H758" s="141">
        <v>10</v>
      </c>
      <c r="I758" s="141">
        <v>18</v>
      </c>
      <c r="J758" s="149">
        <v>0</v>
      </c>
      <c r="K758" s="150">
        <v>6</v>
      </c>
    </row>
    <row r="759" spans="1:11" ht="30" customHeight="1">
      <c r="A759" s="30">
        <v>25056</v>
      </c>
      <c r="B759" s="16" t="s">
        <v>269</v>
      </c>
      <c r="C759" s="15" t="s">
        <v>295</v>
      </c>
      <c r="D759" s="15" t="s">
        <v>296</v>
      </c>
      <c r="E759" s="15">
        <v>0.21</v>
      </c>
      <c r="F759" s="131">
        <v>11803.388201847287</v>
      </c>
      <c r="G759" s="17" t="e">
        <f t="shared" si="11"/>
        <v>#VALUE!</v>
      </c>
      <c r="H759" s="141">
        <v>132</v>
      </c>
      <c r="I759" s="141">
        <v>60</v>
      </c>
      <c r="J759" s="149">
        <v>10</v>
      </c>
      <c r="K759" s="150">
        <v>60</v>
      </c>
    </row>
    <row r="760" spans="1:11" ht="30" customHeight="1">
      <c r="A760" s="31">
        <v>25058</v>
      </c>
      <c r="B760" s="16" t="s">
        <v>269</v>
      </c>
      <c r="C760" s="15" t="s">
        <v>295</v>
      </c>
      <c r="D760" s="15" t="s">
        <v>80</v>
      </c>
      <c r="E760" s="15">
        <v>0.21</v>
      </c>
      <c r="F760" s="131">
        <v>14287.035111648922</v>
      </c>
      <c r="G760" s="17" t="e">
        <f t="shared" si="11"/>
        <v>#VALUE!</v>
      </c>
      <c r="H760" s="141">
        <v>108</v>
      </c>
      <c r="I760" s="141">
        <v>60</v>
      </c>
      <c r="J760" s="149">
        <v>10</v>
      </c>
      <c r="K760" s="150">
        <v>60</v>
      </c>
    </row>
    <row r="761" spans="1:11" ht="30" customHeight="1">
      <c r="A761" s="30">
        <v>25060</v>
      </c>
      <c r="B761" s="16" t="s">
        <v>269</v>
      </c>
      <c r="C761" s="15" t="s">
        <v>295</v>
      </c>
      <c r="D761" s="15" t="s">
        <v>297</v>
      </c>
      <c r="E761" s="15">
        <v>0.21</v>
      </c>
      <c r="F761" s="131">
        <v>12178.098938413867</v>
      </c>
      <c r="G761" s="17" t="e">
        <f t="shared" si="11"/>
        <v>#VALUE!</v>
      </c>
      <c r="H761" s="141">
        <v>116</v>
      </c>
      <c r="I761" s="141">
        <v>60</v>
      </c>
      <c r="J761" s="149">
        <v>10</v>
      </c>
      <c r="K761" s="150">
        <v>60</v>
      </c>
    </row>
    <row r="762" spans="1:11" ht="30" customHeight="1">
      <c r="A762" s="31">
        <v>25061</v>
      </c>
      <c r="B762" s="16" t="s">
        <v>269</v>
      </c>
      <c r="C762" s="15" t="s">
        <v>295</v>
      </c>
      <c r="D762" s="15" t="s">
        <v>82</v>
      </c>
      <c r="E762" s="15">
        <v>0.21</v>
      </c>
      <c r="F762" s="131">
        <v>14733.504958887954</v>
      </c>
      <c r="G762" s="17" t="e">
        <f t="shared" si="11"/>
        <v>#VALUE!</v>
      </c>
      <c r="H762" s="141">
        <v>128</v>
      </c>
      <c r="I762" s="141">
        <v>0</v>
      </c>
      <c r="J762" s="149">
        <v>10</v>
      </c>
      <c r="K762" s="150">
        <v>60</v>
      </c>
    </row>
    <row r="763" spans="1:11" ht="30" customHeight="1">
      <c r="A763" s="30">
        <v>25062</v>
      </c>
      <c r="B763" s="16" t="s">
        <v>269</v>
      </c>
      <c r="C763" s="15" t="s">
        <v>295</v>
      </c>
      <c r="D763" s="15" t="s">
        <v>298</v>
      </c>
      <c r="E763" s="15">
        <v>0.21</v>
      </c>
      <c r="F763" s="131">
        <v>12646.487359122091</v>
      </c>
      <c r="G763" s="17" t="e">
        <f t="shared" si="11"/>
        <v>#VALUE!</v>
      </c>
      <c r="H763" s="141">
        <v>102</v>
      </c>
      <c r="I763" s="141">
        <v>60</v>
      </c>
      <c r="J763" s="149">
        <v>10</v>
      </c>
      <c r="K763" s="150">
        <v>60</v>
      </c>
    </row>
    <row r="764" spans="1:11" ht="30" customHeight="1">
      <c r="A764" s="31">
        <v>25063</v>
      </c>
      <c r="B764" s="16" t="s">
        <v>269</v>
      </c>
      <c r="C764" s="15" t="s">
        <v>295</v>
      </c>
      <c r="D764" s="15" t="s">
        <v>84</v>
      </c>
      <c r="E764" s="15">
        <v>0.21</v>
      </c>
      <c r="F764" s="131">
        <v>15291.592267936736</v>
      </c>
      <c r="G764" s="17" t="e">
        <f t="shared" si="11"/>
        <v>#VALUE!</v>
      </c>
      <c r="H764" s="141">
        <v>130</v>
      </c>
      <c r="I764" s="141">
        <v>0</v>
      </c>
      <c r="J764" s="149">
        <v>10</v>
      </c>
      <c r="K764" s="150">
        <v>60</v>
      </c>
    </row>
    <row r="765" spans="1:11" ht="30" customHeight="1">
      <c r="A765" s="30">
        <v>25065</v>
      </c>
      <c r="B765" s="16" t="s">
        <v>269</v>
      </c>
      <c r="C765" s="15" t="s">
        <v>295</v>
      </c>
      <c r="D765" s="15" t="s">
        <v>299</v>
      </c>
      <c r="E765" s="15">
        <v>0.21</v>
      </c>
      <c r="F765" s="131">
        <v>13021.198095688673</v>
      </c>
      <c r="G765" s="17" t="e">
        <f t="shared" si="11"/>
        <v>#VALUE!</v>
      </c>
      <c r="H765" s="141">
        <v>134</v>
      </c>
      <c r="I765" s="141">
        <v>60</v>
      </c>
      <c r="J765" s="149">
        <v>10</v>
      </c>
      <c r="K765" s="150">
        <v>60</v>
      </c>
    </row>
    <row r="766" spans="1:11" ht="30" customHeight="1">
      <c r="A766" s="31">
        <v>25066</v>
      </c>
      <c r="B766" s="16" t="s">
        <v>269</v>
      </c>
      <c r="C766" s="15" t="s">
        <v>295</v>
      </c>
      <c r="D766" s="15" t="s">
        <v>124</v>
      </c>
      <c r="E766" s="15">
        <v>0.21</v>
      </c>
      <c r="F766" s="131">
        <v>15626.44465336601</v>
      </c>
      <c r="G766" s="17" t="e">
        <f t="shared" si="11"/>
        <v>#VALUE!</v>
      </c>
      <c r="H766" s="141">
        <v>82</v>
      </c>
      <c r="I766" s="141">
        <v>0</v>
      </c>
      <c r="J766" s="149">
        <v>10</v>
      </c>
      <c r="K766" s="150">
        <v>60</v>
      </c>
    </row>
    <row r="767" spans="1:11" ht="30" customHeight="1">
      <c r="A767" s="30">
        <v>25067</v>
      </c>
      <c r="B767" s="16" t="s">
        <v>269</v>
      </c>
      <c r="C767" s="15" t="s">
        <v>295</v>
      </c>
      <c r="D767" s="15" t="s">
        <v>300</v>
      </c>
      <c r="E767" s="15">
        <v>0.21</v>
      </c>
      <c r="F767" s="131">
        <v>13302.231148113609</v>
      </c>
      <c r="G767" s="17" t="e">
        <f t="shared" si="11"/>
        <v>#VALUE!</v>
      </c>
      <c r="H767" s="141">
        <v>150</v>
      </c>
      <c r="I767" s="141">
        <v>60</v>
      </c>
      <c r="J767" s="149">
        <v>10</v>
      </c>
      <c r="K767" s="150">
        <v>60</v>
      </c>
    </row>
    <row r="768" spans="1:11" ht="30" customHeight="1">
      <c r="A768" s="31">
        <v>25068</v>
      </c>
      <c r="B768" s="16" t="s">
        <v>269</v>
      </c>
      <c r="C768" s="15" t="s">
        <v>295</v>
      </c>
      <c r="D768" s="15" t="s">
        <v>125</v>
      </c>
      <c r="E768" s="15">
        <v>0.21</v>
      </c>
      <c r="F768" s="131">
        <v>15961.297038795276</v>
      </c>
      <c r="G768" s="17" t="e">
        <f t="shared" si="11"/>
        <v>#VALUE!</v>
      </c>
      <c r="H768" s="141">
        <v>102</v>
      </c>
      <c r="I768" s="141">
        <v>60</v>
      </c>
      <c r="J768" s="149">
        <v>10</v>
      </c>
      <c r="K768" s="150">
        <v>60</v>
      </c>
    </row>
    <row r="769" spans="1:11" ht="30" customHeight="1">
      <c r="A769" s="30">
        <v>25069</v>
      </c>
      <c r="B769" s="16" t="s">
        <v>269</v>
      </c>
      <c r="C769" s="15" t="s">
        <v>295</v>
      </c>
      <c r="D769" s="15" t="s">
        <v>301</v>
      </c>
      <c r="E769" s="15">
        <v>0.21</v>
      </c>
      <c r="F769" s="131">
        <v>13770.619568821838</v>
      </c>
      <c r="G769" s="17" t="e">
        <f t="shared" si="11"/>
        <v>#VALUE!</v>
      </c>
      <c r="H769" s="141">
        <v>98</v>
      </c>
      <c r="I769" s="141">
        <v>60</v>
      </c>
      <c r="J769" s="149">
        <v>10</v>
      </c>
      <c r="K769" s="150">
        <v>60</v>
      </c>
    </row>
    <row r="770" spans="1:11" ht="30" customHeight="1">
      <c r="A770" s="31">
        <v>25070</v>
      </c>
      <c r="B770" s="16" t="s">
        <v>269</v>
      </c>
      <c r="C770" s="15" t="s">
        <v>295</v>
      </c>
      <c r="D770" s="15" t="s">
        <v>129</v>
      </c>
      <c r="E770" s="15">
        <v>0.21</v>
      </c>
      <c r="F770" s="131">
        <v>17077.471656892856</v>
      </c>
      <c r="G770" s="17" t="e">
        <f t="shared" si="11"/>
        <v>#VALUE!</v>
      </c>
      <c r="H770" s="141">
        <v>44</v>
      </c>
      <c r="I770" s="141">
        <v>0</v>
      </c>
      <c r="J770" s="149">
        <v>10</v>
      </c>
      <c r="K770" s="150">
        <v>60</v>
      </c>
    </row>
    <row r="771" spans="1:11" ht="30" customHeight="1">
      <c r="A771" s="30">
        <v>25071</v>
      </c>
      <c r="B771" s="16" t="s">
        <v>269</v>
      </c>
      <c r="C771" s="15" t="s">
        <v>295</v>
      </c>
      <c r="D771" s="15" t="s">
        <v>302</v>
      </c>
      <c r="E771" s="15">
        <v>0.21</v>
      </c>
      <c r="F771" s="131">
        <v>14520.041041954997</v>
      </c>
      <c r="G771" s="17" t="e">
        <f t="shared" si="11"/>
        <v>#VALUE!</v>
      </c>
      <c r="H771" s="141">
        <v>158</v>
      </c>
      <c r="I771" s="141">
        <v>0</v>
      </c>
      <c r="J771" s="149">
        <v>10</v>
      </c>
      <c r="K771" s="150">
        <v>60</v>
      </c>
    </row>
    <row r="772" spans="1:11" ht="30" customHeight="1">
      <c r="A772" s="31">
        <v>25072</v>
      </c>
      <c r="B772" s="16" t="s">
        <v>269</v>
      </c>
      <c r="C772" s="15" t="s">
        <v>295</v>
      </c>
      <c r="D772" s="15" t="s">
        <v>720</v>
      </c>
      <c r="E772" s="15">
        <v>0.21</v>
      </c>
      <c r="F772" s="131">
        <v>17635.55896594164</v>
      </c>
      <c r="G772" s="17" t="e">
        <f t="shared" si="11"/>
        <v>#VALUE!</v>
      </c>
      <c r="H772" s="141">
        <v>107</v>
      </c>
      <c r="I772" s="141">
        <v>0</v>
      </c>
      <c r="J772" s="149">
        <v>10</v>
      </c>
      <c r="K772" s="150">
        <v>60</v>
      </c>
    </row>
    <row r="773" spans="1:11" ht="30" customHeight="1">
      <c r="A773" s="30">
        <v>25073</v>
      </c>
      <c r="B773" s="16" t="s">
        <v>269</v>
      </c>
      <c r="C773" s="15" t="s">
        <v>295</v>
      </c>
      <c r="D773" s="15" t="s">
        <v>303</v>
      </c>
      <c r="E773" s="15">
        <v>0.21</v>
      </c>
      <c r="F773" s="131">
        <v>15269.462515088146</v>
      </c>
      <c r="G773" s="17" t="e">
        <f t="shared" si="11"/>
        <v>#VALUE!</v>
      </c>
      <c r="H773" s="141">
        <v>38</v>
      </c>
      <c r="I773" s="141">
        <v>0</v>
      </c>
      <c r="J773" s="149">
        <v>10</v>
      </c>
      <c r="K773" s="150">
        <v>40</v>
      </c>
    </row>
    <row r="774" spans="1:11" ht="30" customHeight="1">
      <c r="A774" s="30">
        <v>25075</v>
      </c>
      <c r="B774" s="16" t="s">
        <v>269</v>
      </c>
      <c r="C774" s="15" t="s">
        <v>295</v>
      </c>
      <c r="D774" s="15" t="s">
        <v>304</v>
      </c>
      <c r="E774" s="15">
        <v>0.21</v>
      </c>
      <c r="F774" s="131">
        <v>16206.239356504606</v>
      </c>
      <c r="G774" s="17" t="e">
        <f t="shared" si="11"/>
        <v>#VALUE!</v>
      </c>
      <c r="H774" s="141">
        <v>66</v>
      </c>
      <c r="I774" s="141">
        <v>0</v>
      </c>
      <c r="J774" s="149">
        <v>10</v>
      </c>
      <c r="K774" s="150">
        <v>40</v>
      </c>
    </row>
    <row r="775" spans="1:11" ht="30" customHeight="1">
      <c r="A775" s="30">
        <v>25079</v>
      </c>
      <c r="B775" s="16" t="s">
        <v>269</v>
      </c>
      <c r="C775" s="15" t="s">
        <v>295</v>
      </c>
      <c r="D775" s="15" t="s">
        <v>305</v>
      </c>
      <c r="E775" s="15">
        <v>0.21</v>
      </c>
      <c r="F775" s="131">
        <v>20234.379774595356</v>
      </c>
      <c r="G775" s="17" t="e">
        <f t="shared" si="11"/>
        <v>#VALUE!</v>
      </c>
      <c r="H775" s="141">
        <v>75</v>
      </c>
      <c r="I775" s="141">
        <v>0</v>
      </c>
      <c r="J775" s="149">
        <v>10</v>
      </c>
      <c r="K775" s="150">
        <v>40</v>
      </c>
    </row>
    <row r="776" spans="1:11" ht="30" customHeight="1">
      <c r="A776" s="30">
        <v>25082</v>
      </c>
      <c r="B776" s="16" t="s">
        <v>269</v>
      </c>
      <c r="C776" s="15" t="s">
        <v>1899</v>
      </c>
      <c r="D776" s="15" t="s">
        <v>306</v>
      </c>
      <c r="E776" s="15">
        <v>0.21</v>
      </c>
      <c r="F776" s="131">
        <v>12496.603064495466</v>
      </c>
      <c r="G776" s="17" t="e">
        <f t="shared" si="11"/>
        <v>#VALUE!</v>
      </c>
      <c r="H776" s="141">
        <v>88</v>
      </c>
      <c r="I776" s="141">
        <v>0</v>
      </c>
      <c r="J776" s="149">
        <v>6</v>
      </c>
      <c r="K776" s="150">
        <v>36</v>
      </c>
    </row>
    <row r="777" spans="1:11" ht="30" customHeight="1">
      <c r="A777" s="30">
        <v>25085</v>
      </c>
      <c r="B777" s="16" t="s">
        <v>269</v>
      </c>
      <c r="C777" s="15" t="s">
        <v>1899</v>
      </c>
      <c r="D777" s="15" t="s">
        <v>307</v>
      </c>
      <c r="E777" s="15">
        <v>0.21</v>
      </c>
      <c r="F777" s="131">
        <v>15513.024493856441</v>
      </c>
      <c r="G777" s="17" t="e">
        <f t="shared" ref="G777:G840" si="12">(F777*$G$6)</f>
        <v>#VALUE!</v>
      </c>
      <c r="H777" s="141">
        <v>0</v>
      </c>
      <c r="I777" s="141">
        <v>0</v>
      </c>
      <c r="J777" s="149" t="e">
        <v>#N/A</v>
      </c>
      <c r="K777" s="150" t="e">
        <v>#N/A</v>
      </c>
    </row>
    <row r="778" spans="1:11" ht="30" customHeight="1">
      <c r="A778" s="31">
        <v>25083</v>
      </c>
      <c r="B778" s="16" t="s">
        <v>269</v>
      </c>
      <c r="C778" s="15" t="s">
        <v>1899</v>
      </c>
      <c r="D778" s="15" t="s">
        <v>306</v>
      </c>
      <c r="E778" s="15">
        <v>0.21</v>
      </c>
      <c r="F778" s="131">
        <v>13059.243031741591</v>
      </c>
      <c r="G778" s="17" t="e">
        <f t="shared" si="12"/>
        <v>#VALUE!</v>
      </c>
      <c r="H778" s="141">
        <v>97</v>
      </c>
      <c r="I778" s="141">
        <v>0</v>
      </c>
      <c r="J778" s="149">
        <v>6</v>
      </c>
      <c r="K778" s="150">
        <v>36</v>
      </c>
    </row>
    <row r="779" spans="1:11" ht="30" customHeight="1">
      <c r="A779" s="31">
        <v>25084</v>
      </c>
      <c r="B779" s="16" t="s">
        <v>269</v>
      </c>
      <c r="C779" s="15" t="s">
        <v>1899</v>
      </c>
      <c r="D779" s="15" t="s">
        <v>307</v>
      </c>
      <c r="E779" s="15">
        <v>0.21</v>
      </c>
      <c r="F779" s="131">
        <v>16519.384347844069</v>
      </c>
      <c r="G779" s="17" t="e">
        <f t="shared" si="12"/>
        <v>#VALUE!</v>
      </c>
      <c r="H779" s="141">
        <v>103</v>
      </c>
      <c r="I779" s="141">
        <v>0</v>
      </c>
      <c r="J779" s="149">
        <v>6</v>
      </c>
      <c r="K779" s="150">
        <v>36</v>
      </c>
    </row>
    <row r="780" spans="1:11" ht="30" customHeight="1">
      <c r="A780" s="30">
        <v>25086</v>
      </c>
      <c r="B780" s="16" t="s">
        <v>269</v>
      </c>
      <c r="C780" s="15" t="s">
        <v>1900</v>
      </c>
      <c r="D780" s="15" t="s">
        <v>308</v>
      </c>
      <c r="E780" s="15">
        <v>0.21</v>
      </c>
      <c r="F780" s="131">
        <v>12496.603064495466</v>
      </c>
      <c r="G780" s="17" t="e">
        <f t="shared" si="12"/>
        <v>#VALUE!</v>
      </c>
      <c r="H780" s="141">
        <v>165</v>
      </c>
      <c r="I780" s="141">
        <v>0</v>
      </c>
      <c r="J780" s="149" t="e">
        <v>#N/A</v>
      </c>
      <c r="K780" s="150" t="e">
        <v>#N/A</v>
      </c>
    </row>
    <row r="781" spans="1:11" ht="30" customHeight="1">
      <c r="A781" s="30">
        <v>25089</v>
      </c>
      <c r="B781" s="16" t="s">
        <v>269</v>
      </c>
      <c r="C781" s="15" t="s">
        <v>1900</v>
      </c>
      <c r="D781" s="15" t="s">
        <v>309</v>
      </c>
      <c r="E781" s="15">
        <v>0.21</v>
      </c>
      <c r="F781" s="131">
        <v>15513.024493856441</v>
      </c>
      <c r="G781" s="17" t="e">
        <f t="shared" si="12"/>
        <v>#VALUE!</v>
      </c>
      <c r="H781" s="141">
        <v>0</v>
      </c>
      <c r="I781" s="141">
        <v>0</v>
      </c>
      <c r="J781" s="149" t="e">
        <v>#N/A</v>
      </c>
      <c r="K781" s="150" t="e">
        <v>#N/A</v>
      </c>
    </row>
    <row r="782" spans="1:11" ht="30" customHeight="1">
      <c r="A782" s="31">
        <v>25087</v>
      </c>
      <c r="B782" s="16" t="s">
        <v>269</v>
      </c>
      <c r="C782" s="15" t="s">
        <v>1900</v>
      </c>
      <c r="D782" s="15" t="s">
        <v>308</v>
      </c>
      <c r="E782" s="15">
        <v>0.21</v>
      </c>
      <c r="F782" s="131">
        <v>13059.243031741591</v>
      </c>
      <c r="G782" s="17" t="e">
        <f t="shared" si="12"/>
        <v>#VALUE!</v>
      </c>
      <c r="H782" s="141">
        <v>73</v>
      </c>
      <c r="I782" s="141">
        <v>36</v>
      </c>
      <c r="J782" s="149">
        <v>6</v>
      </c>
      <c r="K782" s="150">
        <v>36</v>
      </c>
    </row>
    <row r="783" spans="1:11" ht="30" customHeight="1">
      <c r="A783" s="31">
        <v>25088</v>
      </c>
      <c r="B783" s="16" t="s">
        <v>269</v>
      </c>
      <c r="C783" s="15" t="s">
        <v>1900</v>
      </c>
      <c r="D783" s="15" t="s">
        <v>309</v>
      </c>
      <c r="E783" s="15">
        <v>0.21</v>
      </c>
      <c r="F783" s="131">
        <v>16519.384347844069</v>
      </c>
      <c r="G783" s="17" t="e">
        <f t="shared" si="12"/>
        <v>#VALUE!</v>
      </c>
      <c r="H783" s="141">
        <v>127</v>
      </c>
      <c r="I783" s="141">
        <v>72</v>
      </c>
      <c r="J783" s="149">
        <v>6</v>
      </c>
      <c r="K783" s="150">
        <v>36</v>
      </c>
    </row>
    <row r="784" spans="1:11" ht="30" customHeight="1">
      <c r="A784" s="30">
        <v>25090</v>
      </c>
      <c r="B784" s="16" t="s">
        <v>269</v>
      </c>
      <c r="C784" s="15" t="s">
        <v>310</v>
      </c>
      <c r="D784" s="15" t="s">
        <v>311</v>
      </c>
      <c r="E784" s="15">
        <v>0.21</v>
      </c>
      <c r="F784" s="131">
        <v>41218.989097130674</v>
      </c>
      <c r="G784" s="17" t="e">
        <f t="shared" si="12"/>
        <v>#VALUE!</v>
      </c>
      <c r="H784" s="141">
        <v>384</v>
      </c>
      <c r="I784" s="141">
        <v>0</v>
      </c>
      <c r="J784" s="149">
        <v>5</v>
      </c>
      <c r="K784" s="150">
        <v>20</v>
      </c>
    </row>
    <row r="785" spans="1:11" ht="30" customHeight="1">
      <c r="A785" s="30">
        <v>25091</v>
      </c>
      <c r="B785" s="16" t="s">
        <v>269</v>
      </c>
      <c r="C785" s="15" t="s">
        <v>312</v>
      </c>
      <c r="D785" s="15" t="s">
        <v>313</v>
      </c>
      <c r="E785" s="15">
        <v>0.21</v>
      </c>
      <c r="F785" s="131">
        <v>40348.95044738194</v>
      </c>
      <c r="G785" s="17" t="e">
        <f t="shared" si="12"/>
        <v>#VALUE!</v>
      </c>
      <c r="H785" s="141">
        <v>215</v>
      </c>
      <c r="I785" s="141">
        <v>0</v>
      </c>
      <c r="J785" s="149">
        <v>5</v>
      </c>
      <c r="K785" s="150">
        <v>20</v>
      </c>
    </row>
    <row r="786" spans="1:11" ht="30" customHeight="1">
      <c r="A786" s="30">
        <v>25093</v>
      </c>
      <c r="B786" s="16" t="s">
        <v>269</v>
      </c>
      <c r="C786" s="15" t="s">
        <v>314</v>
      </c>
      <c r="D786" s="15" t="s">
        <v>315</v>
      </c>
      <c r="E786" s="15">
        <v>0.21</v>
      </c>
      <c r="F786" s="131">
        <v>17883.069902640054</v>
      </c>
      <c r="G786" s="17" t="e">
        <f t="shared" si="12"/>
        <v>#VALUE!</v>
      </c>
      <c r="H786" s="141">
        <v>672</v>
      </c>
      <c r="I786" s="141">
        <v>0</v>
      </c>
      <c r="J786" s="149">
        <v>10</v>
      </c>
      <c r="K786" s="150">
        <v>40</v>
      </c>
    </row>
    <row r="787" spans="1:11" ht="30" customHeight="1">
      <c r="A787" s="30">
        <v>25094</v>
      </c>
      <c r="B787" s="16" t="s">
        <v>269</v>
      </c>
      <c r="C787" s="15" t="s">
        <v>316</v>
      </c>
      <c r="D787" s="15" t="s">
        <v>317</v>
      </c>
      <c r="E787" s="15">
        <v>0.21</v>
      </c>
      <c r="F787" s="131">
        <v>9008.2013466905755</v>
      </c>
      <c r="G787" s="17" t="e">
        <f t="shared" si="12"/>
        <v>#VALUE!</v>
      </c>
      <c r="H787" s="141">
        <v>368</v>
      </c>
      <c r="I787" s="141">
        <v>96</v>
      </c>
      <c r="J787" s="149">
        <v>12</v>
      </c>
      <c r="K787" s="150">
        <v>96</v>
      </c>
    </row>
    <row r="788" spans="1:11" ht="30" customHeight="1">
      <c r="A788" s="30">
        <v>25097</v>
      </c>
      <c r="B788" s="16" t="s">
        <v>269</v>
      </c>
      <c r="C788" s="15" t="s">
        <v>316</v>
      </c>
      <c r="D788" s="15" t="s">
        <v>318</v>
      </c>
      <c r="E788" s="15">
        <v>0.21</v>
      </c>
      <c r="F788" s="131">
        <v>14281.290268027569</v>
      </c>
      <c r="G788" s="17" t="e">
        <f t="shared" si="12"/>
        <v>#VALUE!</v>
      </c>
      <c r="H788" s="141">
        <v>273</v>
      </c>
      <c r="I788" s="141">
        <v>0</v>
      </c>
      <c r="J788" s="149">
        <v>6</v>
      </c>
      <c r="K788" s="150">
        <v>48</v>
      </c>
    </row>
    <row r="789" spans="1:11" ht="30" customHeight="1">
      <c r="A789" s="30">
        <v>25101</v>
      </c>
      <c r="B789" s="16" t="s">
        <v>269</v>
      </c>
      <c r="C789" s="15" t="s">
        <v>319</v>
      </c>
      <c r="D789" s="15" t="s">
        <v>317</v>
      </c>
      <c r="E789" s="15">
        <v>0.21</v>
      </c>
      <c r="F789" s="131">
        <v>21421.88876560202</v>
      </c>
      <c r="G789" s="17" t="e">
        <f t="shared" si="12"/>
        <v>#VALUE!</v>
      </c>
      <c r="H789" s="141">
        <v>494</v>
      </c>
      <c r="I789" s="141">
        <v>0</v>
      </c>
      <c r="J789" s="149">
        <v>6</v>
      </c>
      <c r="K789" s="150">
        <v>36</v>
      </c>
    </row>
    <row r="790" spans="1:11" ht="30" customHeight="1">
      <c r="A790" s="30">
        <v>25104</v>
      </c>
      <c r="B790" s="16" t="s">
        <v>269</v>
      </c>
      <c r="C790" s="15" t="s">
        <v>319</v>
      </c>
      <c r="D790" s="15" t="s">
        <v>318</v>
      </c>
      <c r="E790" s="15">
        <v>0.21</v>
      </c>
      <c r="F790" s="131">
        <v>37021.404627524513</v>
      </c>
      <c r="G790" s="17" t="e">
        <f t="shared" si="12"/>
        <v>#VALUE!</v>
      </c>
      <c r="H790" s="141">
        <v>190</v>
      </c>
      <c r="I790" s="141">
        <v>0</v>
      </c>
      <c r="J790" s="149">
        <v>6</v>
      </c>
      <c r="K790" s="150">
        <v>18</v>
      </c>
    </row>
    <row r="791" spans="1:11" ht="30" customHeight="1">
      <c r="A791" s="30">
        <v>25109</v>
      </c>
      <c r="B791" s="16" t="s">
        <v>269</v>
      </c>
      <c r="C791" s="15" t="s">
        <v>320</v>
      </c>
      <c r="D791" s="15" t="s">
        <v>321</v>
      </c>
      <c r="E791" s="15">
        <v>0.21</v>
      </c>
      <c r="F791" s="131">
        <v>21470.434015038485</v>
      </c>
      <c r="G791" s="17" t="e">
        <f t="shared" si="12"/>
        <v>#VALUE!</v>
      </c>
      <c r="H791" s="141">
        <v>235</v>
      </c>
      <c r="I791" s="141">
        <v>36</v>
      </c>
      <c r="J791" s="149">
        <v>6</v>
      </c>
      <c r="K791" s="150">
        <v>12</v>
      </c>
    </row>
    <row r="792" spans="1:11" ht="30" customHeight="1">
      <c r="A792" s="30">
        <v>25111</v>
      </c>
      <c r="B792" s="16" t="s">
        <v>269</v>
      </c>
      <c r="C792" s="15" t="s">
        <v>320</v>
      </c>
      <c r="D792" s="15" t="s">
        <v>322</v>
      </c>
      <c r="E792" s="15">
        <v>0.21</v>
      </c>
      <c r="F792" s="131">
        <v>30766.910598869588</v>
      </c>
      <c r="G792" s="17" t="e">
        <f t="shared" si="12"/>
        <v>#VALUE!</v>
      </c>
      <c r="H792" s="141">
        <v>73</v>
      </c>
      <c r="I792" s="141">
        <v>36</v>
      </c>
      <c r="J792" s="149">
        <v>6</v>
      </c>
      <c r="K792" s="150">
        <v>12</v>
      </c>
    </row>
    <row r="793" spans="1:11" ht="30" customHeight="1">
      <c r="A793" s="31">
        <v>25113</v>
      </c>
      <c r="B793" s="16" t="s">
        <v>269</v>
      </c>
      <c r="C793" s="15" t="s">
        <v>1901</v>
      </c>
      <c r="D793" s="15" t="s">
        <v>2622</v>
      </c>
      <c r="E793" s="15">
        <v>0.21</v>
      </c>
      <c r="F793" s="131">
        <v>10938.511257356207</v>
      </c>
      <c r="G793" s="17" t="e">
        <f t="shared" si="12"/>
        <v>#VALUE!</v>
      </c>
      <c r="H793" s="141">
        <v>258</v>
      </c>
      <c r="I793" s="141">
        <v>0</v>
      </c>
      <c r="J793" s="149">
        <v>20</v>
      </c>
      <c r="K793" s="150">
        <v>100</v>
      </c>
    </row>
    <row r="794" spans="1:11" ht="30" customHeight="1">
      <c r="A794" s="30">
        <v>25115</v>
      </c>
      <c r="B794" s="16" t="s">
        <v>269</v>
      </c>
      <c r="C794" s="15" t="s">
        <v>1901</v>
      </c>
      <c r="D794" s="15" t="s">
        <v>323</v>
      </c>
      <c r="E794" s="15">
        <v>0.21</v>
      </c>
      <c r="F794" s="131">
        <v>18923.721795240748</v>
      </c>
      <c r="G794" s="17" t="e">
        <f t="shared" si="12"/>
        <v>#VALUE!</v>
      </c>
      <c r="H794" s="141">
        <v>157</v>
      </c>
      <c r="I794" s="141">
        <v>20</v>
      </c>
      <c r="J794" s="149">
        <v>10</v>
      </c>
      <c r="K794" s="150">
        <v>20</v>
      </c>
    </row>
    <row r="795" spans="1:11" ht="30" customHeight="1">
      <c r="A795" s="31">
        <v>25118</v>
      </c>
      <c r="B795" s="16" t="s">
        <v>269</v>
      </c>
      <c r="C795" s="15" t="s">
        <v>3156</v>
      </c>
      <c r="D795" s="15" t="s">
        <v>2619</v>
      </c>
      <c r="E795" s="15">
        <v>0.21</v>
      </c>
      <c r="F795" s="131">
        <v>33596.856004736925</v>
      </c>
      <c r="G795" s="17" t="e">
        <f t="shared" si="12"/>
        <v>#VALUE!</v>
      </c>
      <c r="H795" s="141">
        <v>87</v>
      </c>
      <c r="I795" s="141">
        <v>0</v>
      </c>
      <c r="J795" s="149">
        <v>0</v>
      </c>
      <c r="K795" s="150">
        <v>6</v>
      </c>
    </row>
    <row r="796" spans="1:11" ht="30" customHeight="1">
      <c r="A796" s="31">
        <v>25119</v>
      </c>
      <c r="B796" s="16" t="s">
        <v>269</v>
      </c>
      <c r="C796" s="15" t="s">
        <v>3156</v>
      </c>
      <c r="D796" s="15" t="s">
        <v>2620</v>
      </c>
      <c r="E796" s="15">
        <v>0.21</v>
      </c>
      <c r="F796" s="131">
        <v>46432.864112858995</v>
      </c>
      <c r="G796" s="17" t="e">
        <f t="shared" si="12"/>
        <v>#VALUE!</v>
      </c>
      <c r="H796" s="141">
        <v>74</v>
      </c>
      <c r="I796" s="141">
        <v>0</v>
      </c>
      <c r="J796" s="149">
        <v>0</v>
      </c>
      <c r="K796" s="150">
        <v>6</v>
      </c>
    </row>
    <row r="797" spans="1:11" ht="30" customHeight="1">
      <c r="A797" s="31">
        <v>25120</v>
      </c>
      <c r="B797" s="16" t="s">
        <v>269</v>
      </c>
      <c r="C797" s="15" t="s">
        <v>3156</v>
      </c>
      <c r="D797" s="15" t="s">
        <v>2621</v>
      </c>
      <c r="E797" s="15">
        <v>0.21</v>
      </c>
      <c r="F797" s="131">
        <v>65072.980235088471</v>
      </c>
      <c r="G797" s="17" t="e">
        <f t="shared" si="12"/>
        <v>#VALUE!</v>
      </c>
      <c r="H797" s="141">
        <v>22</v>
      </c>
      <c r="I797" s="141">
        <v>8</v>
      </c>
      <c r="J797" s="149">
        <v>0</v>
      </c>
      <c r="K797" s="150">
        <v>4</v>
      </c>
    </row>
    <row r="798" spans="1:11" ht="30" customHeight="1">
      <c r="A798" s="31">
        <v>25380</v>
      </c>
      <c r="B798" s="16" t="s">
        <v>269</v>
      </c>
      <c r="C798" s="15" t="s">
        <v>2096</v>
      </c>
      <c r="D798" s="15" t="s">
        <v>2032</v>
      </c>
      <c r="E798" s="15">
        <v>0.21</v>
      </c>
      <c r="F798" s="131">
        <v>25968.608163438184</v>
      </c>
      <c r="G798" s="17" t="e">
        <f t="shared" si="12"/>
        <v>#VALUE!</v>
      </c>
      <c r="H798" s="141">
        <v>84</v>
      </c>
      <c r="I798" s="141">
        <v>24</v>
      </c>
      <c r="J798" s="149">
        <v>6</v>
      </c>
      <c r="K798" s="150">
        <v>24</v>
      </c>
    </row>
    <row r="799" spans="1:11" ht="30" customHeight="1">
      <c r="A799" s="31">
        <v>25384</v>
      </c>
      <c r="B799" s="16" t="s">
        <v>269</v>
      </c>
      <c r="C799" s="15" t="s">
        <v>3157</v>
      </c>
      <c r="D799" s="15" t="s">
        <v>2618</v>
      </c>
      <c r="E799" s="15">
        <v>0.21</v>
      </c>
      <c r="F799" s="131">
        <v>61836.073842605496</v>
      </c>
      <c r="G799" s="17" t="e">
        <f t="shared" si="12"/>
        <v>#VALUE!</v>
      </c>
      <c r="H799" s="141">
        <v>25</v>
      </c>
      <c r="I799" s="141">
        <v>12</v>
      </c>
      <c r="J799" s="149">
        <v>6</v>
      </c>
      <c r="K799" s="150">
        <v>12</v>
      </c>
    </row>
    <row r="800" spans="1:11" ht="30" customHeight="1">
      <c r="A800" s="30">
        <v>30002</v>
      </c>
      <c r="B800" s="16" t="s">
        <v>598</v>
      </c>
      <c r="C800" s="15" t="s">
        <v>599</v>
      </c>
      <c r="D800" s="15" t="s">
        <v>600</v>
      </c>
      <c r="E800" s="15">
        <v>0.21</v>
      </c>
      <c r="F800" s="131">
        <v>6969.9484352812315</v>
      </c>
      <c r="G800" s="17" t="e">
        <f t="shared" si="12"/>
        <v>#VALUE!</v>
      </c>
      <c r="H800" s="141">
        <v>7819</v>
      </c>
      <c r="I800" s="141">
        <v>1008</v>
      </c>
      <c r="J800" s="149">
        <v>12</v>
      </c>
      <c r="K800" s="150">
        <v>144</v>
      </c>
    </row>
    <row r="801" spans="1:11" ht="30" customHeight="1">
      <c r="A801" s="30">
        <v>30003</v>
      </c>
      <c r="B801" s="16" t="s">
        <v>598</v>
      </c>
      <c r="C801" s="15" t="s">
        <v>604</v>
      </c>
      <c r="D801" s="15" t="s">
        <v>600</v>
      </c>
      <c r="E801" s="15">
        <v>0.21</v>
      </c>
      <c r="F801" s="131">
        <v>6241.7102969011785</v>
      </c>
      <c r="G801" s="17" t="e">
        <f t="shared" si="12"/>
        <v>#VALUE!</v>
      </c>
      <c r="H801" s="141">
        <v>4478</v>
      </c>
      <c r="I801" s="141">
        <v>480</v>
      </c>
      <c r="J801" s="149">
        <v>12</v>
      </c>
      <c r="K801" s="150">
        <v>96</v>
      </c>
    </row>
    <row r="802" spans="1:11" ht="30" customHeight="1">
      <c r="A802" s="30">
        <v>30016</v>
      </c>
      <c r="B802" s="16" t="s">
        <v>598</v>
      </c>
      <c r="C802" s="15" t="s">
        <v>601</v>
      </c>
      <c r="D802" s="15" t="s">
        <v>602</v>
      </c>
      <c r="E802" s="15">
        <v>0.21</v>
      </c>
      <c r="F802" s="131">
        <v>14464.924096255987</v>
      </c>
      <c r="G802" s="17" t="e">
        <f t="shared" si="12"/>
        <v>#VALUE!</v>
      </c>
      <c r="H802" s="141">
        <v>912</v>
      </c>
      <c r="I802" s="141">
        <v>240</v>
      </c>
      <c r="J802" s="149">
        <v>6</v>
      </c>
      <c r="K802" s="150">
        <v>48</v>
      </c>
    </row>
    <row r="803" spans="1:11" ht="30" customHeight="1">
      <c r="A803" s="30">
        <v>30007</v>
      </c>
      <c r="B803" s="16" t="s">
        <v>598</v>
      </c>
      <c r="C803" s="15" t="s">
        <v>1889</v>
      </c>
      <c r="D803" s="15" t="s">
        <v>603</v>
      </c>
      <c r="E803" s="15">
        <v>0.21</v>
      </c>
      <c r="F803" s="131">
        <v>16281.181503817927</v>
      </c>
      <c r="G803" s="17" t="e">
        <f t="shared" si="12"/>
        <v>#VALUE!</v>
      </c>
      <c r="H803" s="141">
        <v>1196</v>
      </c>
      <c r="I803" s="141">
        <v>360</v>
      </c>
      <c r="J803" s="149">
        <v>12</v>
      </c>
      <c r="K803" s="150">
        <v>72</v>
      </c>
    </row>
    <row r="804" spans="1:11" ht="30" customHeight="1">
      <c r="A804" s="31">
        <v>30081</v>
      </c>
      <c r="B804" s="16" t="s">
        <v>598</v>
      </c>
      <c r="C804" s="15" t="s">
        <v>3158</v>
      </c>
      <c r="D804" s="15" t="s">
        <v>600</v>
      </c>
      <c r="E804" s="15">
        <v>0.21</v>
      </c>
      <c r="F804" s="131">
        <v>2790.4365452439301</v>
      </c>
      <c r="G804" s="17" t="e">
        <f t="shared" si="12"/>
        <v>#VALUE!</v>
      </c>
      <c r="H804" s="141">
        <v>1637</v>
      </c>
      <c r="I804" s="141">
        <v>240</v>
      </c>
      <c r="J804" s="149">
        <v>24</v>
      </c>
      <c r="K804" s="150">
        <v>240</v>
      </c>
    </row>
    <row r="805" spans="1:11" ht="30" customHeight="1">
      <c r="A805" s="31">
        <v>30080</v>
      </c>
      <c r="B805" s="16" t="s">
        <v>598</v>
      </c>
      <c r="C805" s="15" t="s">
        <v>2624</v>
      </c>
      <c r="D805" s="15" t="s">
        <v>2625</v>
      </c>
      <c r="E805" s="15">
        <v>0.21</v>
      </c>
      <c r="F805" s="131">
        <v>1339.4095417170863</v>
      </c>
      <c r="G805" s="17" t="e">
        <f t="shared" si="12"/>
        <v>#VALUE!</v>
      </c>
      <c r="H805" s="141">
        <v>1504</v>
      </c>
      <c r="I805" s="141">
        <v>0</v>
      </c>
      <c r="J805" s="149">
        <v>48</v>
      </c>
      <c r="K805" s="150">
        <v>480</v>
      </c>
    </row>
    <row r="806" spans="1:11" ht="30" customHeight="1">
      <c r="A806" s="31">
        <v>30005</v>
      </c>
      <c r="B806" s="16" t="s">
        <v>598</v>
      </c>
      <c r="C806" s="15" t="s">
        <v>2626</v>
      </c>
      <c r="D806" s="15" t="s">
        <v>2627</v>
      </c>
      <c r="E806" s="15">
        <v>0.21</v>
      </c>
      <c r="F806" s="131">
        <v>2035.9025034099714</v>
      </c>
      <c r="G806" s="17" t="e">
        <f t="shared" si="12"/>
        <v>#VALUE!</v>
      </c>
      <c r="H806" s="141">
        <v>3437</v>
      </c>
      <c r="I806" s="141">
        <v>0</v>
      </c>
      <c r="J806" s="149">
        <v>48</v>
      </c>
      <c r="K806" s="150">
        <v>960</v>
      </c>
    </row>
    <row r="807" spans="1:11" ht="30" customHeight="1">
      <c r="A807" s="30">
        <v>30019</v>
      </c>
      <c r="B807" s="16" t="s">
        <v>598</v>
      </c>
      <c r="C807" s="15" t="s">
        <v>3159</v>
      </c>
      <c r="D807" s="15" t="s">
        <v>603</v>
      </c>
      <c r="E807" s="15">
        <v>0.21</v>
      </c>
      <c r="F807" s="131">
        <v>31865.871820046359</v>
      </c>
      <c r="G807" s="17" t="e">
        <f t="shared" si="12"/>
        <v>#VALUE!</v>
      </c>
      <c r="H807" s="141">
        <v>576</v>
      </c>
      <c r="I807" s="141">
        <v>60</v>
      </c>
      <c r="J807" s="149">
        <v>6</v>
      </c>
      <c r="K807" s="150">
        <v>60</v>
      </c>
    </row>
    <row r="808" spans="1:11" ht="30" customHeight="1">
      <c r="A808" s="30">
        <v>30008</v>
      </c>
      <c r="B808" s="16" t="s">
        <v>598</v>
      </c>
      <c r="C808" s="15" t="s">
        <v>604</v>
      </c>
      <c r="D808" s="15" t="s">
        <v>603</v>
      </c>
      <c r="E808" s="15">
        <v>0.21</v>
      </c>
      <c r="F808" s="131">
        <v>9882.7294166166375</v>
      </c>
      <c r="G808" s="17" t="e">
        <f t="shared" si="12"/>
        <v>#VALUE!</v>
      </c>
      <c r="H808" s="141">
        <v>1316</v>
      </c>
      <c r="I808" s="141">
        <v>0</v>
      </c>
      <c r="J808" s="149">
        <v>12</v>
      </c>
      <c r="K808" s="150">
        <v>96</v>
      </c>
    </row>
    <row r="809" spans="1:11" ht="30" customHeight="1">
      <c r="A809" s="31">
        <v>30090</v>
      </c>
      <c r="B809" s="16" t="s">
        <v>598</v>
      </c>
      <c r="C809" s="15" t="s">
        <v>3160</v>
      </c>
      <c r="D809" s="15" t="s">
        <v>600</v>
      </c>
      <c r="E809" s="15">
        <v>0.21</v>
      </c>
      <c r="F809" s="131">
        <v>6964.9296169288482</v>
      </c>
      <c r="G809" s="17" t="e">
        <f t="shared" si="12"/>
        <v>#VALUE!</v>
      </c>
      <c r="H809" s="141">
        <v>668</v>
      </c>
      <c r="I809" s="141">
        <v>0</v>
      </c>
      <c r="J809" s="149">
        <v>24</v>
      </c>
      <c r="K809" s="150">
        <v>96</v>
      </c>
    </row>
    <row r="810" spans="1:11" ht="30" customHeight="1">
      <c r="A810" s="31">
        <v>30092</v>
      </c>
      <c r="B810" s="16" t="s">
        <v>598</v>
      </c>
      <c r="C810" s="15" t="s">
        <v>604</v>
      </c>
      <c r="D810" s="15" t="s">
        <v>2623</v>
      </c>
      <c r="E810" s="15">
        <v>0.21</v>
      </c>
      <c r="F810" s="131">
        <v>6536.3185635793825</v>
      </c>
      <c r="G810" s="17" t="e">
        <f t="shared" si="12"/>
        <v>#VALUE!</v>
      </c>
      <c r="H810" s="141">
        <v>843</v>
      </c>
      <c r="I810" s="141">
        <v>96</v>
      </c>
      <c r="J810" s="149">
        <v>24</v>
      </c>
      <c r="K810" s="150">
        <v>96</v>
      </c>
    </row>
    <row r="811" spans="1:11" ht="30" customHeight="1">
      <c r="A811" s="30">
        <v>30006</v>
      </c>
      <c r="B811" s="16" t="s">
        <v>598</v>
      </c>
      <c r="C811" s="15" t="s">
        <v>616</v>
      </c>
      <c r="D811" s="15" t="s">
        <v>617</v>
      </c>
      <c r="E811" s="15">
        <v>0.21</v>
      </c>
      <c r="F811" s="131">
        <v>5255.318080346291</v>
      </c>
      <c r="G811" s="17" t="e">
        <f t="shared" si="12"/>
        <v>#VALUE!</v>
      </c>
      <c r="H811" s="141">
        <v>1637</v>
      </c>
      <c r="I811" s="141">
        <v>0</v>
      </c>
      <c r="J811" s="149">
        <v>24</v>
      </c>
      <c r="K811" s="150">
        <v>120</v>
      </c>
    </row>
    <row r="812" spans="1:11" ht="30" customHeight="1">
      <c r="A812" s="31">
        <v>30014</v>
      </c>
      <c r="B812" s="16" t="s">
        <v>598</v>
      </c>
      <c r="C812" s="15" t="s">
        <v>616</v>
      </c>
      <c r="D812" s="15" t="s">
        <v>2628</v>
      </c>
      <c r="E812" s="15">
        <v>0.21</v>
      </c>
      <c r="F812" s="131">
        <v>2738.3483963993772</v>
      </c>
      <c r="G812" s="17" t="e">
        <f t="shared" si="12"/>
        <v>#VALUE!</v>
      </c>
      <c r="H812" s="141">
        <v>747</v>
      </c>
      <c r="I812" s="141">
        <v>0</v>
      </c>
      <c r="J812" s="149">
        <v>10</v>
      </c>
      <c r="K812" s="150">
        <v>200</v>
      </c>
    </row>
    <row r="813" spans="1:11" ht="30" customHeight="1">
      <c r="A813" s="31">
        <v>30101</v>
      </c>
      <c r="B813" s="16" t="s">
        <v>598</v>
      </c>
      <c r="C813" s="15" t="s">
        <v>3161</v>
      </c>
      <c r="D813" s="15" t="s">
        <v>2629</v>
      </c>
      <c r="E813" s="15">
        <v>0.21</v>
      </c>
      <c r="F813" s="131">
        <v>19533.055816707511</v>
      </c>
      <c r="G813" s="17" t="e">
        <f t="shared" si="12"/>
        <v>#VALUE!</v>
      </c>
      <c r="H813" s="141">
        <v>66</v>
      </c>
      <c r="I813" s="141">
        <v>0</v>
      </c>
      <c r="J813" s="149">
        <v>6</v>
      </c>
      <c r="K813" s="150">
        <v>48</v>
      </c>
    </row>
    <row r="814" spans="1:11" ht="30" customHeight="1">
      <c r="A814" s="31">
        <v>30102</v>
      </c>
      <c r="B814" s="16" t="s">
        <v>598</v>
      </c>
      <c r="C814" s="15" t="s">
        <v>3161</v>
      </c>
      <c r="D814" s="15" t="s">
        <v>2127</v>
      </c>
      <c r="E814" s="15">
        <v>0.21</v>
      </c>
      <c r="F814" s="131">
        <v>23662.901903668531</v>
      </c>
      <c r="G814" s="17" t="e">
        <f t="shared" si="12"/>
        <v>#VALUE!</v>
      </c>
      <c r="H814" s="141">
        <v>87</v>
      </c>
      <c r="I814" s="141">
        <v>0</v>
      </c>
      <c r="J814" s="149">
        <v>6</v>
      </c>
      <c r="K814" s="150">
        <v>36</v>
      </c>
    </row>
    <row r="815" spans="1:11" ht="30" customHeight="1">
      <c r="A815" s="30">
        <v>30010</v>
      </c>
      <c r="B815" s="16" t="s">
        <v>598</v>
      </c>
      <c r="C815" s="15" t="s">
        <v>605</v>
      </c>
      <c r="D815" s="15" t="s">
        <v>603</v>
      </c>
      <c r="E815" s="15">
        <v>0.21</v>
      </c>
      <c r="F815" s="131">
        <v>3707.4242000000004</v>
      </c>
      <c r="G815" s="17" t="e">
        <f t="shared" si="12"/>
        <v>#VALUE!</v>
      </c>
      <c r="H815" s="141">
        <v>3843</v>
      </c>
      <c r="I815" s="141">
        <v>0</v>
      </c>
      <c r="J815" s="149">
        <v>24</v>
      </c>
      <c r="K815" s="150">
        <v>240</v>
      </c>
    </row>
    <row r="816" spans="1:11" ht="30" customHeight="1">
      <c r="A816" s="30">
        <v>30011</v>
      </c>
      <c r="B816" s="16" t="s">
        <v>598</v>
      </c>
      <c r="C816" s="15" t="s">
        <v>605</v>
      </c>
      <c r="D816" s="15" t="s">
        <v>600</v>
      </c>
      <c r="E816" s="15">
        <v>0.21</v>
      </c>
      <c r="F816" s="131">
        <v>2179.6203552724251</v>
      </c>
      <c r="G816" s="17" t="e">
        <f t="shared" si="12"/>
        <v>#VALUE!</v>
      </c>
      <c r="H816" s="141">
        <v>12616</v>
      </c>
      <c r="I816" s="141">
        <v>0</v>
      </c>
      <c r="J816" s="149">
        <v>20</v>
      </c>
      <c r="K816" s="150">
        <v>240</v>
      </c>
    </row>
    <row r="817" spans="1:11" ht="30" customHeight="1">
      <c r="A817" s="31">
        <v>30012</v>
      </c>
      <c r="B817" s="16" t="s">
        <v>598</v>
      </c>
      <c r="C817" s="15" t="s">
        <v>3162</v>
      </c>
      <c r="D817" s="15" t="s">
        <v>2631</v>
      </c>
      <c r="E817" s="15">
        <v>0.21</v>
      </c>
      <c r="F817" s="131">
        <v>1821.5969767352374</v>
      </c>
      <c r="G817" s="17" t="e">
        <f t="shared" si="12"/>
        <v>#VALUE!</v>
      </c>
      <c r="H817" s="141">
        <v>1490</v>
      </c>
      <c r="I817" s="141">
        <v>0</v>
      </c>
      <c r="J817" s="149">
        <v>40</v>
      </c>
      <c r="K817" s="150">
        <v>480</v>
      </c>
    </row>
    <row r="818" spans="1:11" ht="30" customHeight="1">
      <c r="A818" s="30">
        <v>30017</v>
      </c>
      <c r="B818" s="16" t="s">
        <v>598</v>
      </c>
      <c r="C818" s="15" t="s">
        <v>605</v>
      </c>
      <c r="D818" s="15" t="s">
        <v>602</v>
      </c>
      <c r="E818" s="15">
        <v>0.21</v>
      </c>
      <c r="F818" s="131">
        <v>10904.1988</v>
      </c>
      <c r="G818" s="17" t="e">
        <f t="shared" si="12"/>
        <v>#VALUE!</v>
      </c>
      <c r="H818" s="141">
        <v>669</v>
      </c>
      <c r="I818" s="141">
        <v>0</v>
      </c>
      <c r="J818" s="149">
        <v>10</v>
      </c>
      <c r="K818" s="150">
        <v>80</v>
      </c>
    </row>
    <row r="819" spans="1:11" ht="30" customHeight="1">
      <c r="A819" s="31">
        <v>30116</v>
      </c>
      <c r="B819" s="16" t="s">
        <v>598</v>
      </c>
      <c r="C819" s="15" t="s">
        <v>3163</v>
      </c>
      <c r="D819" s="15" t="s">
        <v>2632</v>
      </c>
      <c r="E819" s="15">
        <v>0.21</v>
      </c>
      <c r="F819" s="131">
        <v>2750.8601713981302</v>
      </c>
      <c r="G819" s="17" t="e">
        <f t="shared" si="12"/>
        <v>#VALUE!</v>
      </c>
      <c r="H819" s="141">
        <v>1218</v>
      </c>
      <c r="I819" s="141">
        <v>0</v>
      </c>
      <c r="J819" s="149">
        <v>20</v>
      </c>
      <c r="K819" s="150">
        <v>240</v>
      </c>
    </row>
    <row r="820" spans="1:11" ht="30" customHeight="1">
      <c r="A820" s="31">
        <v>30121</v>
      </c>
      <c r="B820" s="16" t="s">
        <v>598</v>
      </c>
      <c r="C820" s="15" t="s">
        <v>2630</v>
      </c>
      <c r="D820" s="15" t="s">
        <v>600</v>
      </c>
      <c r="E820" s="15">
        <v>0.21</v>
      </c>
      <c r="F820" s="131">
        <v>5036.1798768562439</v>
      </c>
      <c r="G820" s="17" t="e">
        <f t="shared" si="12"/>
        <v>#VALUE!</v>
      </c>
      <c r="H820" s="141">
        <v>1382</v>
      </c>
      <c r="I820" s="141">
        <v>0</v>
      </c>
      <c r="J820" s="149">
        <v>20</v>
      </c>
      <c r="K820" s="150">
        <v>240</v>
      </c>
    </row>
    <row r="821" spans="1:11" ht="30" customHeight="1">
      <c r="A821" s="31">
        <v>30114</v>
      </c>
      <c r="B821" s="16" t="s">
        <v>598</v>
      </c>
      <c r="C821" s="15" t="s">
        <v>3559</v>
      </c>
      <c r="D821" s="15" t="s">
        <v>3560</v>
      </c>
      <c r="E821" s="15">
        <v>0.21</v>
      </c>
      <c r="F821" s="131">
        <v>7360.3326000000006</v>
      </c>
      <c r="G821" s="17" t="e">
        <f t="shared" si="12"/>
        <v>#VALUE!</v>
      </c>
      <c r="H821" s="141">
        <v>1110</v>
      </c>
      <c r="I821" s="141">
        <v>0</v>
      </c>
      <c r="J821" s="149" t="e">
        <v>#N/A</v>
      </c>
      <c r="K821" s="150" t="e">
        <v>#N/A</v>
      </c>
    </row>
    <row r="822" spans="1:11" ht="30" customHeight="1">
      <c r="A822" s="30">
        <v>30021</v>
      </c>
      <c r="B822" s="16" t="s">
        <v>598</v>
      </c>
      <c r="C822" s="15" t="s">
        <v>606</v>
      </c>
      <c r="D822" s="15" t="s">
        <v>17</v>
      </c>
      <c r="E822" s="15">
        <v>0.21</v>
      </c>
      <c r="F822" s="131">
        <v>29368.012217683547</v>
      </c>
      <c r="G822" s="17" t="e">
        <f t="shared" si="12"/>
        <v>#VALUE!</v>
      </c>
      <c r="H822" s="141">
        <v>237</v>
      </c>
      <c r="I822" s="141">
        <v>60</v>
      </c>
      <c r="J822" s="149">
        <v>5</v>
      </c>
      <c r="K822" s="150">
        <v>30</v>
      </c>
    </row>
    <row r="823" spans="1:11" ht="30" customHeight="1">
      <c r="A823" s="30">
        <v>30022</v>
      </c>
      <c r="B823" s="16" t="s">
        <v>598</v>
      </c>
      <c r="C823" s="15" t="s">
        <v>607</v>
      </c>
      <c r="D823" s="15" t="s">
        <v>17</v>
      </c>
      <c r="E823" s="15">
        <v>0.21</v>
      </c>
      <c r="F823" s="131">
        <v>29368.012217683547</v>
      </c>
      <c r="G823" s="17" t="e">
        <f t="shared" si="12"/>
        <v>#VALUE!</v>
      </c>
      <c r="H823" s="141">
        <v>1039</v>
      </c>
      <c r="I823" s="141">
        <v>210</v>
      </c>
      <c r="J823" s="149">
        <v>5</v>
      </c>
      <c r="K823" s="150">
        <v>30</v>
      </c>
    </row>
    <row r="824" spans="1:11" ht="30" customHeight="1">
      <c r="A824" s="30">
        <v>30023</v>
      </c>
      <c r="B824" s="16" t="s">
        <v>598</v>
      </c>
      <c r="C824" s="15" t="s">
        <v>608</v>
      </c>
      <c r="D824" s="15" t="s">
        <v>17</v>
      </c>
      <c r="E824" s="15">
        <v>0.21</v>
      </c>
      <c r="F824" s="131">
        <v>29368.012217683547</v>
      </c>
      <c r="G824" s="17" t="e">
        <f t="shared" si="12"/>
        <v>#VALUE!</v>
      </c>
      <c r="H824" s="141">
        <v>433</v>
      </c>
      <c r="I824" s="141">
        <v>120</v>
      </c>
      <c r="J824" s="149">
        <v>5</v>
      </c>
      <c r="K824" s="150">
        <v>30</v>
      </c>
    </row>
    <row r="825" spans="1:11" ht="30" customHeight="1">
      <c r="A825" s="31">
        <v>30024</v>
      </c>
      <c r="B825" s="16" t="s">
        <v>598</v>
      </c>
      <c r="C825" s="15" t="s">
        <v>3164</v>
      </c>
      <c r="D825" s="15" t="s">
        <v>2629</v>
      </c>
      <c r="E825" s="15">
        <v>0.21</v>
      </c>
      <c r="F825" s="131">
        <v>32592.298848449111</v>
      </c>
      <c r="G825" s="17" t="e">
        <f t="shared" si="12"/>
        <v>#VALUE!</v>
      </c>
      <c r="H825" s="141">
        <v>121</v>
      </c>
      <c r="I825" s="141">
        <v>0</v>
      </c>
      <c r="J825" s="149">
        <v>5</v>
      </c>
      <c r="K825" s="150">
        <v>30</v>
      </c>
    </row>
    <row r="826" spans="1:11" ht="30" customHeight="1">
      <c r="A826" s="31">
        <v>30028</v>
      </c>
      <c r="B826" s="16" t="s">
        <v>598</v>
      </c>
      <c r="C826" s="15" t="s">
        <v>3165</v>
      </c>
      <c r="D826" s="15" t="s">
        <v>2633</v>
      </c>
      <c r="E826" s="15">
        <v>0.21</v>
      </c>
      <c r="F826" s="131">
        <v>45539.924418380942</v>
      </c>
      <c r="G826" s="17" t="e">
        <f t="shared" si="12"/>
        <v>#VALUE!</v>
      </c>
      <c r="H826" s="141">
        <v>101</v>
      </c>
      <c r="I826" s="141">
        <v>0</v>
      </c>
      <c r="J826" s="149">
        <v>6</v>
      </c>
      <c r="K826" s="150">
        <v>24</v>
      </c>
    </row>
    <row r="827" spans="1:11" ht="30" customHeight="1">
      <c r="A827" s="30">
        <v>30030</v>
      </c>
      <c r="B827" s="16" t="s">
        <v>598</v>
      </c>
      <c r="C827" s="15" t="s">
        <v>609</v>
      </c>
      <c r="D827" s="15" t="s">
        <v>17</v>
      </c>
      <c r="E827" s="15">
        <v>0.21</v>
      </c>
      <c r="F827" s="131">
        <v>29960.109238201378</v>
      </c>
      <c r="G827" s="17" t="e">
        <f t="shared" si="12"/>
        <v>#VALUE!</v>
      </c>
      <c r="H827" s="141">
        <v>329</v>
      </c>
      <c r="I827" s="141">
        <v>0</v>
      </c>
      <c r="J827" s="149">
        <v>5</v>
      </c>
      <c r="K827" s="150">
        <v>30</v>
      </c>
    </row>
    <row r="828" spans="1:11" ht="30" customHeight="1">
      <c r="A828" s="30">
        <v>30036</v>
      </c>
      <c r="B828" s="16" t="s">
        <v>598</v>
      </c>
      <c r="C828" s="15" t="s">
        <v>610</v>
      </c>
      <c r="D828" s="15" t="s">
        <v>72</v>
      </c>
      <c r="E828" s="15">
        <v>0.21</v>
      </c>
      <c r="F828" s="131">
        <v>25933.849498680251</v>
      </c>
      <c r="G828" s="17" t="e">
        <f t="shared" si="12"/>
        <v>#VALUE!</v>
      </c>
      <c r="H828" s="141">
        <v>159</v>
      </c>
      <c r="I828" s="141">
        <v>0</v>
      </c>
      <c r="J828" s="149">
        <v>6</v>
      </c>
      <c r="K828" s="150">
        <v>24</v>
      </c>
    </row>
    <row r="829" spans="1:11" ht="30" customHeight="1">
      <c r="A829" s="30">
        <v>30037</v>
      </c>
      <c r="B829" s="16" t="s">
        <v>598</v>
      </c>
      <c r="C829" s="15" t="s">
        <v>610</v>
      </c>
      <c r="D829" s="15" t="s">
        <v>73</v>
      </c>
      <c r="E829" s="15">
        <v>0.21</v>
      </c>
      <c r="F829" s="131">
        <v>32565.336128479761</v>
      </c>
      <c r="G829" s="17" t="e">
        <f t="shared" si="12"/>
        <v>#VALUE!</v>
      </c>
      <c r="H829" s="141">
        <v>191</v>
      </c>
      <c r="I829" s="141">
        <v>0</v>
      </c>
      <c r="J829" s="149">
        <v>5</v>
      </c>
      <c r="K829" s="150">
        <v>20</v>
      </c>
    </row>
    <row r="830" spans="1:11" ht="30" customHeight="1">
      <c r="A830" s="30">
        <v>30042</v>
      </c>
      <c r="B830" s="16" t="s">
        <v>598</v>
      </c>
      <c r="C830" s="15" t="s">
        <v>611</v>
      </c>
      <c r="D830" s="15" t="s">
        <v>11</v>
      </c>
      <c r="E830" s="15">
        <v>0.21</v>
      </c>
      <c r="F830" s="131">
        <v>17999.749423741545</v>
      </c>
      <c r="G830" s="17" t="e">
        <f t="shared" si="12"/>
        <v>#VALUE!</v>
      </c>
      <c r="H830" s="141">
        <v>345</v>
      </c>
      <c r="I830" s="141">
        <v>0</v>
      </c>
      <c r="J830" s="149">
        <v>12</v>
      </c>
      <c r="K830" s="150">
        <v>72</v>
      </c>
    </row>
    <row r="831" spans="1:11" ht="30" customHeight="1">
      <c r="A831" s="30">
        <v>30044</v>
      </c>
      <c r="B831" s="16" t="s">
        <v>598</v>
      </c>
      <c r="C831" s="15" t="s">
        <v>612</v>
      </c>
      <c r="D831" s="15" t="s">
        <v>12</v>
      </c>
      <c r="E831" s="15">
        <v>0.21</v>
      </c>
      <c r="F831" s="131">
        <v>7460.4224585244538</v>
      </c>
      <c r="G831" s="17" t="e">
        <f t="shared" si="12"/>
        <v>#VALUE!</v>
      </c>
      <c r="H831" s="141">
        <v>2103</v>
      </c>
      <c r="I831" s="141">
        <v>0</v>
      </c>
      <c r="J831" s="149">
        <v>12</v>
      </c>
      <c r="K831" s="150">
        <v>144</v>
      </c>
    </row>
    <row r="832" spans="1:11" ht="30" customHeight="1">
      <c r="A832" s="30">
        <v>30045</v>
      </c>
      <c r="B832" s="16" t="s">
        <v>598</v>
      </c>
      <c r="C832" s="15" t="s">
        <v>613</v>
      </c>
      <c r="D832" s="15" t="s">
        <v>12</v>
      </c>
      <c r="E832" s="15">
        <v>0.21</v>
      </c>
      <c r="F832" s="131">
        <v>7578.841862628019</v>
      </c>
      <c r="G832" s="17" t="e">
        <f t="shared" si="12"/>
        <v>#VALUE!</v>
      </c>
      <c r="H832" s="141">
        <v>490</v>
      </c>
      <c r="I832" s="141">
        <v>0</v>
      </c>
      <c r="J832" s="149">
        <v>12</v>
      </c>
      <c r="K832" s="150">
        <v>144</v>
      </c>
    </row>
    <row r="833" spans="1:11" ht="30" customHeight="1">
      <c r="A833" s="30">
        <v>30049</v>
      </c>
      <c r="B833" s="16" t="s">
        <v>598</v>
      </c>
      <c r="C833" s="15" t="s">
        <v>614</v>
      </c>
      <c r="D833" s="15" t="s">
        <v>615</v>
      </c>
      <c r="E833" s="15">
        <v>0.21</v>
      </c>
      <c r="F833" s="131">
        <v>18710.265848362924</v>
      </c>
      <c r="G833" s="17" t="e">
        <f t="shared" si="12"/>
        <v>#VALUE!</v>
      </c>
      <c r="H833" s="141">
        <v>835</v>
      </c>
      <c r="I833" s="141">
        <v>0</v>
      </c>
      <c r="J833" s="149">
        <v>6</v>
      </c>
      <c r="K833" s="150">
        <v>72</v>
      </c>
    </row>
    <row r="834" spans="1:11" ht="30" customHeight="1">
      <c r="A834" s="30">
        <v>30046</v>
      </c>
      <c r="B834" s="16" t="s">
        <v>598</v>
      </c>
      <c r="C834" s="15" t="s">
        <v>618</v>
      </c>
      <c r="D834" s="15" t="s">
        <v>619</v>
      </c>
      <c r="E834" s="15">
        <v>0.21</v>
      </c>
      <c r="F834" s="131">
        <v>42074.742646773018</v>
      </c>
      <c r="G834" s="17" t="e">
        <f t="shared" si="12"/>
        <v>#VALUE!</v>
      </c>
      <c r="H834" s="141">
        <v>175</v>
      </c>
      <c r="I834" s="141">
        <v>24</v>
      </c>
      <c r="J834" s="149">
        <v>12</v>
      </c>
      <c r="K834" s="150">
        <v>24</v>
      </c>
    </row>
    <row r="835" spans="1:11" ht="30" customHeight="1">
      <c r="A835" s="31">
        <v>30048</v>
      </c>
      <c r="B835" s="16" t="s">
        <v>598</v>
      </c>
      <c r="C835" s="15" t="s">
        <v>3166</v>
      </c>
      <c r="D835" s="15" t="s">
        <v>2634</v>
      </c>
      <c r="E835" s="15">
        <v>0.21</v>
      </c>
      <c r="F835" s="131">
        <v>27346.278143390529</v>
      </c>
      <c r="G835" s="17" t="e">
        <f t="shared" si="12"/>
        <v>#VALUE!</v>
      </c>
      <c r="H835" s="141">
        <v>423</v>
      </c>
      <c r="I835" s="141">
        <v>72</v>
      </c>
      <c r="J835" s="149">
        <v>12</v>
      </c>
      <c r="K835" s="150">
        <v>72</v>
      </c>
    </row>
    <row r="836" spans="1:11" ht="30" customHeight="1">
      <c r="A836" s="31">
        <v>30050</v>
      </c>
      <c r="B836" s="16" t="s">
        <v>598</v>
      </c>
      <c r="C836" s="15" t="s">
        <v>3167</v>
      </c>
      <c r="D836" s="15" t="s">
        <v>436</v>
      </c>
      <c r="E836" s="15">
        <v>0.21</v>
      </c>
      <c r="F836" s="131">
        <v>7366.7524794439769</v>
      </c>
      <c r="G836" s="17" t="e">
        <f t="shared" si="12"/>
        <v>#VALUE!</v>
      </c>
      <c r="H836" s="141">
        <v>787</v>
      </c>
      <c r="I836" s="141">
        <v>0</v>
      </c>
      <c r="J836" s="149">
        <v>20</v>
      </c>
      <c r="K836" s="150">
        <v>120</v>
      </c>
    </row>
    <row r="837" spans="1:11" ht="30" customHeight="1">
      <c r="A837" s="31">
        <v>30051</v>
      </c>
      <c r="B837" s="16" t="s">
        <v>598</v>
      </c>
      <c r="C837" s="15" t="s">
        <v>3168</v>
      </c>
      <c r="D837" s="15" t="s">
        <v>436</v>
      </c>
      <c r="E837" s="15">
        <v>0.21</v>
      </c>
      <c r="F837" s="131">
        <v>10303.150320900664</v>
      </c>
      <c r="G837" s="17" t="e">
        <f t="shared" si="12"/>
        <v>#VALUE!</v>
      </c>
      <c r="H837" s="141">
        <v>371</v>
      </c>
      <c r="I837" s="141">
        <v>0</v>
      </c>
      <c r="J837" s="149">
        <v>12</v>
      </c>
      <c r="K837" s="150">
        <v>120</v>
      </c>
    </row>
    <row r="838" spans="1:11" ht="30" customHeight="1">
      <c r="A838" s="30">
        <v>30052</v>
      </c>
      <c r="B838" s="16" t="s">
        <v>598</v>
      </c>
      <c r="C838" s="15" t="s">
        <v>620</v>
      </c>
      <c r="D838" s="15" t="s">
        <v>33</v>
      </c>
      <c r="E838" s="15">
        <v>0.21</v>
      </c>
      <c r="F838" s="131">
        <v>11717.916159873532</v>
      </c>
      <c r="G838" s="17" t="e">
        <f t="shared" si="12"/>
        <v>#VALUE!</v>
      </c>
      <c r="H838" s="141">
        <v>1126</v>
      </c>
      <c r="I838" s="141">
        <v>300</v>
      </c>
      <c r="J838" s="149">
        <v>6</v>
      </c>
      <c r="K838" s="150">
        <v>60</v>
      </c>
    </row>
    <row r="839" spans="1:11" ht="30" customHeight="1">
      <c r="A839" s="31">
        <v>30053</v>
      </c>
      <c r="B839" s="16" t="s">
        <v>598</v>
      </c>
      <c r="C839" s="15" t="s">
        <v>620</v>
      </c>
      <c r="D839" s="15" t="s">
        <v>33</v>
      </c>
      <c r="E839" s="15">
        <v>0.21</v>
      </c>
      <c r="F839" s="131">
        <v>17053.835468892299</v>
      </c>
      <c r="G839" s="17" t="e">
        <f t="shared" si="12"/>
        <v>#VALUE!</v>
      </c>
      <c r="H839" s="141">
        <v>406</v>
      </c>
      <c r="I839" s="141">
        <v>108</v>
      </c>
      <c r="J839" s="149">
        <v>6</v>
      </c>
      <c r="K839" s="150">
        <v>36</v>
      </c>
    </row>
    <row r="840" spans="1:11" ht="30" customHeight="1">
      <c r="A840" s="30">
        <v>30054</v>
      </c>
      <c r="B840" s="16" t="s">
        <v>598</v>
      </c>
      <c r="C840" s="15" t="s">
        <v>621</v>
      </c>
      <c r="D840" s="15" t="s">
        <v>33</v>
      </c>
      <c r="E840" s="15">
        <v>0.21</v>
      </c>
      <c r="F840" s="131">
        <v>31944.861685675547</v>
      </c>
      <c r="G840" s="17" t="e">
        <f t="shared" si="12"/>
        <v>#VALUE!</v>
      </c>
      <c r="H840" s="141">
        <v>513</v>
      </c>
      <c r="I840" s="141">
        <v>0</v>
      </c>
      <c r="J840" s="149">
        <v>6</v>
      </c>
      <c r="K840" s="150">
        <v>36</v>
      </c>
    </row>
    <row r="841" spans="1:11" ht="30" customHeight="1">
      <c r="A841" s="30">
        <v>30055</v>
      </c>
      <c r="B841" s="16" t="s">
        <v>598</v>
      </c>
      <c r="C841" s="15" t="s">
        <v>620</v>
      </c>
      <c r="D841" s="15" t="s">
        <v>33</v>
      </c>
      <c r="E841" s="15">
        <v>0.21</v>
      </c>
      <c r="F841" s="131">
        <v>22092.614927224909</v>
      </c>
      <c r="G841" s="17" t="e">
        <f t="shared" ref="G841:G904" si="13">(F841*$G$6)</f>
        <v>#VALUE!</v>
      </c>
      <c r="H841" s="141">
        <v>346</v>
      </c>
      <c r="I841" s="141">
        <v>0</v>
      </c>
      <c r="J841" s="149">
        <v>6</v>
      </c>
      <c r="K841" s="150">
        <v>36</v>
      </c>
    </row>
    <row r="842" spans="1:11" ht="30" customHeight="1">
      <c r="A842" s="31">
        <v>30065</v>
      </c>
      <c r="B842" s="16" t="s">
        <v>598</v>
      </c>
      <c r="C842" s="15" t="s">
        <v>3169</v>
      </c>
      <c r="D842" s="15" t="s">
        <v>2635</v>
      </c>
      <c r="E842" s="15">
        <v>0.21</v>
      </c>
      <c r="F842" s="131">
        <v>347067.80044973147</v>
      </c>
      <c r="G842" s="17" t="e">
        <f t="shared" si="13"/>
        <v>#VALUE!</v>
      </c>
      <c r="H842" s="141">
        <v>149</v>
      </c>
      <c r="I842" s="141">
        <v>0</v>
      </c>
      <c r="J842" s="149">
        <v>0</v>
      </c>
      <c r="K842" s="150">
        <v>10</v>
      </c>
    </row>
    <row r="843" spans="1:11" ht="30" customHeight="1">
      <c r="A843" s="31">
        <v>30066</v>
      </c>
      <c r="B843" s="16" t="s">
        <v>598</v>
      </c>
      <c r="C843" s="15" t="s">
        <v>3169</v>
      </c>
      <c r="D843" s="15" t="s">
        <v>2636</v>
      </c>
      <c r="E843" s="15">
        <v>0.21</v>
      </c>
      <c r="F843" s="131">
        <v>346746.34215971932</v>
      </c>
      <c r="G843" s="17" t="e">
        <f t="shared" si="13"/>
        <v>#VALUE!</v>
      </c>
      <c r="H843" s="141">
        <v>133</v>
      </c>
      <c r="I843" s="141">
        <v>0</v>
      </c>
      <c r="J843" s="149">
        <v>0</v>
      </c>
      <c r="K843" s="150">
        <v>10</v>
      </c>
    </row>
    <row r="844" spans="1:11" ht="30" customHeight="1">
      <c r="A844" s="31">
        <v>31015</v>
      </c>
      <c r="B844" s="16" t="s">
        <v>598</v>
      </c>
      <c r="C844" s="15" t="s">
        <v>2637</v>
      </c>
      <c r="D844" s="15" t="s">
        <v>2638</v>
      </c>
      <c r="E844" s="15">
        <v>0.21</v>
      </c>
      <c r="F844" s="131">
        <v>17358.747660653444</v>
      </c>
      <c r="G844" s="17" t="e">
        <f t="shared" si="13"/>
        <v>#VALUE!</v>
      </c>
      <c r="H844" s="141">
        <v>138</v>
      </c>
      <c r="I844" s="141">
        <v>0</v>
      </c>
      <c r="J844" s="149">
        <v>12</v>
      </c>
      <c r="K844" s="150">
        <v>48</v>
      </c>
    </row>
    <row r="845" spans="1:11" ht="30" customHeight="1">
      <c r="A845" s="31">
        <v>31065</v>
      </c>
      <c r="B845" s="16" t="s">
        <v>598</v>
      </c>
      <c r="C845" s="15" t="s">
        <v>3170</v>
      </c>
      <c r="D845" s="15" t="s">
        <v>2639</v>
      </c>
      <c r="E845" s="15">
        <v>0.21</v>
      </c>
      <c r="F845" s="131">
        <v>47040.063105104076</v>
      </c>
      <c r="G845" s="17" t="e">
        <f t="shared" si="13"/>
        <v>#VALUE!</v>
      </c>
      <c r="H845" s="141">
        <v>124</v>
      </c>
      <c r="I845" s="141">
        <v>0</v>
      </c>
      <c r="J845" s="149">
        <v>6</v>
      </c>
      <c r="K845" s="150">
        <v>18</v>
      </c>
    </row>
    <row r="846" spans="1:11" ht="30" customHeight="1">
      <c r="A846" s="31">
        <v>31068</v>
      </c>
      <c r="B846" s="16" t="s">
        <v>598</v>
      </c>
      <c r="C846" s="15" t="s">
        <v>3171</v>
      </c>
      <c r="D846" s="15" t="s">
        <v>2640</v>
      </c>
      <c r="E846" s="15">
        <v>0.21</v>
      </c>
      <c r="F846" s="131">
        <v>64934.574582444351</v>
      </c>
      <c r="G846" s="17" t="e">
        <f t="shared" si="13"/>
        <v>#VALUE!</v>
      </c>
      <c r="H846" s="141">
        <v>66</v>
      </c>
      <c r="I846" s="141">
        <v>0</v>
      </c>
      <c r="J846" s="149">
        <v>6</v>
      </c>
      <c r="K846" s="150">
        <v>12</v>
      </c>
    </row>
    <row r="847" spans="1:11" ht="30" customHeight="1">
      <c r="A847" s="30">
        <v>31013</v>
      </c>
      <c r="B847" s="16" t="s">
        <v>598</v>
      </c>
      <c r="C847" s="15" t="s">
        <v>664</v>
      </c>
      <c r="D847" s="15" t="s">
        <v>47</v>
      </c>
      <c r="E847" s="15">
        <v>0.21</v>
      </c>
      <c r="F847" s="131">
        <v>15318.518361057146</v>
      </c>
      <c r="G847" s="17" t="e">
        <f t="shared" si="13"/>
        <v>#VALUE!</v>
      </c>
      <c r="H847" s="141">
        <v>390</v>
      </c>
      <c r="I847" s="141">
        <v>96</v>
      </c>
      <c r="J847" s="149">
        <v>6</v>
      </c>
      <c r="K847" s="150">
        <v>48</v>
      </c>
    </row>
    <row r="848" spans="1:11" ht="30" customHeight="1">
      <c r="A848" s="31">
        <v>79611</v>
      </c>
      <c r="B848" s="16" t="s">
        <v>662</v>
      </c>
      <c r="C848" s="15" t="s">
        <v>3561</v>
      </c>
      <c r="D848" s="15" t="s">
        <v>3562</v>
      </c>
      <c r="E848" s="15">
        <v>0.105</v>
      </c>
      <c r="F848" s="131">
        <v>609936.07999999996</v>
      </c>
      <c r="G848" s="17" t="e">
        <f t="shared" si="13"/>
        <v>#VALUE!</v>
      </c>
      <c r="H848" s="141">
        <v>39</v>
      </c>
      <c r="I848" s="141">
        <v>0</v>
      </c>
      <c r="J848" s="149">
        <v>0</v>
      </c>
      <c r="K848" s="150">
        <v>2</v>
      </c>
    </row>
    <row r="849" spans="1:11" ht="30" customHeight="1">
      <c r="A849" s="31">
        <v>79620</v>
      </c>
      <c r="B849" s="16" t="s">
        <v>662</v>
      </c>
      <c r="C849" s="15" t="s">
        <v>2904</v>
      </c>
      <c r="D849" s="15" t="s">
        <v>2905</v>
      </c>
      <c r="E849" s="15">
        <v>0.105</v>
      </c>
      <c r="F849" s="131">
        <v>610617.52</v>
      </c>
      <c r="G849" s="17" t="e">
        <f t="shared" si="13"/>
        <v>#VALUE!</v>
      </c>
      <c r="H849" s="141">
        <v>51</v>
      </c>
      <c r="I849" s="141">
        <v>0</v>
      </c>
      <c r="J849" s="149">
        <v>0</v>
      </c>
      <c r="K849" s="150">
        <v>1</v>
      </c>
    </row>
    <row r="850" spans="1:11" ht="30" customHeight="1">
      <c r="A850" s="30">
        <v>77652</v>
      </c>
      <c r="B850" s="16" t="s">
        <v>662</v>
      </c>
      <c r="C850" s="15" t="s">
        <v>663</v>
      </c>
      <c r="D850" s="15" t="s">
        <v>2130</v>
      </c>
      <c r="E850" s="15">
        <v>0.21</v>
      </c>
      <c r="F850" s="131">
        <v>3729.2639972578731</v>
      </c>
      <c r="G850" s="17" t="e">
        <f t="shared" si="13"/>
        <v>#VALUE!</v>
      </c>
      <c r="H850" s="141">
        <v>4108</v>
      </c>
      <c r="I850" s="141">
        <v>0</v>
      </c>
      <c r="J850" s="149">
        <v>12</v>
      </c>
      <c r="K850" s="150">
        <v>120</v>
      </c>
    </row>
    <row r="851" spans="1:11" ht="30" customHeight="1">
      <c r="A851" s="30">
        <v>77654</v>
      </c>
      <c r="B851" s="16" t="s">
        <v>662</v>
      </c>
      <c r="C851" s="15" t="s">
        <v>663</v>
      </c>
      <c r="D851" s="15" t="s">
        <v>2131</v>
      </c>
      <c r="E851" s="15">
        <v>0.21</v>
      </c>
      <c r="F851" s="131">
        <v>4710.6492596941553</v>
      </c>
      <c r="G851" s="17" t="e">
        <f t="shared" si="13"/>
        <v>#VALUE!</v>
      </c>
      <c r="H851" s="141">
        <v>4035</v>
      </c>
      <c r="I851" s="141">
        <v>0</v>
      </c>
      <c r="J851" s="149">
        <v>10</v>
      </c>
      <c r="K851" s="150">
        <v>120</v>
      </c>
    </row>
    <row r="852" spans="1:11" ht="30" customHeight="1">
      <c r="A852" s="30">
        <v>77656</v>
      </c>
      <c r="B852" s="16" t="s">
        <v>662</v>
      </c>
      <c r="C852" s="15" t="s">
        <v>663</v>
      </c>
      <c r="D852" s="15" t="s">
        <v>2132</v>
      </c>
      <c r="E852" s="15">
        <v>0.21</v>
      </c>
      <c r="F852" s="131">
        <v>5692.0345221304387</v>
      </c>
      <c r="G852" s="17" t="e">
        <f t="shared" si="13"/>
        <v>#VALUE!</v>
      </c>
      <c r="H852" s="141">
        <v>4015</v>
      </c>
      <c r="I852" s="141">
        <v>0</v>
      </c>
      <c r="J852" s="149">
        <v>12</v>
      </c>
      <c r="K852" s="150">
        <v>120</v>
      </c>
    </row>
    <row r="853" spans="1:11" ht="30" customHeight="1">
      <c r="A853" s="30">
        <v>77653</v>
      </c>
      <c r="B853" s="16" t="s">
        <v>662</v>
      </c>
      <c r="C853" s="15" t="s">
        <v>1909</v>
      </c>
      <c r="D853" s="15" t="s">
        <v>2130</v>
      </c>
      <c r="E853" s="15">
        <v>0.21</v>
      </c>
      <c r="F853" s="131">
        <v>3925.5410497451289</v>
      </c>
      <c r="G853" s="17" t="e">
        <f t="shared" si="13"/>
        <v>#VALUE!</v>
      </c>
      <c r="H853" s="141">
        <v>345</v>
      </c>
      <c r="I853" s="141">
        <v>0</v>
      </c>
      <c r="J853" s="149">
        <v>12</v>
      </c>
      <c r="K853" s="150">
        <v>120</v>
      </c>
    </row>
    <row r="854" spans="1:11" ht="30" customHeight="1">
      <c r="A854" s="30">
        <v>77655</v>
      </c>
      <c r="B854" s="16" t="s">
        <v>662</v>
      </c>
      <c r="C854" s="15" t="s">
        <v>1910</v>
      </c>
      <c r="D854" s="15" t="s">
        <v>2131</v>
      </c>
      <c r="E854" s="15">
        <v>0.21</v>
      </c>
      <c r="F854" s="131">
        <v>5005.0648384250389</v>
      </c>
      <c r="G854" s="17" t="e">
        <f t="shared" si="13"/>
        <v>#VALUE!</v>
      </c>
      <c r="H854" s="141">
        <v>354</v>
      </c>
      <c r="I854" s="141">
        <v>0</v>
      </c>
      <c r="J854" s="149">
        <v>10</v>
      </c>
      <c r="K854" s="150">
        <v>120</v>
      </c>
    </row>
    <row r="855" spans="1:11" ht="30" customHeight="1">
      <c r="A855" s="30">
        <v>77657</v>
      </c>
      <c r="B855" s="16" t="s">
        <v>662</v>
      </c>
      <c r="C855" s="15" t="s">
        <v>1911</v>
      </c>
      <c r="D855" s="15" t="s">
        <v>2132</v>
      </c>
      <c r="E855" s="15">
        <v>0.21</v>
      </c>
      <c r="F855" s="131">
        <v>6084.5886271049476</v>
      </c>
      <c r="G855" s="17" t="e">
        <f t="shared" si="13"/>
        <v>#VALUE!</v>
      </c>
      <c r="H855" s="141">
        <v>409</v>
      </c>
      <c r="I855" s="141">
        <v>0</v>
      </c>
      <c r="J855" s="149">
        <v>12</v>
      </c>
      <c r="K855" s="150">
        <v>120</v>
      </c>
    </row>
    <row r="856" spans="1:11" ht="30" customHeight="1">
      <c r="A856" s="30">
        <v>77659</v>
      </c>
      <c r="B856" s="16" t="s">
        <v>662</v>
      </c>
      <c r="C856" s="15" t="s">
        <v>1912</v>
      </c>
      <c r="D856" s="15" t="s">
        <v>2133</v>
      </c>
      <c r="E856" s="15">
        <v>0.21</v>
      </c>
      <c r="F856" s="131">
        <v>7065.9738895412374</v>
      </c>
      <c r="G856" s="17" t="e">
        <f t="shared" si="13"/>
        <v>#VALUE!</v>
      </c>
      <c r="H856" s="141">
        <v>308</v>
      </c>
      <c r="I856" s="141">
        <v>0</v>
      </c>
      <c r="J856" s="149">
        <v>12</v>
      </c>
      <c r="K856" s="150">
        <v>120</v>
      </c>
    </row>
    <row r="857" spans="1:11" ht="30" customHeight="1">
      <c r="A857" s="31">
        <v>79628</v>
      </c>
      <c r="B857" s="16" t="s">
        <v>662</v>
      </c>
      <c r="C857" s="15" t="s">
        <v>3563</v>
      </c>
      <c r="D857" s="15" t="s">
        <v>3564</v>
      </c>
      <c r="E857" s="15">
        <v>0.105</v>
      </c>
      <c r="F857" s="131">
        <v>609880.11</v>
      </c>
      <c r="G857" s="17" t="e">
        <f t="shared" si="13"/>
        <v>#VALUE!</v>
      </c>
      <c r="H857" s="141">
        <v>16</v>
      </c>
      <c r="I857" s="141">
        <v>0</v>
      </c>
      <c r="J857" s="149" t="e">
        <v>#N/A</v>
      </c>
      <c r="K857" s="150" t="e">
        <v>#N/A</v>
      </c>
    </row>
    <row r="858" spans="1:11" ht="30" customHeight="1">
      <c r="A858" s="31">
        <v>57225</v>
      </c>
      <c r="B858" s="16" t="s">
        <v>662</v>
      </c>
      <c r="C858" s="15" t="s">
        <v>3172</v>
      </c>
      <c r="D858" s="15" t="s">
        <v>2641</v>
      </c>
      <c r="E858" s="15">
        <v>0.21</v>
      </c>
      <c r="F858" s="131">
        <v>57309.586904127711</v>
      </c>
      <c r="G858" s="17" t="e">
        <f t="shared" si="13"/>
        <v>#VALUE!</v>
      </c>
      <c r="H858" s="141">
        <v>45</v>
      </c>
      <c r="I858" s="141">
        <v>0</v>
      </c>
      <c r="J858" s="149">
        <v>0</v>
      </c>
      <c r="K858" s="150">
        <v>6</v>
      </c>
    </row>
    <row r="859" spans="1:11" ht="30" customHeight="1">
      <c r="A859" s="31">
        <v>57255</v>
      </c>
      <c r="B859" s="16" t="s">
        <v>662</v>
      </c>
      <c r="C859" s="15" t="s">
        <v>2642</v>
      </c>
      <c r="D859" s="15" t="s">
        <v>2643</v>
      </c>
      <c r="E859" s="15">
        <v>0.21</v>
      </c>
      <c r="F859" s="131">
        <v>59183.169552916501</v>
      </c>
      <c r="G859" s="17" t="e">
        <f t="shared" si="13"/>
        <v>#VALUE!</v>
      </c>
      <c r="H859" s="141">
        <v>47</v>
      </c>
      <c r="I859" s="141">
        <v>0</v>
      </c>
      <c r="J859" s="149">
        <v>0</v>
      </c>
      <c r="K859" s="150">
        <v>6</v>
      </c>
    </row>
    <row r="860" spans="1:11" ht="30" customHeight="1">
      <c r="A860" s="31">
        <v>57250</v>
      </c>
      <c r="B860" s="16" t="s">
        <v>662</v>
      </c>
      <c r="C860" s="15" t="s">
        <v>2644</v>
      </c>
      <c r="D860" s="15" t="s">
        <v>2645</v>
      </c>
      <c r="E860" s="15">
        <v>0.21</v>
      </c>
      <c r="F860" s="131">
        <v>64032.442290958075</v>
      </c>
      <c r="G860" s="17" t="e">
        <f t="shared" si="13"/>
        <v>#VALUE!</v>
      </c>
      <c r="H860" s="141">
        <v>83</v>
      </c>
      <c r="I860" s="141">
        <v>0</v>
      </c>
      <c r="J860" s="149">
        <v>0</v>
      </c>
      <c r="K860" s="150">
        <v>12</v>
      </c>
    </row>
    <row r="861" spans="1:11" ht="30" customHeight="1">
      <c r="A861" s="31">
        <v>57221</v>
      </c>
      <c r="B861" s="16" t="s">
        <v>662</v>
      </c>
      <c r="C861" s="15" t="s">
        <v>2124</v>
      </c>
      <c r="D861" s="15" t="s">
        <v>4207</v>
      </c>
      <c r="E861" s="15">
        <v>0.105</v>
      </c>
      <c r="F861" s="131">
        <v>60191.199000000008</v>
      </c>
      <c r="G861" s="17" t="e">
        <f t="shared" si="13"/>
        <v>#VALUE!</v>
      </c>
      <c r="H861" s="141">
        <v>76</v>
      </c>
      <c r="I861" s="141">
        <v>0</v>
      </c>
      <c r="J861" s="149">
        <v>0</v>
      </c>
      <c r="K861" s="150">
        <v>5</v>
      </c>
    </row>
    <row r="862" spans="1:11" ht="30" customHeight="1">
      <c r="A862" s="30">
        <v>57211</v>
      </c>
      <c r="B862" s="16" t="s">
        <v>662</v>
      </c>
      <c r="C862" s="15" t="s">
        <v>1908</v>
      </c>
      <c r="D862" s="15" t="s">
        <v>677</v>
      </c>
      <c r="E862" s="15">
        <v>0.21</v>
      </c>
      <c r="F862" s="131">
        <v>42681.244422708412</v>
      </c>
      <c r="G862" s="17" t="e">
        <f t="shared" si="13"/>
        <v>#VALUE!</v>
      </c>
      <c r="H862" s="141">
        <v>150</v>
      </c>
      <c r="I862" s="141">
        <v>0</v>
      </c>
      <c r="J862" s="149">
        <v>0</v>
      </c>
      <c r="K862" s="150">
        <v>10</v>
      </c>
    </row>
    <row r="863" spans="1:11" ht="30" customHeight="1">
      <c r="A863" s="30">
        <v>57213</v>
      </c>
      <c r="B863" s="16" t="s">
        <v>662</v>
      </c>
      <c r="C863" s="15" t="s">
        <v>689</v>
      </c>
      <c r="D863" s="15" t="s">
        <v>1823</v>
      </c>
      <c r="E863" s="15">
        <v>0.21</v>
      </c>
      <c r="F863" s="131">
        <v>80248.539676419037</v>
      </c>
      <c r="G863" s="17" t="e">
        <f t="shared" si="13"/>
        <v>#VALUE!</v>
      </c>
      <c r="H863" s="141">
        <v>64</v>
      </c>
      <c r="I863" s="141">
        <v>25</v>
      </c>
      <c r="J863" s="149">
        <v>0</v>
      </c>
      <c r="K863" s="150">
        <v>5</v>
      </c>
    </row>
    <row r="864" spans="1:11" ht="30" customHeight="1">
      <c r="A864" s="31">
        <v>57261</v>
      </c>
      <c r="B864" s="16" t="s">
        <v>662</v>
      </c>
      <c r="C864" s="15" t="s">
        <v>2026</v>
      </c>
      <c r="D864" s="15" t="s">
        <v>4208</v>
      </c>
      <c r="E864" s="15">
        <v>0.105</v>
      </c>
      <c r="F864" s="131">
        <v>297996.84599999996</v>
      </c>
      <c r="G864" s="17" t="e">
        <f t="shared" si="13"/>
        <v>#VALUE!</v>
      </c>
      <c r="H864" s="141">
        <v>3</v>
      </c>
      <c r="I864" s="141">
        <v>0</v>
      </c>
      <c r="J864" s="149">
        <v>0</v>
      </c>
      <c r="K864" s="150">
        <v>1</v>
      </c>
    </row>
    <row r="865" spans="1:11" ht="30" customHeight="1">
      <c r="A865" s="30">
        <v>57281</v>
      </c>
      <c r="B865" s="16" t="s">
        <v>662</v>
      </c>
      <c r="C865" s="15" t="s">
        <v>2125</v>
      </c>
      <c r="D865" s="15" t="s">
        <v>678</v>
      </c>
      <c r="E865" s="15">
        <v>0.105</v>
      </c>
      <c r="F865" s="131">
        <v>16257.835839401469</v>
      </c>
      <c r="G865" s="17" t="e">
        <f t="shared" si="13"/>
        <v>#VALUE!</v>
      </c>
      <c r="H865" s="141">
        <v>2206</v>
      </c>
      <c r="I865" s="141">
        <v>564</v>
      </c>
      <c r="J865" s="149">
        <v>0</v>
      </c>
      <c r="K865" s="150">
        <v>12</v>
      </c>
    </row>
    <row r="866" spans="1:11" ht="30" customHeight="1">
      <c r="A866" s="30">
        <v>57283</v>
      </c>
      <c r="B866" s="16" t="s">
        <v>662</v>
      </c>
      <c r="C866" s="15" t="s">
        <v>2126</v>
      </c>
      <c r="D866" s="15" t="s">
        <v>678</v>
      </c>
      <c r="E866" s="15">
        <v>0.105</v>
      </c>
      <c r="F866" s="131">
        <v>17070.727631371508</v>
      </c>
      <c r="G866" s="17" t="e">
        <f t="shared" si="13"/>
        <v>#VALUE!</v>
      </c>
      <c r="H866" s="141">
        <v>0</v>
      </c>
      <c r="I866" s="141">
        <v>0</v>
      </c>
      <c r="J866" s="149" t="e">
        <v>#N/A</v>
      </c>
      <c r="K866" s="150" t="e">
        <v>#N/A</v>
      </c>
    </row>
    <row r="867" spans="1:11" ht="30" customHeight="1">
      <c r="A867" s="30">
        <v>57292</v>
      </c>
      <c r="B867" s="16" t="s">
        <v>662</v>
      </c>
      <c r="C867" s="15" t="s">
        <v>690</v>
      </c>
      <c r="D867" s="15" t="s">
        <v>691</v>
      </c>
      <c r="E867" s="15">
        <v>0.105</v>
      </c>
      <c r="F867" s="131">
        <v>51104.060973188913</v>
      </c>
      <c r="G867" s="17" t="e">
        <f t="shared" si="13"/>
        <v>#VALUE!</v>
      </c>
      <c r="H867" s="141">
        <v>1218</v>
      </c>
      <c r="I867" s="141">
        <v>0</v>
      </c>
      <c r="J867" s="149">
        <v>0</v>
      </c>
      <c r="K867" s="150">
        <v>6</v>
      </c>
    </row>
    <row r="868" spans="1:11" ht="30" customHeight="1">
      <c r="A868" s="31">
        <v>57295</v>
      </c>
      <c r="B868" s="16" t="s">
        <v>662</v>
      </c>
      <c r="C868" s="15" t="s">
        <v>2646</v>
      </c>
      <c r="D868" s="15" t="s">
        <v>2647</v>
      </c>
      <c r="E868" s="15">
        <v>0.21</v>
      </c>
      <c r="F868" s="131">
        <v>112898.46045647534</v>
      </c>
      <c r="G868" s="17" t="e">
        <f t="shared" si="13"/>
        <v>#VALUE!</v>
      </c>
      <c r="H868" s="141">
        <v>151</v>
      </c>
      <c r="I868" s="141">
        <v>0</v>
      </c>
      <c r="J868" s="149">
        <v>0</v>
      </c>
      <c r="K868" s="150">
        <v>1</v>
      </c>
    </row>
    <row r="869" spans="1:11" ht="30" customHeight="1">
      <c r="A869" s="30">
        <v>57500</v>
      </c>
      <c r="B869" s="16" t="s">
        <v>662</v>
      </c>
      <c r="C869" s="15" t="s">
        <v>692</v>
      </c>
      <c r="D869" s="15" t="s">
        <v>693</v>
      </c>
      <c r="E869" s="15">
        <v>0.21</v>
      </c>
      <c r="F869" s="131">
        <v>10904.202737629228</v>
      </c>
      <c r="G869" s="17" t="e">
        <f t="shared" si="13"/>
        <v>#VALUE!</v>
      </c>
      <c r="H869" s="141">
        <v>637</v>
      </c>
      <c r="I869" s="141">
        <v>0</v>
      </c>
      <c r="J869" s="149">
        <v>10</v>
      </c>
      <c r="K869" s="150">
        <v>60</v>
      </c>
    </row>
    <row r="870" spans="1:11" ht="30" customHeight="1">
      <c r="A870" s="30">
        <v>57502</v>
      </c>
      <c r="B870" s="16" t="s">
        <v>662</v>
      </c>
      <c r="C870" s="15" t="s">
        <v>694</v>
      </c>
      <c r="D870" s="15" t="s">
        <v>695</v>
      </c>
      <c r="E870" s="15">
        <v>0.21</v>
      </c>
      <c r="F870" s="131">
        <v>10468.034628124058</v>
      </c>
      <c r="G870" s="17" t="e">
        <f t="shared" si="13"/>
        <v>#VALUE!</v>
      </c>
      <c r="H870" s="141">
        <v>531</v>
      </c>
      <c r="I870" s="141">
        <v>0</v>
      </c>
      <c r="J870" s="149">
        <v>10</v>
      </c>
      <c r="K870" s="150">
        <v>60</v>
      </c>
    </row>
    <row r="871" spans="1:11" ht="30" customHeight="1">
      <c r="A871" s="30">
        <v>57504</v>
      </c>
      <c r="B871" s="16" t="s">
        <v>662</v>
      </c>
      <c r="C871" s="15" t="s">
        <v>696</v>
      </c>
      <c r="D871" s="15" t="s">
        <v>697</v>
      </c>
      <c r="E871" s="15">
        <v>0.21</v>
      </c>
      <c r="F871" s="131">
        <v>10904.202737629228</v>
      </c>
      <c r="G871" s="17" t="e">
        <f t="shared" si="13"/>
        <v>#VALUE!</v>
      </c>
      <c r="H871" s="141">
        <v>302</v>
      </c>
      <c r="I871" s="141">
        <v>0</v>
      </c>
      <c r="J871" s="149">
        <v>10</v>
      </c>
      <c r="K871" s="150">
        <v>60</v>
      </c>
    </row>
    <row r="872" spans="1:11" ht="30" customHeight="1">
      <c r="A872" s="30">
        <v>57506</v>
      </c>
      <c r="B872" s="16" t="s">
        <v>662</v>
      </c>
      <c r="C872" s="15" t="s">
        <v>698</v>
      </c>
      <c r="D872" s="15" t="s">
        <v>699</v>
      </c>
      <c r="E872" s="15">
        <v>0.21</v>
      </c>
      <c r="F872" s="131">
        <v>13085.043285155072</v>
      </c>
      <c r="G872" s="17" t="e">
        <f t="shared" si="13"/>
        <v>#VALUE!</v>
      </c>
      <c r="H872" s="141">
        <v>171</v>
      </c>
      <c r="I872" s="141">
        <v>0</v>
      </c>
      <c r="J872" s="149">
        <v>10</v>
      </c>
      <c r="K872" s="150">
        <v>60</v>
      </c>
    </row>
    <row r="873" spans="1:11" ht="30" customHeight="1">
      <c r="A873" s="30">
        <v>57508</v>
      </c>
      <c r="B873" s="16" t="s">
        <v>662</v>
      </c>
      <c r="C873" s="15" t="s">
        <v>1904</v>
      </c>
      <c r="D873" s="15" t="s">
        <v>700</v>
      </c>
      <c r="E873" s="15">
        <v>0.21</v>
      </c>
      <c r="F873" s="131">
        <v>17882.892489711932</v>
      </c>
      <c r="G873" s="17" t="e">
        <f t="shared" si="13"/>
        <v>#VALUE!</v>
      </c>
      <c r="H873" s="141">
        <v>271</v>
      </c>
      <c r="I873" s="141">
        <v>0</v>
      </c>
      <c r="J873" s="149">
        <v>6</v>
      </c>
      <c r="K873" s="150">
        <v>48</v>
      </c>
    </row>
    <row r="874" spans="1:11" ht="30" customHeight="1">
      <c r="A874" s="30">
        <v>57510</v>
      </c>
      <c r="B874" s="16" t="s">
        <v>662</v>
      </c>
      <c r="C874" s="15" t="s">
        <v>1905</v>
      </c>
      <c r="D874" s="15" t="s">
        <v>701</v>
      </c>
      <c r="E874" s="15">
        <v>0.21</v>
      </c>
      <c r="F874" s="131">
        <v>18646.186681345982</v>
      </c>
      <c r="G874" s="17" t="e">
        <f t="shared" si="13"/>
        <v>#VALUE!</v>
      </c>
      <c r="H874" s="141">
        <v>299</v>
      </c>
      <c r="I874" s="141">
        <v>0</v>
      </c>
      <c r="J874" s="149">
        <v>10</v>
      </c>
      <c r="K874" s="150">
        <v>60</v>
      </c>
    </row>
    <row r="875" spans="1:11" ht="30" customHeight="1">
      <c r="A875" s="30">
        <v>57100</v>
      </c>
      <c r="B875" s="16" t="s">
        <v>662</v>
      </c>
      <c r="C875" s="15" t="s">
        <v>674</v>
      </c>
      <c r="D875" s="15" t="s">
        <v>675</v>
      </c>
      <c r="E875" s="15">
        <v>0.105</v>
      </c>
      <c r="F875" s="131">
        <v>11797.477228244503</v>
      </c>
      <c r="G875" s="17" t="e">
        <f t="shared" si="13"/>
        <v>#VALUE!</v>
      </c>
      <c r="H875" s="141">
        <v>1055</v>
      </c>
      <c r="I875" s="141">
        <v>0</v>
      </c>
      <c r="J875" s="149">
        <v>12</v>
      </c>
      <c r="K875" s="150">
        <v>48</v>
      </c>
    </row>
    <row r="876" spans="1:11" ht="30" customHeight="1">
      <c r="A876" s="30">
        <v>57101</v>
      </c>
      <c r="B876" s="16" t="s">
        <v>662</v>
      </c>
      <c r="C876" s="15" t="s">
        <v>676</v>
      </c>
      <c r="D876" s="15"/>
      <c r="E876" s="15">
        <v>0.105</v>
      </c>
      <c r="F876" s="131">
        <v>10771.609643179765</v>
      </c>
      <c r="G876" s="17" t="e">
        <f t="shared" si="13"/>
        <v>#VALUE!</v>
      </c>
      <c r="H876" s="141">
        <v>768</v>
      </c>
      <c r="I876" s="141">
        <v>0</v>
      </c>
      <c r="J876" s="149">
        <v>12</v>
      </c>
      <c r="K876" s="150">
        <v>48</v>
      </c>
    </row>
    <row r="877" spans="1:11" ht="30" customHeight="1">
      <c r="A877" s="31">
        <v>57102</v>
      </c>
      <c r="B877" s="16" t="s">
        <v>662</v>
      </c>
      <c r="C877" s="15" t="s">
        <v>2648</v>
      </c>
      <c r="D877" s="15"/>
      <c r="E877" s="15">
        <v>0.21</v>
      </c>
      <c r="F877" s="131">
        <v>3155.3167622082087</v>
      </c>
      <c r="G877" s="17" t="e">
        <f t="shared" si="13"/>
        <v>#VALUE!</v>
      </c>
      <c r="H877" s="141">
        <v>924</v>
      </c>
      <c r="I877" s="141">
        <v>0</v>
      </c>
      <c r="J877" s="149">
        <v>12</v>
      </c>
      <c r="K877" s="150">
        <v>96</v>
      </c>
    </row>
    <row r="878" spans="1:11" ht="30" customHeight="1">
      <c r="A878" s="30">
        <v>57112</v>
      </c>
      <c r="B878" s="16" t="s">
        <v>662</v>
      </c>
      <c r="C878" s="15" t="s">
        <v>1902</v>
      </c>
      <c r="D878" s="15" t="s">
        <v>98</v>
      </c>
      <c r="E878" s="15">
        <v>0.21</v>
      </c>
      <c r="F878" s="131">
        <v>1501.8928000000001</v>
      </c>
      <c r="G878" s="17" t="e">
        <f t="shared" si="13"/>
        <v>#VALUE!</v>
      </c>
      <c r="H878" s="141">
        <v>542</v>
      </c>
      <c r="I878" s="141">
        <v>240</v>
      </c>
      <c r="J878" s="149">
        <v>20</v>
      </c>
      <c r="K878" s="150">
        <v>120</v>
      </c>
    </row>
    <row r="879" spans="1:11" ht="30" customHeight="1">
      <c r="A879" s="30">
        <v>57113</v>
      </c>
      <c r="B879" s="16" t="s">
        <v>662</v>
      </c>
      <c r="C879" s="15" t="s">
        <v>1903</v>
      </c>
      <c r="D879" s="15" t="s">
        <v>98</v>
      </c>
      <c r="E879" s="15">
        <v>0.21</v>
      </c>
      <c r="F879" s="131">
        <v>2124.1128000000003</v>
      </c>
      <c r="G879" s="17" t="e">
        <f t="shared" si="13"/>
        <v>#VALUE!</v>
      </c>
      <c r="H879" s="141">
        <v>440</v>
      </c>
      <c r="I879" s="141">
        <v>0</v>
      </c>
      <c r="J879" s="149">
        <v>20</v>
      </c>
      <c r="K879" s="150">
        <v>120</v>
      </c>
    </row>
    <row r="880" spans="1:11" ht="30" customHeight="1">
      <c r="A880" s="30">
        <v>57116</v>
      </c>
      <c r="B880" s="16" t="s">
        <v>662</v>
      </c>
      <c r="C880" s="15" t="s">
        <v>685</v>
      </c>
      <c r="D880" s="15" t="s">
        <v>98</v>
      </c>
      <c r="E880" s="15">
        <v>0.21</v>
      </c>
      <c r="F880" s="131">
        <v>5632.1192000000001</v>
      </c>
      <c r="G880" s="17" t="e">
        <f t="shared" si="13"/>
        <v>#VALUE!</v>
      </c>
      <c r="H880" s="141">
        <v>1412</v>
      </c>
      <c r="I880" s="141">
        <v>0</v>
      </c>
      <c r="J880" s="149">
        <v>20</v>
      </c>
      <c r="K880" s="150">
        <v>120</v>
      </c>
    </row>
    <row r="881" spans="1:11" ht="30" customHeight="1">
      <c r="A881" s="31">
        <v>57111</v>
      </c>
      <c r="B881" s="16" t="s">
        <v>662</v>
      </c>
      <c r="C881" s="15" t="s">
        <v>2906</v>
      </c>
      <c r="D881" s="15" t="s">
        <v>2907</v>
      </c>
      <c r="E881" s="15">
        <v>0.21</v>
      </c>
      <c r="F881" s="131">
        <v>2220.6576</v>
      </c>
      <c r="G881" s="17" t="e">
        <f t="shared" si="13"/>
        <v>#VALUE!</v>
      </c>
      <c r="H881" s="141">
        <v>1226</v>
      </c>
      <c r="I881" s="141">
        <v>480</v>
      </c>
      <c r="J881" s="149">
        <v>20</v>
      </c>
      <c r="K881" s="150">
        <v>120</v>
      </c>
    </row>
    <row r="882" spans="1:11" ht="30" customHeight="1">
      <c r="A882" s="30">
        <v>57118</v>
      </c>
      <c r="B882" s="16" t="s">
        <v>662</v>
      </c>
      <c r="C882" s="15" t="s">
        <v>686</v>
      </c>
      <c r="D882" s="15" t="s">
        <v>98</v>
      </c>
      <c r="E882" s="15">
        <v>0.21</v>
      </c>
      <c r="F882" s="131">
        <v>1931.0126000000002</v>
      </c>
      <c r="G882" s="17" t="e">
        <f t="shared" si="13"/>
        <v>#VALUE!</v>
      </c>
      <c r="H882" s="141">
        <v>2227</v>
      </c>
      <c r="I882" s="141">
        <v>0</v>
      </c>
      <c r="J882" s="149">
        <v>20</v>
      </c>
      <c r="K882" s="150">
        <v>120</v>
      </c>
    </row>
    <row r="883" spans="1:11" ht="30" customHeight="1">
      <c r="A883" s="31">
        <v>57117</v>
      </c>
      <c r="B883" s="16" t="s">
        <v>662</v>
      </c>
      <c r="C883" s="15" t="s">
        <v>3173</v>
      </c>
      <c r="D883" s="15" t="s">
        <v>2566</v>
      </c>
      <c r="E883" s="15">
        <v>0.21</v>
      </c>
      <c r="F883" s="131">
        <v>3196.1115773455836</v>
      </c>
      <c r="G883" s="17" t="e">
        <f t="shared" si="13"/>
        <v>#VALUE!</v>
      </c>
      <c r="H883" s="141">
        <v>1490</v>
      </c>
      <c r="I883" s="141">
        <v>0</v>
      </c>
      <c r="J883" s="149">
        <v>20</v>
      </c>
      <c r="K883" s="150">
        <v>120</v>
      </c>
    </row>
    <row r="884" spans="1:11" ht="30" customHeight="1">
      <c r="A884" s="31">
        <v>57119</v>
      </c>
      <c r="B884" s="16" t="s">
        <v>662</v>
      </c>
      <c r="C884" s="15" t="s">
        <v>2906</v>
      </c>
      <c r="D884" s="15" t="s">
        <v>98</v>
      </c>
      <c r="E884" s="15">
        <v>0.21</v>
      </c>
      <c r="F884" s="131">
        <v>2865.4793452063859</v>
      </c>
      <c r="G884" s="17" t="e">
        <f t="shared" si="13"/>
        <v>#VALUE!</v>
      </c>
      <c r="H884" s="141">
        <v>2030</v>
      </c>
      <c r="I884" s="141">
        <v>0</v>
      </c>
      <c r="J884" s="149">
        <v>20</v>
      </c>
      <c r="K884" s="150">
        <v>120</v>
      </c>
    </row>
    <row r="885" spans="1:11" ht="30" customHeight="1">
      <c r="A885" s="31">
        <v>57160</v>
      </c>
      <c r="B885" s="16" t="s">
        <v>662</v>
      </c>
      <c r="C885" s="15" t="s">
        <v>2906</v>
      </c>
      <c r="D885" s="15" t="s">
        <v>2908</v>
      </c>
      <c r="E885" s="15">
        <v>0.21</v>
      </c>
      <c r="F885" s="131">
        <v>2955.1588711412223</v>
      </c>
      <c r="G885" s="17" t="e">
        <f t="shared" si="13"/>
        <v>#VALUE!</v>
      </c>
      <c r="H885" s="141">
        <v>844</v>
      </c>
      <c r="I885" s="141">
        <v>240</v>
      </c>
      <c r="J885" s="149">
        <v>20</v>
      </c>
      <c r="K885" s="150">
        <v>120</v>
      </c>
    </row>
    <row r="886" spans="1:11" ht="30" customHeight="1">
      <c r="A886" s="31">
        <v>57165</v>
      </c>
      <c r="B886" s="16" t="s">
        <v>662</v>
      </c>
      <c r="C886" s="15" t="s">
        <v>2909</v>
      </c>
      <c r="D886" s="15" t="s">
        <v>150</v>
      </c>
      <c r="E886" s="15">
        <v>0.21</v>
      </c>
      <c r="F886" s="131">
        <v>3134.621960481782</v>
      </c>
      <c r="G886" s="17" t="e">
        <f t="shared" si="13"/>
        <v>#VALUE!</v>
      </c>
      <c r="H886" s="141">
        <v>447</v>
      </c>
      <c r="I886" s="141">
        <v>120</v>
      </c>
      <c r="J886" s="149">
        <v>20</v>
      </c>
      <c r="K886" s="150">
        <v>120</v>
      </c>
    </row>
    <row r="887" spans="1:11" ht="30" customHeight="1">
      <c r="A887" s="31">
        <v>57164</v>
      </c>
      <c r="B887" s="16" t="s">
        <v>662</v>
      </c>
      <c r="C887" s="15" t="s">
        <v>2910</v>
      </c>
      <c r="D887" s="15" t="s">
        <v>150</v>
      </c>
      <c r="E887" s="15">
        <v>0.21</v>
      </c>
      <c r="F887" s="131">
        <v>4043.9016131406202</v>
      </c>
      <c r="G887" s="17" t="e">
        <f t="shared" si="13"/>
        <v>#VALUE!</v>
      </c>
      <c r="H887" s="141">
        <v>380</v>
      </c>
      <c r="I887" s="141">
        <v>0</v>
      </c>
      <c r="J887" s="149">
        <v>20</v>
      </c>
      <c r="K887" s="150">
        <v>120</v>
      </c>
    </row>
    <row r="888" spans="1:11" ht="30" customHeight="1">
      <c r="A888" s="31">
        <v>57163</v>
      </c>
      <c r="B888" s="16" t="s">
        <v>662</v>
      </c>
      <c r="C888" s="15" t="s">
        <v>2911</v>
      </c>
      <c r="D888" s="15" t="s">
        <v>150</v>
      </c>
      <c r="E888" s="15">
        <v>0.21</v>
      </c>
      <c r="F888" s="131">
        <v>3804.6174940198739</v>
      </c>
      <c r="G888" s="17" t="e">
        <f t="shared" si="13"/>
        <v>#VALUE!</v>
      </c>
      <c r="H888" s="141">
        <v>457</v>
      </c>
      <c r="I888" s="141">
        <v>120</v>
      </c>
      <c r="J888" s="149">
        <v>20</v>
      </c>
      <c r="K888" s="150">
        <v>120</v>
      </c>
    </row>
    <row r="889" spans="1:11" ht="30" customHeight="1">
      <c r="A889" s="31">
        <v>57168</v>
      </c>
      <c r="B889" s="16" t="s">
        <v>662</v>
      </c>
      <c r="C889" s="15" t="s">
        <v>2912</v>
      </c>
      <c r="D889" s="15" t="s">
        <v>2908</v>
      </c>
      <c r="E889" s="15">
        <v>0.21</v>
      </c>
      <c r="F889" s="131">
        <v>7573.3423701716356</v>
      </c>
      <c r="G889" s="17" t="e">
        <f t="shared" si="13"/>
        <v>#VALUE!</v>
      </c>
      <c r="H889" s="141">
        <v>531</v>
      </c>
      <c r="I889" s="141">
        <v>0</v>
      </c>
      <c r="J889" s="149">
        <v>20</v>
      </c>
      <c r="K889" s="150">
        <v>120</v>
      </c>
    </row>
    <row r="890" spans="1:11" ht="30" customHeight="1">
      <c r="A890" s="31">
        <v>57171</v>
      </c>
      <c r="B890" s="16" t="s">
        <v>662</v>
      </c>
      <c r="C890" s="15" t="s">
        <v>3174</v>
      </c>
      <c r="D890" s="15" t="s">
        <v>2579</v>
      </c>
      <c r="E890" s="15">
        <v>0.21</v>
      </c>
      <c r="F890" s="131">
        <v>10690.442172500745</v>
      </c>
      <c r="G890" s="17" t="e">
        <f t="shared" si="13"/>
        <v>#VALUE!</v>
      </c>
      <c r="H890" s="141">
        <v>439</v>
      </c>
      <c r="I890" s="141">
        <v>48</v>
      </c>
      <c r="J890" s="149">
        <v>12</v>
      </c>
      <c r="K890" s="150">
        <v>48</v>
      </c>
    </row>
    <row r="891" spans="1:11" ht="30" customHeight="1">
      <c r="A891" s="31">
        <v>57172</v>
      </c>
      <c r="B891" s="16" t="s">
        <v>662</v>
      </c>
      <c r="C891" s="15" t="s">
        <v>3175</v>
      </c>
      <c r="D891" s="15" t="s">
        <v>2649</v>
      </c>
      <c r="E891" s="15">
        <v>0.21</v>
      </c>
      <c r="F891" s="131">
        <v>24367.167189804215</v>
      </c>
      <c r="G891" s="17" t="e">
        <f t="shared" si="13"/>
        <v>#VALUE!</v>
      </c>
      <c r="H891" s="141">
        <v>179</v>
      </c>
      <c r="I891" s="141">
        <v>48</v>
      </c>
      <c r="J891" s="149">
        <v>12</v>
      </c>
      <c r="K891" s="150">
        <v>48</v>
      </c>
    </row>
    <row r="892" spans="1:11" ht="30" customHeight="1">
      <c r="A892" s="30">
        <v>57120</v>
      </c>
      <c r="B892" s="16" t="s">
        <v>662</v>
      </c>
      <c r="C892" s="15" t="s">
        <v>687</v>
      </c>
      <c r="D892" s="15" t="s">
        <v>98</v>
      </c>
      <c r="E892" s="15">
        <v>0.21</v>
      </c>
      <c r="F892" s="131">
        <v>5826.3217999999997</v>
      </c>
      <c r="G892" s="17" t="e">
        <f t="shared" si="13"/>
        <v>#VALUE!</v>
      </c>
      <c r="H892" s="141">
        <v>2124</v>
      </c>
      <c r="I892" s="141">
        <v>336</v>
      </c>
      <c r="J892" s="149">
        <v>12</v>
      </c>
      <c r="K892" s="150">
        <v>48</v>
      </c>
    </row>
    <row r="893" spans="1:11" ht="30" customHeight="1">
      <c r="A893" s="30">
        <v>57125</v>
      </c>
      <c r="B893" s="16" t="s">
        <v>662</v>
      </c>
      <c r="C893" s="15" t="s">
        <v>688</v>
      </c>
      <c r="D893" s="15" t="s">
        <v>98</v>
      </c>
      <c r="E893" s="15">
        <v>0.21</v>
      </c>
      <c r="F893" s="131">
        <v>7735.1380000000008</v>
      </c>
      <c r="G893" s="17" t="e">
        <f t="shared" si="13"/>
        <v>#VALUE!</v>
      </c>
      <c r="H893" s="141">
        <v>1913</v>
      </c>
      <c r="I893" s="141">
        <v>0</v>
      </c>
      <c r="J893" s="149">
        <v>12</v>
      </c>
      <c r="K893" s="150">
        <v>48</v>
      </c>
    </row>
    <row r="894" spans="1:11" ht="30" customHeight="1">
      <c r="A894" s="30">
        <v>57130</v>
      </c>
      <c r="B894" s="16" t="s">
        <v>662</v>
      </c>
      <c r="C894" s="15" t="s">
        <v>1906</v>
      </c>
      <c r="D894" s="15"/>
      <c r="E894" s="15">
        <v>0.105</v>
      </c>
      <c r="F894" s="131">
        <v>18676.108200000002</v>
      </c>
      <c r="G894" s="17" t="e">
        <f t="shared" si="13"/>
        <v>#VALUE!</v>
      </c>
      <c r="H894" s="141">
        <v>1773</v>
      </c>
      <c r="I894" s="141">
        <v>0</v>
      </c>
      <c r="J894" s="149">
        <v>12</v>
      </c>
      <c r="K894" s="150">
        <v>48</v>
      </c>
    </row>
    <row r="895" spans="1:11" ht="30" customHeight="1">
      <c r="A895" s="31">
        <v>57132</v>
      </c>
      <c r="B895" s="16" t="s">
        <v>662</v>
      </c>
      <c r="C895" s="15" t="s">
        <v>2913</v>
      </c>
      <c r="D895" s="15" t="s">
        <v>2914</v>
      </c>
      <c r="E895" s="15">
        <v>0.105</v>
      </c>
      <c r="F895" s="131">
        <v>38715.6944</v>
      </c>
      <c r="G895" s="17" t="e">
        <f t="shared" si="13"/>
        <v>#VALUE!</v>
      </c>
      <c r="H895" s="141">
        <v>60</v>
      </c>
      <c r="I895" s="141">
        <v>30</v>
      </c>
      <c r="J895" s="149">
        <v>0</v>
      </c>
      <c r="K895" s="150">
        <v>6</v>
      </c>
    </row>
    <row r="896" spans="1:11" ht="30" customHeight="1">
      <c r="A896" s="31">
        <v>45006</v>
      </c>
      <c r="B896" s="16" t="s">
        <v>662</v>
      </c>
      <c r="C896" s="15" t="s">
        <v>3565</v>
      </c>
      <c r="D896" s="15" t="s">
        <v>4209</v>
      </c>
      <c r="E896" s="15">
        <v>0.21</v>
      </c>
      <c r="F896" s="131">
        <v>28754.736600000004</v>
      </c>
      <c r="G896" s="17" t="e">
        <f t="shared" si="13"/>
        <v>#VALUE!</v>
      </c>
      <c r="H896" s="141">
        <v>355</v>
      </c>
      <c r="I896" s="141">
        <v>0</v>
      </c>
      <c r="J896" s="149">
        <v>0</v>
      </c>
      <c r="K896" s="150">
        <v>10</v>
      </c>
    </row>
    <row r="897" spans="1:11" ht="30" customHeight="1">
      <c r="A897" s="31">
        <v>31046</v>
      </c>
      <c r="B897" s="16" t="s">
        <v>2373</v>
      </c>
      <c r="C897" s="15" t="s">
        <v>3176</v>
      </c>
      <c r="D897" s="15" t="s">
        <v>2374</v>
      </c>
      <c r="E897" s="15">
        <v>0.21</v>
      </c>
      <c r="F897" s="131">
        <v>22126.174051130707</v>
      </c>
      <c r="G897" s="17" t="e">
        <f t="shared" si="13"/>
        <v>#VALUE!</v>
      </c>
      <c r="H897" s="141">
        <v>765</v>
      </c>
      <c r="I897" s="141">
        <v>80</v>
      </c>
      <c r="J897" s="149">
        <v>10</v>
      </c>
      <c r="K897" s="150">
        <v>40</v>
      </c>
    </row>
    <row r="898" spans="1:11" ht="30" customHeight="1">
      <c r="A898" s="30">
        <v>31070</v>
      </c>
      <c r="B898" s="16" t="s">
        <v>662</v>
      </c>
      <c r="C898" s="15" t="s">
        <v>681</v>
      </c>
      <c r="D898" s="15" t="s">
        <v>682</v>
      </c>
      <c r="E898" s="15">
        <v>0.21</v>
      </c>
      <c r="F898" s="131">
        <v>16788.987547463672</v>
      </c>
      <c r="G898" s="17" t="e">
        <f t="shared" si="13"/>
        <v>#VALUE!</v>
      </c>
      <c r="H898" s="141">
        <v>237</v>
      </c>
      <c r="I898" s="141">
        <v>40</v>
      </c>
      <c r="J898" s="149">
        <v>10</v>
      </c>
      <c r="K898" s="150">
        <v>40</v>
      </c>
    </row>
    <row r="899" spans="1:11" ht="30" customHeight="1">
      <c r="A899" s="30">
        <v>31071</v>
      </c>
      <c r="B899" s="16" t="s">
        <v>662</v>
      </c>
      <c r="C899" s="15" t="s">
        <v>681</v>
      </c>
      <c r="D899" s="15" t="s">
        <v>35</v>
      </c>
      <c r="E899" s="15">
        <v>0.21</v>
      </c>
      <c r="F899" s="131">
        <v>18374.614149168574</v>
      </c>
      <c r="G899" s="17" t="e">
        <f t="shared" si="13"/>
        <v>#VALUE!</v>
      </c>
      <c r="H899" s="141">
        <v>195</v>
      </c>
      <c r="I899" s="141">
        <v>80</v>
      </c>
      <c r="J899" s="149">
        <v>10</v>
      </c>
      <c r="K899" s="150">
        <v>40</v>
      </c>
    </row>
    <row r="900" spans="1:11" ht="30" customHeight="1">
      <c r="A900" s="30">
        <v>31072</v>
      </c>
      <c r="B900" s="16" t="s">
        <v>662</v>
      </c>
      <c r="C900" s="15" t="s">
        <v>681</v>
      </c>
      <c r="D900" s="15" t="s">
        <v>683</v>
      </c>
      <c r="E900" s="15">
        <v>0.21</v>
      </c>
      <c r="F900" s="131">
        <v>20240.057209997874</v>
      </c>
      <c r="G900" s="17" t="e">
        <f t="shared" si="13"/>
        <v>#VALUE!</v>
      </c>
      <c r="H900" s="141">
        <v>188</v>
      </c>
      <c r="I900" s="141">
        <v>80</v>
      </c>
      <c r="J900" s="149">
        <v>10</v>
      </c>
      <c r="K900" s="150">
        <v>40</v>
      </c>
    </row>
    <row r="901" spans="1:11" ht="30" customHeight="1">
      <c r="A901" s="30">
        <v>31073</v>
      </c>
      <c r="B901" s="16" t="s">
        <v>662</v>
      </c>
      <c r="C901" s="15" t="s">
        <v>681</v>
      </c>
      <c r="D901" s="15" t="s">
        <v>684</v>
      </c>
      <c r="E901" s="15">
        <v>0.21</v>
      </c>
      <c r="F901" s="131">
        <v>22012.228117785711</v>
      </c>
      <c r="G901" s="17" t="e">
        <f t="shared" si="13"/>
        <v>#VALUE!</v>
      </c>
      <c r="H901" s="141">
        <v>349</v>
      </c>
      <c r="I901" s="141">
        <v>0</v>
      </c>
      <c r="J901" s="149">
        <v>10</v>
      </c>
      <c r="K901" s="150">
        <v>40</v>
      </c>
    </row>
    <row r="902" spans="1:11" ht="30" customHeight="1">
      <c r="A902" s="31">
        <v>31048</v>
      </c>
      <c r="B902" s="16" t="s">
        <v>2373</v>
      </c>
      <c r="C902" s="15" t="s">
        <v>3177</v>
      </c>
      <c r="D902" s="15" t="s">
        <v>389</v>
      </c>
      <c r="E902" s="15">
        <v>0.21</v>
      </c>
      <c r="F902" s="131">
        <v>60056.758138783349</v>
      </c>
      <c r="G902" s="17" t="e">
        <f t="shared" si="13"/>
        <v>#VALUE!</v>
      </c>
      <c r="H902" s="141">
        <v>86</v>
      </c>
      <c r="I902" s="141">
        <v>0</v>
      </c>
      <c r="J902" s="149">
        <v>0</v>
      </c>
      <c r="K902" s="150">
        <v>10</v>
      </c>
    </row>
    <row r="903" spans="1:11" ht="30" customHeight="1">
      <c r="A903" s="31">
        <v>31049</v>
      </c>
      <c r="B903" s="16" t="s">
        <v>2373</v>
      </c>
      <c r="C903" s="15" t="s">
        <v>2375</v>
      </c>
      <c r="D903" s="15" t="s">
        <v>2376</v>
      </c>
      <c r="E903" s="15">
        <v>0.21</v>
      </c>
      <c r="F903" s="131">
        <v>33788.738698771027</v>
      </c>
      <c r="G903" s="17" t="e">
        <f t="shared" si="13"/>
        <v>#VALUE!</v>
      </c>
      <c r="H903" s="141">
        <v>67</v>
      </c>
      <c r="I903" s="141">
        <v>10</v>
      </c>
      <c r="J903" s="149">
        <v>0</v>
      </c>
      <c r="K903" s="150">
        <v>10</v>
      </c>
    </row>
    <row r="904" spans="1:11" ht="30" customHeight="1">
      <c r="A904" s="31">
        <v>58086</v>
      </c>
      <c r="B904" s="16" t="s">
        <v>662</v>
      </c>
      <c r="C904" s="15" t="s">
        <v>3566</v>
      </c>
      <c r="D904" s="15" t="s">
        <v>3567</v>
      </c>
      <c r="E904" s="15">
        <v>0.21</v>
      </c>
      <c r="F904" s="131">
        <v>12500.889567067792</v>
      </c>
      <c r="G904" s="17" t="e">
        <f t="shared" si="13"/>
        <v>#VALUE!</v>
      </c>
      <c r="H904" s="141">
        <v>-4</v>
      </c>
      <c r="I904" s="141">
        <v>36</v>
      </c>
      <c r="J904" s="149" t="e">
        <v>#N/A</v>
      </c>
      <c r="K904" s="150" t="e">
        <v>#N/A</v>
      </c>
    </row>
    <row r="905" spans="1:11" ht="30" customHeight="1">
      <c r="A905" s="31">
        <v>58087</v>
      </c>
      <c r="B905" s="16" t="s">
        <v>662</v>
      </c>
      <c r="C905" s="15" t="s">
        <v>3566</v>
      </c>
      <c r="D905" s="15" t="s">
        <v>3568</v>
      </c>
      <c r="E905" s="15">
        <v>0.21</v>
      </c>
      <c r="F905" s="131">
        <v>12851.381797920163</v>
      </c>
      <c r="G905" s="17" t="e">
        <f t="shared" ref="G905:G968" si="14">(F905*$G$6)</f>
        <v>#VALUE!</v>
      </c>
      <c r="H905" s="141">
        <v>0</v>
      </c>
      <c r="I905" s="141">
        <v>0</v>
      </c>
      <c r="J905" s="149" t="e">
        <v>#N/A</v>
      </c>
      <c r="K905" s="150" t="e">
        <v>#N/A</v>
      </c>
    </row>
    <row r="906" spans="1:11" ht="30" customHeight="1">
      <c r="A906" s="31">
        <v>58088</v>
      </c>
      <c r="B906" s="16" t="s">
        <v>662</v>
      </c>
      <c r="C906" s="15" t="s">
        <v>3566</v>
      </c>
      <c r="D906" s="15" t="s">
        <v>3569</v>
      </c>
      <c r="E906" s="15">
        <v>0.21</v>
      </c>
      <c r="F906" s="131">
        <v>13201.874028772527</v>
      </c>
      <c r="G906" s="17" t="e">
        <f t="shared" si="14"/>
        <v>#VALUE!</v>
      </c>
      <c r="H906" s="141">
        <v>-37</v>
      </c>
      <c r="I906" s="141">
        <v>360</v>
      </c>
      <c r="J906" s="149" t="e">
        <v>#N/A</v>
      </c>
      <c r="K906" s="150" t="e">
        <v>#N/A</v>
      </c>
    </row>
    <row r="907" spans="1:11" ht="30" customHeight="1">
      <c r="A907" s="31">
        <v>58089</v>
      </c>
      <c r="B907" s="16" t="s">
        <v>662</v>
      </c>
      <c r="C907" s="15" t="s">
        <v>3566</v>
      </c>
      <c r="D907" s="15" t="s">
        <v>3570</v>
      </c>
      <c r="E907" s="15">
        <v>0.21</v>
      </c>
      <c r="F907" s="131">
        <v>13669.197003242354</v>
      </c>
      <c r="G907" s="17" t="e">
        <f t="shared" si="14"/>
        <v>#VALUE!</v>
      </c>
      <c r="H907" s="141">
        <v>0</v>
      </c>
      <c r="I907" s="141">
        <v>0</v>
      </c>
      <c r="J907" s="149" t="e">
        <v>#N/A</v>
      </c>
      <c r="K907" s="150" t="e">
        <v>#N/A</v>
      </c>
    </row>
    <row r="908" spans="1:11" ht="30" customHeight="1">
      <c r="A908" s="30">
        <v>31014</v>
      </c>
      <c r="B908" s="16" t="s">
        <v>662</v>
      </c>
      <c r="C908" s="15" t="s">
        <v>679</v>
      </c>
      <c r="D908" s="15" t="s">
        <v>680</v>
      </c>
      <c r="E908" s="15">
        <v>0.21</v>
      </c>
      <c r="F908" s="131">
        <v>17907.563717855533</v>
      </c>
      <c r="G908" s="17" t="e">
        <f t="shared" si="14"/>
        <v>#VALUE!</v>
      </c>
      <c r="H908" s="141">
        <v>368</v>
      </c>
      <c r="I908" s="141">
        <v>120</v>
      </c>
      <c r="J908" s="149">
        <v>6</v>
      </c>
      <c r="K908" s="150">
        <v>24</v>
      </c>
    </row>
    <row r="909" spans="1:11" ht="30" customHeight="1">
      <c r="A909" s="31">
        <v>31081</v>
      </c>
      <c r="B909" s="16" t="s">
        <v>662</v>
      </c>
      <c r="C909" s="15" t="s">
        <v>3178</v>
      </c>
      <c r="D909" s="15" t="s">
        <v>2650</v>
      </c>
      <c r="E909" s="15">
        <v>0.21</v>
      </c>
      <c r="F909" s="131">
        <v>25757.875802251659</v>
      </c>
      <c r="G909" s="17" t="e">
        <f t="shared" si="14"/>
        <v>#VALUE!</v>
      </c>
      <c r="H909" s="141">
        <v>124</v>
      </c>
      <c r="I909" s="141">
        <v>0</v>
      </c>
      <c r="J909" s="149">
        <v>6</v>
      </c>
      <c r="K909" s="150">
        <v>18</v>
      </c>
    </row>
    <row r="910" spans="1:11" ht="30" customHeight="1">
      <c r="A910" s="31">
        <v>31082</v>
      </c>
      <c r="B910" s="16" t="s">
        <v>662</v>
      </c>
      <c r="C910" s="15" t="s">
        <v>3178</v>
      </c>
      <c r="D910" s="15" t="s">
        <v>2651</v>
      </c>
      <c r="E910" s="15">
        <v>0.21</v>
      </c>
      <c r="F910" s="131">
        <v>28333.663382476829</v>
      </c>
      <c r="G910" s="17" t="e">
        <f t="shared" si="14"/>
        <v>#VALUE!</v>
      </c>
      <c r="H910" s="141">
        <v>77</v>
      </c>
      <c r="I910" s="141">
        <v>0</v>
      </c>
      <c r="J910" s="149">
        <v>6</v>
      </c>
      <c r="K910" s="150">
        <v>12</v>
      </c>
    </row>
    <row r="911" spans="1:11" ht="30" customHeight="1">
      <c r="A911" s="31">
        <v>31099</v>
      </c>
      <c r="B911" s="16" t="s">
        <v>662</v>
      </c>
      <c r="C911" s="15" t="s">
        <v>3179</v>
      </c>
      <c r="D911" s="15" t="s">
        <v>2652</v>
      </c>
      <c r="E911" s="15">
        <v>0.21</v>
      </c>
      <c r="F911" s="131">
        <v>5968.6162000000004</v>
      </c>
      <c r="G911" s="17" t="e">
        <f t="shared" si="14"/>
        <v>#VALUE!</v>
      </c>
      <c r="H911" s="141">
        <v>1180</v>
      </c>
      <c r="I911" s="141">
        <v>0</v>
      </c>
      <c r="J911" s="149">
        <v>50</v>
      </c>
      <c r="K911" s="150">
        <v>200</v>
      </c>
    </row>
    <row r="912" spans="1:11" ht="30" customHeight="1">
      <c r="A912" s="31">
        <v>31100</v>
      </c>
      <c r="B912" s="16" t="s">
        <v>662</v>
      </c>
      <c r="C912" s="15" t="s">
        <v>3179</v>
      </c>
      <c r="D912" s="15" t="s">
        <v>2653</v>
      </c>
      <c r="E912" s="15">
        <v>0.21</v>
      </c>
      <c r="F912" s="131">
        <v>7143.5175558244609</v>
      </c>
      <c r="G912" s="17" t="e">
        <f t="shared" si="14"/>
        <v>#VALUE!</v>
      </c>
      <c r="H912" s="141">
        <v>1186</v>
      </c>
      <c r="I912" s="141">
        <v>0</v>
      </c>
      <c r="J912" s="149">
        <v>50</v>
      </c>
      <c r="K912" s="150">
        <v>200</v>
      </c>
    </row>
    <row r="913" spans="1:11" ht="30" customHeight="1">
      <c r="A913" s="31">
        <v>31105</v>
      </c>
      <c r="B913" s="16" t="s">
        <v>662</v>
      </c>
      <c r="C913" s="15" t="s">
        <v>3180</v>
      </c>
      <c r="D913" s="15" t="s">
        <v>2652</v>
      </c>
      <c r="E913" s="15">
        <v>0.21</v>
      </c>
      <c r="F913" s="131">
        <v>5968.6162000000004</v>
      </c>
      <c r="G913" s="17" t="e">
        <f t="shared" si="14"/>
        <v>#VALUE!</v>
      </c>
      <c r="H913" s="141">
        <v>1188</v>
      </c>
      <c r="I913" s="141">
        <v>0</v>
      </c>
      <c r="J913" s="149">
        <v>50</v>
      </c>
      <c r="K913" s="150">
        <v>200</v>
      </c>
    </row>
    <row r="914" spans="1:11" ht="30" customHeight="1">
      <c r="A914" s="31">
        <v>30106</v>
      </c>
      <c r="B914" s="16" t="s">
        <v>662</v>
      </c>
      <c r="C914" s="15" t="s">
        <v>3180</v>
      </c>
      <c r="D914" s="15" t="s">
        <v>2653</v>
      </c>
      <c r="E914" s="15">
        <v>0.21</v>
      </c>
      <c r="F914" s="131">
        <v>7143.5175558244609</v>
      </c>
      <c r="G914" s="17" t="e">
        <f t="shared" si="14"/>
        <v>#VALUE!</v>
      </c>
      <c r="H914" s="141">
        <v>1191</v>
      </c>
      <c r="I914" s="141">
        <v>0</v>
      </c>
      <c r="J914" s="149">
        <v>50</v>
      </c>
      <c r="K914" s="150">
        <v>200</v>
      </c>
    </row>
    <row r="915" spans="1:11" ht="30" customHeight="1">
      <c r="A915" s="30">
        <v>31018</v>
      </c>
      <c r="B915" s="16" t="s">
        <v>662</v>
      </c>
      <c r="C915" s="15" t="s">
        <v>665</v>
      </c>
      <c r="D915" s="15" t="s">
        <v>12</v>
      </c>
      <c r="E915" s="15">
        <v>0.21</v>
      </c>
      <c r="F915" s="131">
        <v>20790.937203168636</v>
      </c>
      <c r="G915" s="17" t="e">
        <f t="shared" si="14"/>
        <v>#VALUE!</v>
      </c>
      <c r="H915" s="141">
        <v>1261</v>
      </c>
      <c r="I915" s="141">
        <v>0</v>
      </c>
      <c r="J915" s="149">
        <v>10</v>
      </c>
      <c r="K915" s="150">
        <v>60</v>
      </c>
    </row>
    <row r="916" spans="1:11" ht="30" customHeight="1">
      <c r="A916" s="30">
        <v>31019</v>
      </c>
      <c r="B916" s="16" t="s">
        <v>662</v>
      </c>
      <c r="C916" s="15" t="s">
        <v>1907</v>
      </c>
      <c r="D916" s="15" t="s">
        <v>12</v>
      </c>
      <c r="E916" s="15">
        <v>0.21</v>
      </c>
      <c r="F916" s="131">
        <v>20415.361401338654</v>
      </c>
      <c r="G916" s="17" t="e">
        <f t="shared" si="14"/>
        <v>#VALUE!</v>
      </c>
      <c r="H916" s="141">
        <v>529</v>
      </c>
      <c r="I916" s="141">
        <v>0</v>
      </c>
      <c r="J916" s="149">
        <v>10</v>
      </c>
      <c r="K916" s="150">
        <v>60</v>
      </c>
    </row>
    <row r="917" spans="1:11" ht="30" customHeight="1">
      <c r="A917" s="30">
        <v>31031</v>
      </c>
      <c r="B917" s="16" t="s">
        <v>662</v>
      </c>
      <c r="C917" s="15" t="s">
        <v>666</v>
      </c>
      <c r="D917" s="15" t="s">
        <v>12</v>
      </c>
      <c r="E917" s="15">
        <v>0.21</v>
      </c>
      <c r="F917" s="131">
        <v>26795.907910179314</v>
      </c>
      <c r="G917" s="17" t="e">
        <f t="shared" si="14"/>
        <v>#VALUE!</v>
      </c>
      <c r="H917" s="141">
        <v>142</v>
      </c>
      <c r="I917" s="141">
        <v>0</v>
      </c>
      <c r="J917" s="149">
        <v>6</v>
      </c>
      <c r="K917" s="150">
        <v>60</v>
      </c>
    </row>
    <row r="918" spans="1:11" ht="30" customHeight="1">
      <c r="A918" s="30">
        <v>31032</v>
      </c>
      <c r="B918" s="16" t="s">
        <v>662</v>
      </c>
      <c r="C918" s="15" t="s">
        <v>667</v>
      </c>
      <c r="D918" s="15" t="s">
        <v>12</v>
      </c>
      <c r="E918" s="15">
        <v>0.21</v>
      </c>
      <c r="F918" s="131">
        <v>27425.221816108784</v>
      </c>
      <c r="G918" s="17" t="e">
        <f t="shared" si="14"/>
        <v>#VALUE!</v>
      </c>
      <c r="H918" s="141">
        <v>405</v>
      </c>
      <c r="I918" s="141">
        <v>0</v>
      </c>
      <c r="J918" s="149">
        <v>6</v>
      </c>
      <c r="K918" s="150">
        <v>60</v>
      </c>
    </row>
    <row r="919" spans="1:11" ht="30" customHeight="1">
      <c r="A919" s="30">
        <v>31020</v>
      </c>
      <c r="B919" s="16" t="s">
        <v>662</v>
      </c>
      <c r="C919" s="15" t="s">
        <v>668</v>
      </c>
      <c r="D919" s="15" t="s">
        <v>12</v>
      </c>
      <c r="E919" s="15">
        <v>0.21</v>
      </c>
      <c r="F919" s="131">
        <v>20543.01573927822</v>
      </c>
      <c r="G919" s="17" t="e">
        <f t="shared" si="14"/>
        <v>#VALUE!</v>
      </c>
      <c r="H919" s="141">
        <v>554</v>
      </c>
      <c r="I919" s="141">
        <v>0</v>
      </c>
      <c r="J919" s="149">
        <v>10</v>
      </c>
      <c r="K919" s="150">
        <v>60</v>
      </c>
    </row>
    <row r="920" spans="1:11" ht="30" customHeight="1">
      <c r="A920" s="30">
        <v>31021</v>
      </c>
      <c r="B920" s="16" t="s">
        <v>662</v>
      </c>
      <c r="C920" s="15" t="s">
        <v>668</v>
      </c>
      <c r="D920" s="15" t="s">
        <v>12</v>
      </c>
      <c r="E920" s="15">
        <v>0.21</v>
      </c>
      <c r="F920" s="131">
        <v>18675.468853889291</v>
      </c>
      <c r="G920" s="17" t="e">
        <f t="shared" si="14"/>
        <v>#VALUE!</v>
      </c>
      <c r="H920" s="141">
        <v>323</v>
      </c>
      <c r="I920" s="141">
        <v>0</v>
      </c>
      <c r="J920" s="149">
        <v>10</v>
      </c>
      <c r="K920" s="150">
        <v>60</v>
      </c>
    </row>
    <row r="921" spans="1:11" ht="30" customHeight="1">
      <c r="A921" s="30">
        <v>31022</v>
      </c>
      <c r="B921" s="16" t="s">
        <v>662</v>
      </c>
      <c r="C921" s="15" t="s">
        <v>668</v>
      </c>
      <c r="D921" s="15" t="s">
        <v>12</v>
      </c>
      <c r="E921" s="15">
        <v>0.21</v>
      </c>
      <c r="F921" s="131">
        <v>31528.658076977685</v>
      </c>
      <c r="G921" s="17" t="e">
        <f t="shared" si="14"/>
        <v>#VALUE!</v>
      </c>
      <c r="H921" s="141">
        <v>191</v>
      </c>
      <c r="I921" s="141">
        <v>120</v>
      </c>
      <c r="J921" s="149">
        <v>10</v>
      </c>
      <c r="K921" s="150">
        <v>60</v>
      </c>
    </row>
    <row r="922" spans="1:11" ht="30" customHeight="1">
      <c r="A922" s="30">
        <v>31023</v>
      </c>
      <c r="B922" s="16" t="s">
        <v>662</v>
      </c>
      <c r="C922" s="15" t="s">
        <v>669</v>
      </c>
      <c r="D922" s="15" t="s">
        <v>12</v>
      </c>
      <c r="E922" s="15">
        <v>0.21</v>
      </c>
      <c r="F922" s="131">
        <v>29933.777950183794</v>
      </c>
      <c r="G922" s="17" t="e">
        <f t="shared" si="14"/>
        <v>#VALUE!</v>
      </c>
      <c r="H922" s="141">
        <v>232</v>
      </c>
      <c r="I922" s="141">
        <v>0</v>
      </c>
      <c r="J922" s="149">
        <v>10</v>
      </c>
      <c r="K922" s="150">
        <v>60</v>
      </c>
    </row>
    <row r="923" spans="1:11" ht="30" customHeight="1">
      <c r="A923" s="31">
        <v>31034</v>
      </c>
      <c r="B923" s="16" t="s">
        <v>662</v>
      </c>
      <c r="C923" s="15" t="s">
        <v>2915</v>
      </c>
      <c r="D923" s="15" t="s">
        <v>2916</v>
      </c>
      <c r="E923" s="15">
        <v>0.21</v>
      </c>
      <c r="F923" s="131">
        <v>17449.230007339655</v>
      </c>
      <c r="G923" s="17" t="e">
        <f t="shared" si="14"/>
        <v>#VALUE!</v>
      </c>
      <c r="H923" s="141">
        <v>214</v>
      </c>
      <c r="I923" s="141">
        <v>0</v>
      </c>
      <c r="J923" s="149">
        <v>10</v>
      </c>
      <c r="K923" s="150">
        <v>60</v>
      </c>
    </row>
    <row r="924" spans="1:11" ht="30" customHeight="1">
      <c r="A924" s="31">
        <v>31035</v>
      </c>
      <c r="B924" s="16" t="s">
        <v>662</v>
      </c>
      <c r="C924" s="15" t="s">
        <v>2917</v>
      </c>
      <c r="D924" s="15" t="s">
        <v>362</v>
      </c>
      <c r="E924" s="15">
        <v>0.21</v>
      </c>
      <c r="F924" s="131">
        <v>29082.050012232761</v>
      </c>
      <c r="G924" s="17" t="e">
        <f t="shared" si="14"/>
        <v>#VALUE!</v>
      </c>
      <c r="H924" s="141">
        <v>222</v>
      </c>
      <c r="I924" s="141">
        <v>0</v>
      </c>
      <c r="J924" s="149">
        <v>10</v>
      </c>
      <c r="K924" s="150">
        <v>60</v>
      </c>
    </row>
    <row r="925" spans="1:11" ht="30" customHeight="1">
      <c r="A925" s="31">
        <v>31036</v>
      </c>
      <c r="B925" s="16" t="s">
        <v>662</v>
      </c>
      <c r="C925" s="15" t="s">
        <v>2918</v>
      </c>
      <c r="D925" s="15" t="s">
        <v>362</v>
      </c>
      <c r="E925" s="15">
        <v>0.21</v>
      </c>
      <c r="F925" s="131">
        <v>29967.155882170282</v>
      </c>
      <c r="G925" s="17" t="e">
        <f t="shared" si="14"/>
        <v>#VALUE!</v>
      </c>
      <c r="H925" s="141">
        <v>219</v>
      </c>
      <c r="I925" s="141">
        <v>0</v>
      </c>
      <c r="J925" s="149">
        <v>10</v>
      </c>
      <c r="K925" s="150">
        <v>60</v>
      </c>
    </row>
    <row r="926" spans="1:11" ht="30" customHeight="1">
      <c r="A926" s="31">
        <v>31037</v>
      </c>
      <c r="B926" s="16" t="s">
        <v>662</v>
      </c>
      <c r="C926" s="15" t="s">
        <v>3181</v>
      </c>
      <c r="D926" s="15" t="s">
        <v>369</v>
      </c>
      <c r="E926" s="15">
        <v>0.21</v>
      </c>
      <c r="F926" s="131">
        <v>28449.827600000001</v>
      </c>
      <c r="G926" s="17" t="e">
        <f t="shared" si="14"/>
        <v>#VALUE!</v>
      </c>
      <c r="H926" s="141">
        <v>228</v>
      </c>
      <c r="I926" s="141">
        <v>0</v>
      </c>
      <c r="J926" s="149">
        <v>10</v>
      </c>
      <c r="K926" s="150">
        <v>60</v>
      </c>
    </row>
    <row r="927" spans="1:11" ht="30" customHeight="1">
      <c r="A927" s="31">
        <v>31029</v>
      </c>
      <c r="B927" s="16" t="s">
        <v>662</v>
      </c>
      <c r="C927" s="15" t="s">
        <v>665</v>
      </c>
      <c r="D927" s="15" t="s">
        <v>389</v>
      </c>
      <c r="E927" s="15">
        <v>0.21</v>
      </c>
      <c r="F927" s="131">
        <v>37584.695600000006</v>
      </c>
      <c r="G927" s="17" t="e">
        <f t="shared" si="14"/>
        <v>#VALUE!</v>
      </c>
      <c r="H927" s="141">
        <v>108</v>
      </c>
      <c r="I927" s="141">
        <v>0</v>
      </c>
      <c r="J927" s="149">
        <v>10</v>
      </c>
      <c r="K927" s="150">
        <v>40</v>
      </c>
    </row>
    <row r="928" spans="1:11" ht="30" customHeight="1">
      <c r="A928" s="30">
        <v>31024</v>
      </c>
      <c r="B928" s="16" t="s">
        <v>662</v>
      </c>
      <c r="C928" s="15" t="s">
        <v>670</v>
      </c>
      <c r="D928" s="15" t="s">
        <v>671</v>
      </c>
      <c r="E928" s="15">
        <v>0.21</v>
      </c>
      <c r="F928" s="131">
        <v>61459.670729749101</v>
      </c>
      <c r="G928" s="17" t="e">
        <f t="shared" si="14"/>
        <v>#VALUE!</v>
      </c>
      <c r="H928" s="141">
        <v>242</v>
      </c>
      <c r="I928" s="141">
        <v>120</v>
      </c>
      <c r="J928" s="149">
        <v>0</v>
      </c>
      <c r="K928" s="150">
        <v>12</v>
      </c>
    </row>
    <row r="929" spans="1:11" ht="30" customHeight="1">
      <c r="A929" s="30">
        <v>31025</v>
      </c>
      <c r="B929" s="16" t="s">
        <v>662</v>
      </c>
      <c r="C929" s="15" t="s">
        <v>672</v>
      </c>
      <c r="D929" s="15" t="s">
        <v>673</v>
      </c>
      <c r="E929" s="15">
        <v>0.21</v>
      </c>
      <c r="F929" s="131">
        <v>59995.369252083903</v>
      </c>
      <c r="G929" s="17" t="e">
        <f t="shared" si="14"/>
        <v>#VALUE!</v>
      </c>
      <c r="H929" s="141">
        <v>528</v>
      </c>
      <c r="I929" s="141">
        <v>120</v>
      </c>
      <c r="J929" s="149">
        <v>0</v>
      </c>
      <c r="K929" s="150">
        <v>12</v>
      </c>
    </row>
    <row r="930" spans="1:11" ht="30" customHeight="1">
      <c r="A930" s="31">
        <v>31028</v>
      </c>
      <c r="B930" s="16" t="s">
        <v>662</v>
      </c>
      <c r="C930" s="15" t="s">
        <v>3182</v>
      </c>
      <c r="D930" s="15" t="s">
        <v>2654</v>
      </c>
      <c r="E930" s="15">
        <v>0.21</v>
      </c>
      <c r="F930" s="131">
        <v>70095.76601652753</v>
      </c>
      <c r="G930" s="17" t="e">
        <f t="shared" si="14"/>
        <v>#VALUE!</v>
      </c>
      <c r="H930" s="141">
        <v>65</v>
      </c>
      <c r="I930" s="141">
        <v>24</v>
      </c>
      <c r="J930" s="149">
        <v>0</v>
      </c>
      <c r="K930" s="150">
        <v>6</v>
      </c>
    </row>
    <row r="931" spans="1:11" ht="30" customHeight="1">
      <c r="A931" s="31">
        <v>31030</v>
      </c>
      <c r="B931" s="16" t="s">
        <v>662</v>
      </c>
      <c r="C931" s="15" t="s">
        <v>2919</v>
      </c>
      <c r="D931" s="15" t="s">
        <v>2920</v>
      </c>
      <c r="E931" s="15">
        <v>0.21</v>
      </c>
      <c r="F931" s="131">
        <v>102419.39420000001</v>
      </c>
      <c r="G931" s="17" t="e">
        <f t="shared" si="14"/>
        <v>#VALUE!</v>
      </c>
      <c r="H931" s="141">
        <v>60</v>
      </c>
      <c r="I931" s="141">
        <v>24</v>
      </c>
      <c r="J931" s="149">
        <v>0</v>
      </c>
      <c r="K931" s="150">
        <v>6</v>
      </c>
    </row>
    <row r="932" spans="1:11" ht="30" customHeight="1">
      <c r="A932" s="31">
        <v>58001</v>
      </c>
      <c r="B932" s="16" t="s">
        <v>2373</v>
      </c>
      <c r="C932" s="15" t="s">
        <v>2383</v>
      </c>
      <c r="D932" s="15" t="s">
        <v>2384</v>
      </c>
      <c r="E932" s="15">
        <v>0.21</v>
      </c>
      <c r="F932" s="131">
        <v>37058.616637361753</v>
      </c>
      <c r="G932" s="17" t="e">
        <f t="shared" si="14"/>
        <v>#VALUE!</v>
      </c>
      <c r="H932" s="141">
        <v>708</v>
      </c>
      <c r="I932" s="141">
        <v>0</v>
      </c>
      <c r="J932" s="149">
        <v>0</v>
      </c>
      <c r="K932" s="150">
        <v>6</v>
      </c>
    </row>
    <row r="933" spans="1:11" ht="30" customHeight="1">
      <c r="A933" s="31">
        <v>58002</v>
      </c>
      <c r="B933" s="16" t="s">
        <v>2373</v>
      </c>
      <c r="C933" s="15" t="s">
        <v>2383</v>
      </c>
      <c r="D933" s="15" t="s">
        <v>2385</v>
      </c>
      <c r="E933" s="15">
        <v>0.21</v>
      </c>
      <c r="F933" s="131">
        <v>37058.616637361753</v>
      </c>
      <c r="G933" s="17" t="e">
        <f t="shared" si="14"/>
        <v>#VALUE!</v>
      </c>
      <c r="H933" s="141">
        <v>549</v>
      </c>
      <c r="I933" s="141">
        <v>0</v>
      </c>
      <c r="J933" s="149">
        <v>0</v>
      </c>
      <c r="K933" s="150">
        <v>6</v>
      </c>
    </row>
    <row r="934" spans="1:11" ht="30" customHeight="1">
      <c r="A934" s="31">
        <v>58005</v>
      </c>
      <c r="B934" s="16" t="s">
        <v>2373</v>
      </c>
      <c r="C934" s="15" t="s">
        <v>2383</v>
      </c>
      <c r="D934" s="15" t="s">
        <v>2386</v>
      </c>
      <c r="E934" s="15">
        <v>0.21</v>
      </c>
      <c r="F934" s="131">
        <v>40437.490507238872</v>
      </c>
      <c r="G934" s="17" t="e">
        <f t="shared" si="14"/>
        <v>#VALUE!</v>
      </c>
      <c r="H934" s="141">
        <v>214</v>
      </c>
      <c r="I934" s="141">
        <v>0</v>
      </c>
      <c r="J934" s="149">
        <v>0</v>
      </c>
      <c r="K934" s="150">
        <v>6</v>
      </c>
    </row>
    <row r="935" spans="1:11" ht="30" customHeight="1">
      <c r="A935" s="31">
        <v>58006</v>
      </c>
      <c r="B935" s="16" t="s">
        <v>2373</v>
      </c>
      <c r="C935" s="15" t="s">
        <v>2383</v>
      </c>
      <c r="D935" s="15" t="s">
        <v>2387</v>
      </c>
      <c r="E935" s="15">
        <v>0.21</v>
      </c>
      <c r="F935" s="131">
        <v>40437.490507238872</v>
      </c>
      <c r="G935" s="17" t="e">
        <f t="shared" si="14"/>
        <v>#VALUE!</v>
      </c>
      <c r="H935" s="141">
        <v>144</v>
      </c>
      <c r="I935" s="141">
        <v>0</v>
      </c>
      <c r="J935" s="149">
        <v>0</v>
      </c>
      <c r="K935" s="150">
        <v>6</v>
      </c>
    </row>
    <row r="936" spans="1:11" ht="30" customHeight="1">
      <c r="A936" s="31">
        <v>57558</v>
      </c>
      <c r="B936" s="16" t="s">
        <v>662</v>
      </c>
      <c r="C936" s="15" t="s">
        <v>3183</v>
      </c>
      <c r="D936" s="15" t="s">
        <v>2655</v>
      </c>
      <c r="E936" s="15">
        <v>0.21</v>
      </c>
      <c r="F936" s="131">
        <v>47575.826921790896</v>
      </c>
      <c r="G936" s="17" t="e">
        <f t="shared" si="14"/>
        <v>#VALUE!</v>
      </c>
      <c r="H936" s="141">
        <v>92</v>
      </c>
      <c r="I936" s="141">
        <v>0</v>
      </c>
      <c r="J936" s="149">
        <v>0</v>
      </c>
      <c r="K936" s="150">
        <v>6</v>
      </c>
    </row>
    <row r="937" spans="1:11" ht="30" customHeight="1">
      <c r="A937" s="31">
        <v>57550</v>
      </c>
      <c r="B937" s="16" t="s">
        <v>2373</v>
      </c>
      <c r="C937" s="15" t="s">
        <v>2379</v>
      </c>
      <c r="D937" s="15" t="s">
        <v>2380</v>
      </c>
      <c r="E937" s="15">
        <v>0.21</v>
      </c>
      <c r="F937" s="131">
        <v>28056.121084518429</v>
      </c>
      <c r="G937" s="17" t="e">
        <f t="shared" si="14"/>
        <v>#VALUE!</v>
      </c>
      <c r="H937" s="141">
        <v>121</v>
      </c>
      <c r="I937" s="141">
        <v>0</v>
      </c>
      <c r="J937" s="149">
        <v>0</v>
      </c>
      <c r="K937" s="150">
        <v>18</v>
      </c>
    </row>
    <row r="938" spans="1:11" ht="30" customHeight="1">
      <c r="A938" s="31">
        <v>57555</v>
      </c>
      <c r="B938" s="16" t="s">
        <v>2373</v>
      </c>
      <c r="C938" s="15" t="s">
        <v>2381</v>
      </c>
      <c r="D938" s="15" t="s">
        <v>2382</v>
      </c>
      <c r="E938" s="15">
        <v>0.21</v>
      </c>
      <c r="F938" s="131">
        <v>46160.712040767503</v>
      </c>
      <c r="G938" s="17" t="e">
        <f t="shared" si="14"/>
        <v>#VALUE!</v>
      </c>
      <c r="H938" s="141">
        <v>165</v>
      </c>
      <c r="I938" s="141">
        <v>0</v>
      </c>
      <c r="J938" s="149">
        <v>0</v>
      </c>
      <c r="K938" s="150">
        <v>12</v>
      </c>
    </row>
    <row r="939" spans="1:11" ht="30" customHeight="1">
      <c r="A939" s="30">
        <v>32001</v>
      </c>
      <c r="B939" s="16" t="s">
        <v>1859</v>
      </c>
      <c r="C939" s="15" t="s">
        <v>1962</v>
      </c>
      <c r="D939" s="15" t="s">
        <v>12</v>
      </c>
      <c r="E939" s="15">
        <v>0.21</v>
      </c>
      <c r="F939" s="131">
        <v>12056.31794902973</v>
      </c>
      <c r="G939" s="17" t="e">
        <f t="shared" si="14"/>
        <v>#VALUE!</v>
      </c>
      <c r="H939" s="141">
        <v>690</v>
      </c>
      <c r="I939" s="141">
        <v>200</v>
      </c>
      <c r="J939" s="149">
        <v>10</v>
      </c>
      <c r="K939" s="150">
        <v>100</v>
      </c>
    </row>
    <row r="940" spans="1:11" ht="30" customHeight="1">
      <c r="A940" s="30">
        <v>32005</v>
      </c>
      <c r="B940" s="16" t="s">
        <v>1859</v>
      </c>
      <c r="C940" s="15" t="s">
        <v>1963</v>
      </c>
      <c r="D940" s="15" t="s">
        <v>12</v>
      </c>
      <c r="E940" s="15">
        <v>0.21</v>
      </c>
      <c r="F940" s="131">
        <v>14220.272452701729</v>
      </c>
      <c r="G940" s="17" t="e">
        <f t="shared" si="14"/>
        <v>#VALUE!</v>
      </c>
      <c r="H940" s="141">
        <v>445</v>
      </c>
      <c r="I940" s="141">
        <v>100</v>
      </c>
      <c r="J940" s="149">
        <v>10</v>
      </c>
      <c r="K940" s="150">
        <v>100</v>
      </c>
    </row>
    <row r="941" spans="1:11" ht="30" customHeight="1">
      <c r="A941" s="30">
        <v>32009</v>
      </c>
      <c r="B941" s="16" t="s">
        <v>1859</v>
      </c>
      <c r="C941" s="15" t="s">
        <v>1964</v>
      </c>
      <c r="D941" s="15" t="s">
        <v>12</v>
      </c>
      <c r="E941" s="15">
        <v>0.21</v>
      </c>
      <c r="F941" s="131">
        <v>9995.4088979135322</v>
      </c>
      <c r="G941" s="17" t="e">
        <f t="shared" si="14"/>
        <v>#VALUE!</v>
      </c>
      <c r="H941" s="141">
        <v>445</v>
      </c>
      <c r="I941" s="141">
        <v>100</v>
      </c>
      <c r="J941" s="149">
        <v>10</v>
      </c>
      <c r="K941" s="150">
        <v>100</v>
      </c>
    </row>
    <row r="942" spans="1:11" ht="30" customHeight="1">
      <c r="A942" s="30">
        <v>32013</v>
      </c>
      <c r="B942" s="16" t="s">
        <v>1859</v>
      </c>
      <c r="C942" s="15" t="s">
        <v>1965</v>
      </c>
      <c r="D942" s="15" t="s">
        <v>12</v>
      </c>
      <c r="E942" s="15">
        <v>0.21</v>
      </c>
      <c r="F942" s="131">
        <v>11231.954328583253</v>
      </c>
      <c r="G942" s="17" t="e">
        <f t="shared" si="14"/>
        <v>#VALUE!</v>
      </c>
      <c r="H942" s="141">
        <v>940</v>
      </c>
      <c r="I942" s="141">
        <v>0</v>
      </c>
      <c r="J942" s="149">
        <v>10</v>
      </c>
      <c r="K942" s="150">
        <v>100</v>
      </c>
    </row>
    <row r="943" spans="1:11" ht="30" customHeight="1">
      <c r="A943" s="30">
        <v>32017</v>
      </c>
      <c r="B943" s="16" t="s">
        <v>1859</v>
      </c>
      <c r="C943" s="15" t="s">
        <v>336</v>
      </c>
      <c r="D943" s="15" t="s">
        <v>12</v>
      </c>
      <c r="E943" s="15">
        <v>0.21</v>
      </c>
      <c r="F943" s="131">
        <v>10613.681613248393</v>
      </c>
      <c r="G943" s="17" t="e">
        <f t="shared" si="14"/>
        <v>#VALUE!</v>
      </c>
      <c r="H943" s="141">
        <v>373</v>
      </c>
      <c r="I943" s="141">
        <v>0</v>
      </c>
      <c r="J943" s="149">
        <v>10</v>
      </c>
      <c r="K943" s="150">
        <v>100</v>
      </c>
    </row>
    <row r="944" spans="1:11" ht="30" customHeight="1">
      <c r="A944" s="30">
        <v>32021</v>
      </c>
      <c r="B944" s="16" t="s">
        <v>1859</v>
      </c>
      <c r="C944" s="15" t="s">
        <v>1966</v>
      </c>
      <c r="D944" s="15" t="s">
        <v>12</v>
      </c>
      <c r="E944" s="15">
        <v>0.21</v>
      </c>
      <c r="F944" s="131">
        <v>11334.999781139064</v>
      </c>
      <c r="G944" s="17" t="e">
        <f t="shared" si="14"/>
        <v>#VALUE!</v>
      </c>
      <c r="H944" s="141">
        <v>377</v>
      </c>
      <c r="I944" s="141">
        <v>0</v>
      </c>
      <c r="J944" s="149">
        <v>10</v>
      </c>
      <c r="K944" s="150">
        <v>100</v>
      </c>
    </row>
    <row r="945" spans="1:11" ht="30" customHeight="1">
      <c r="A945" s="30">
        <v>32025</v>
      </c>
      <c r="B945" s="16" t="s">
        <v>1859</v>
      </c>
      <c r="C945" s="15" t="s">
        <v>1967</v>
      </c>
      <c r="D945" s="15" t="s">
        <v>12</v>
      </c>
      <c r="E945" s="15">
        <v>0.21</v>
      </c>
      <c r="F945" s="131">
        <v>12777.63611692039</v>
      </c>
      <c r="G945" s="17" t="e">
        <f t="shared" si="14"/>
        <v>#VALUE!</v>
      </c>
      <c r="H945" s="141">
        <v>224</v>
      </c>
      <c r="I945" s="141">
        <v>0</v>
      </c>
      <c r="J945" s="149">
        <v>10</v>
      </c>
      <c r="K945" s="150">
        <v>100</v>
      </c>
    </row>
    <row r="946" spans="1:11" ht="30" customHeight="1">
      <c r="A946" s="30">
        <v>32029</v>
      </c>
      <c r="B946" s="16" t="s">
        <v>1859</v>
      </c>
      <c r="C946" s="15" t="s">
        <v>1968</v>
      </c>
      <c r="D946" s="15" t="s">
        <v>12</v>
      </c>
      <c r="E946" s="15">
        <v>0.21</v>
      </c>
      <c r="F946" s="131">
        <v>9377.1361825786807</v>
      </c>
      <c r="G946" s="17" t="e">
        <f t="shared" si="14"/>
        <v>#VALUE!</v>
      </c>
      <c r="H946" s="141">
        <v>248</v>
      </c>
      <c r="I946" s="141">
        <v>0</v>
      </c>
      <c r="J946" s="149">
        <v>10</v>
      </c>
      <c r="K946" s="150">
        <v>100</v>
      </c>
    </row>
    <row r="947" spans="1:11" ht="30" customHeight="1">
      <c r="A947" s="30">
        <v>32033</v>
      </c>
      <c r="B947" s="16" t="s">
        <v>1859</v>
      </c>
      <c r="C947" s="15" t="s">
        <v>1969</v>
      </c>
      <c r="D947" s="15" t="s">
        <v>1860</v>
      </c>
      <c r="E947" s="15">
        <v>0.21</v>
      </c>
      <c r="F947" s="131">
        <v>34932.408416419479</v>
      </c>
      <c r="G947" s="17" t="e">
        <f t="shared" si="14"/>
        <v>#VALUE!</v>
      </c>
      <c r="H947" s="141">
        <v>81</v>
      </c>
      <c r="I947" s="141">
        <v>40</v>
      </c>
      <c r="J947" s="149">
        <v>5</v>
      </c>
      <c r="K947" s="150">
        <v>40</v>
      </c>
    </row>
    <row r="948" spans="1:11" ht="30" customHeight="1">
      <c r="A948" s="30">
        <v>32037</v>
      </c>
      <c r="B948" s="16" t="s">
        <v>1859</v>
      </c>
      <c r="C948" s="15" t="s">
        <v>745</v>
      </c>
      <c r="D948" s="15" t="s">
        <v>1861</v>
      </c>
      <c r="E948" s="15">
        <v>0.21</v>
      </c>
      <c r="F948" s="131">
        <v>33283.681175526523</v>
      </c>
      <c r="G948" s="17" t="e">
        <f t="shared" si="14"/>
        <v>#VALUE!</v>
      </c>
      <c r="H948" s="141">
        <v>41</v>
      </c>
      <c r="I948" s="141">
        <v>0</v>
      </c>
      <c r="J948" s="149">
        <v>5</v>
      </c>
      <c r="K948" s="150">
        <v>40</v>
      </c>
    </row>
    <row r="949" spans="1:11" ht="30" customHeight="1">
      <c r="A949" s="30">
        <v>32038</v>
      </c>
      <c r="B949" s="16" t="s">
        <v>1859</v>
      </c>
      <c r="C949" s="15" t="s">
        <v>1970</v>
      </c>
      <c r="D949" s="15" t="s">
        <v>1862</v>
      </c>
      <c r="E949" s="15">
        <v>0.21</v>
      </c>
      <c r="F949" s="131">
        <v>60075.498840037049</v>
      </c>
      <c r="G949" s="17" t="e">
        <f t="shared" si="14"/>
        <v>#VALUE!</v>
      </c>
      <c r="H949" s="141">
        <v>31</v>
      </c>
      <c r="I949" s="141">
        <v>16</v>
      </c>
      <c r="J949" s="149">
        <v>8</v>
      </c>
      <c r="K949" s="150">
        <v>16</v>
      </c>
    </row>
    <row r="950" spans="1:11" ht="30" customHeight="1">
      <c r="A950" s="30">
        <v>32046</v>
      </c>
      <c r="B950" s="16" t="s">
        <v>1859</v>
      </c>
      <c r="C950" s="15" t="s">
        <v>1971</v>
      </c>
      <c r="D950" s="15" t="s">
        <v>1863</v>
      </c>
      <c r="E950" s="15">
        <v>0.21</v>
      </c>
      <c r="F950" s="131">
        <v>14941.590620592398</v>
      </c>
      <c r="G950" s="17" t="e">
        <f t="shared" si="14"/>
        <v>#VALUE!</v>
      </c>
      <c r="H950" s="141">
        <v>488</v>
      </c>
      <c r="I950" s="141">
        <v>200</v>
      </c>
      <c r="J950" s="149">
        <v>10</v>
      </c>
      <c r="K950" s="150">
        <v>100</v>
      </c>
    </row>
    <row r="951" spans="1:11" ht="30" customHeight="1">
      <c r="A951" s="30">
        <v>32047</v>
      </c>
      <c r="B951" s="16" t="s">
        <v>1859</v>
      </c>
      <c r="C951" s="15" t="s">
        <v>1972</v>
      </c>
      <c r="D951" s="15" t="s">
        <v>337</v>
      </c>
      <c r="E951" s="15">
        <v>0.21</v>
      </c>
      <c r="F951" s="131">
        <v>3039.1865947506603</v>
      </c>
      <c r="G951" s="17" t="e">
        <f t="shared" si="14"/>
        <v>#VALUE!</v>
      </c>
      <c r="H951" s="141">
        <v>2436</v>
      </c>
      <c r="I951" s="141">
        <v>100</v>
      </c>
      <c r="J951" s="149">
        <v>0</v>
      </c>
      <c r="K951" s="150">
        <v>50</v>
      </c>
    </row>
    <row r="952" spans="1:11" ht="30" customHeight="1">
      <c r="A952" s="30">
        <v>32048</v>
      </c>
      <c r="B952" s="16" t="s">
        <v>1859</v>
      </c>
      <c r="C952" s="15" t="s">
        <v>338</v>
      </c>
      <c r="D952" s="15" t="s">
        <v>339</v>
      </c>
      <c r="E952" s="15">
        <v>0.21</v>
      </c>
      <c r="F952" s="131">
        <v>3999.67436604662</v>
      </c>
      <c r="G952" s="17" t="e">
        <f t="shared" si="14"/>
        <v>#VALUE!</v>
      </c>
      <c r="H952" s="141">
        <v>767</v>
      </c>
      <c r="I952" s="141">
        <v>0</v>
      </c>
      <c r="J952" s="149">
        <v>0</v>
      </c>
      <c r="K952" s="150">
        <v>100</v>
      </c>
    </row>
    <row r="953" spans="1:11" ht="30" customHeight="1">
      <c r="A953" s="30">
        <v>32060</v>
      </c>
      <c r="B953" s="16" t="s">
        <v>1859</v>
      </c>
      <c r="C953" s="15" t="s">
        <v>342</v>
      </c>
      <c r="D953" s="15" t="s">
        <v>17</v>
      </c>
      <c r="E953" s="15">
        <v>0.21</v>
      </c>
      <c r="F953" s="131">
        <v>3946.0761396062694</v>
      </c>
      <c r="G953" s="17" t="e">
        <f t="shared" si="14"/>
        <v>#VALUE!</v>
      </c>
      <c r="H953" s="141">
        <v>4314</v>
      </c>
      <c r="I953" s="141">
        <v>1440</v>
      </c>
      <c r="J953" s="149">
        <v>24</v>
      </c>
      <c r="K953" s="150">
        <v>96</v>
      </c>
    </row>
    <row r="954" spans="1:11" ht="30" customHeight="1">
      <c r="A954" s="30">
        <v>32059</v>
      </c>
      <c r="B954" s="16" t="s">
        <v>1859</v>
      </c>
      <c r="C954" s="15" t="s">
        <v>340</v>
      </c>
      <c r="D954" s="15" t="s">
        <v>341</v>
      </c>
      <c r="E954" s="15">
        <v>0.21</v>
      </c>
      <c r="F954" s="131">
        <v>4226.1641605088689</v>
      </c>
      <c r="G954" s="17" t="e">
        <f t="shared" si="14"/>
        <v>#VALUE!</v>
      </c>
      <c r="H954" s="141">
        <v>1450</v>
      </c>
      <c r="I954" s="141">
        <v>200</v>
      </c>
      <c r="J954" s="149">
        <v>25</v>
      </c>
      <c r="K954" s="150">
        <v>100</v>
      </c>
    </row>
    <row r="955" spans="1:11" ht="30" customHeight="1">
      <c r="A955" s="30">
        <v>32061</v>
      </c>
      <c r="B955" s="16" t="s">
        <v>1859</v>
      </c>
      <c r="C955" s="15" t="s">
        <v>342</v>
      </c>
      <c r="D955" s="15" t="s">
        <v>341</v>
      </c>
      <c r="E955" s="15">
        <v>0.21</v>
      </c>
      <c r="F955" s="131">
        <v>3842.2320306692623</v>
      </c>
      <c r="G955" s="17" t="e">
        <f t="shared" si="14"/>
        <v>#VALUE!</v>
      </c>
      <c r="H955" s="141">
        <v>592</v>
      </c>
      <c r="I955" s="141">
        <v>0</v>
      </c>
      <c r="J955" s="149">
        <v>12</v>
      </c>
      <c r="K955" s="150">
        <v>120</v>
      </c>
    </row>
    <row r="956" spans="1:11" ht="30" customHeight="1">
      <c r="A956" s="30">
        <v>32062</v>
      </c>
      <c r="B956" s="16" t="s">
        <v>1859</v>
      </c>
      <c r="C956" s="15" t="s">
        <v>342</v>
      </c>
      <c r="D956" s="15" t="s">
        <v>343</v>
      </c>
      <c r="E956" s="15">
        <v>0.21</v>
      </c>
      <c r="F956" s="131">
        <v>4361.4525753543021</v>
      </c>
      <c r="G956" s="17" t="e">
        <f t="shared" si="14"/>
        <v>#VALUE!</v>
      </c>
      <c r="H956" s="141">
        <v>1052</v>
      </c>
      <c r="I956" s="141">
        <v>0</v>
      </c>
      <c r="J956" s="149">
        <v>12</v>
      </c>
      <c r="K956" s="150">
        <v>120</v>
      </c>
    </row>
    <row r="957" spans="1:11" ht="30" customHeight="1">
      <c r="A957" s="30">
        <v>32063</v>
      </c>
      <c r="B957" s="16" t="s">
        <v>1859</v>
      </c>
      <c r="C957" s="15" t="s">
        <v>342</v>
      </c>
      <c r="D957" s="15" t="s">
        <v>344</v>
      </c>
      <c r="E957" s="15">
        <v>0.21</v>
      </c>
      <c r="F957" s="131">
        <v>5088.3613379133476</v>
      </c>
      <c r="G957" s="17" t="e">
        <f t="shared" si="14"/>
        <v>#VALUE!</v>
      </c>
      <c r="H957" s="141">
        <v>1516</v>
      </c>
      <c r="I957" s="141">
        <v>120</v>
      </c>
      <c r="J957" s="149">
        <v>12</v>
      </c>
      <c r="K957" s="150">
        <v>120</v>
      </c>
    </row>
    <row r="958" spans="1:11" ht="30" customHeight="1">
      <c r="A958" s="30">
        <v>32065</v>
      </c>
      <c r="B958" s="16" t="s">
        <v>1859</v>
      </c>
      <c r="C958" s="15" t="s">
        <v>345</v>
      </c>
      <c r="D958" s="15" t="s">
        <v>343</v>
      </c>
      <c r="E958" s="15">
        <v>0.21</v>
      </c>
      <c r="F958" s="131">
        <v>4776.829011102328</v>
      </c>
      <c r="G958" s="17" t="e">
        <f t="shared" si="14"/>
        <v>#VALUE!</v>
      </c>
      <c r="H958" s="141">
        <v>822</v>
      </c>
      <c r="I958" s="141">
        <v>0</v>
      </c>
      <c r="J958" s="149">
        <v>12</v>
      </c>
      <c r="K958" s="150">
        <v>120</v>
      </c>
    </row>
    <row r="959" spans="1:11" ht="30" customHeight="1">
      <c r="A959" s="30">
        <v>32066</v>
      </c>
      <c r="B959" s="16" t="s">
        <v>1859</v>
      </c>
      <c r="C959" s="15" t="s">
        <v>345</v>
      </c>
      <c r="D959" s="15" t="s">
        <v>344</v>
      </c>
      <c r="E959" s="15">
        <v>0.21</v>
      </c>
      <c r="F959" s="131">
        <v>5192.2054468503547</v>
      </c>
      <c r="G959" s="17" t="e">
        <f t="shared" si="14"/>
        <v>#VALUE!</v>
      </c>
      <c r="H959" s="141">
        <v>367</v>
      </c>
      <c r="I959" s="141">
        <v>0</v>
      </c>
      <c r="J959" s="149">
        <v>12</v>
      </c>
      <c r="K959" s="150">
        <v>120</v>
      </c>
    </row>
    <row r="960" spans="1:11" s="33" customFormat="1" ht="30" customHeight="1">
      <c r="A960" s="31">
        <v>32100</v>
      </c>
      <c r="B960" s="16" t="s">
        <v>1859</v>
      </c>
      <c r="C960" s="15" t="s">
        <v>2921</v>
      </c>
      <c r="D960" s="15" t="s">
        <v>2922</v>
      </c>
      <c r="E960" s="15">
        <v>0.21</v>
      </c>
      <c r="F960" s="131">
        <v>9220.6643999999997</v>
      </c>
      <c r="G960" s="17" t="e">
        <f t="shared" si="14"/>
        <v>#VALUE!</v>
      </c>
      <c r="H960" s="141">
        <v>114</v>
      </c>
      <c r="I960" s="141">
        <v>0</v>
      </c>
      <c r="J960" s="149">
        <v>30</v>
      </c>
      <c r="K960" s="150">
        <v>60</v>
      </c>
    </row>
    <row r="961" spans="1:11" s="33" customFormat="1" ht="30" customHeight="1">
      <c r="A961" s="31">
        <v>32101</v>
      </c>
      <c r="B961" s="16" t="s">
        <v>1859</v>
      </c>
      <c r="C961" s="15" t="s">
        <v>2921</v>
      </c>
      <c r="D961" s="15" t="s">
        <v>2923</v>
      </c>
      <c r="E961" s="15">
        <v>0.21</v>
      </c>
      <c r="F961" s="131">
        <v>11321.5738</v>
      </c>
      <c r="G961" s="17" t="e">
        <f t="shared" si="14"/>
        <v>#VALUE!</v>
      </c>
      <c r="H961" s="141">
        <v>174</v>
      </c>
      <c r="I961" s="141">
        <v>60</v>
      </c>
      <c r="J961" s="149">
        <v>30</v>
      </c>
      <c r="K961" s="150">
        <v>60</v>
      </c>
    </row>
    <row r="962" spans="1:11" s="33" customFormat="1" ht="30" customHeight="1">
      <c r="A962" s="30">
        <v>35024</v>
      </c>
      <c r="B962" s="16" t="s">
        <v>758</v>
      </c>
      <c r="C962" s="15" t="s">
        <v>1976</v>
      </c>
      <c r="D962" s="15" t="s">
        <v>47</v>
      </c>
      <c r="E962" s="15">
        <v>0.21</v>
      </c>
      <c r="F962" s="131">
        <v>2101.625274083533</v>
      </c>
      <c r="G962" s="17" t="e">
        <f t="shared" si="14"/>
        <v>#VALUE!</v>
      </c>
      <c r="H962" s="141">
        <v>735</v>
      </c>
      <c r="I962" s="141">
        <v>0</v>
      </c>
      <c r="J962" s="149">
        <v>10</v>
      </c>
      <c r="K962" s="150">
        <v>500</v>
      </c>
    </row>
    <row r="963" spans="1:11" s="33" customFormat="1" ht="30" customHeight="1">
      <c r="A963" s="30">
        <v>35026</v>
      </c>
      <c r="B963" s="16" t="s">
        <v>758</v>
      </c>
      <c r="C963" s="15" t="s">
        <v>1976</v>
      </c>
      <c r="D963" s="15" t="s">
        <v>33</v>
      </c>
      <c r="E963" s="15">
        <v>0.21</v>
      </c>
      <c r="F963" s="131">
        <v>4850.4858000000004</v>
      </c>
      <c r="G963" s="17" t="e">
        <f t="shared" si="14"/>
        <v>#VALUE!</v>
      </c>
      <c r="H963" s="141">
        <v>535</v>
      </c>
      <c r="I963" s="141">
        <v>250</v>
      </c>
      <c r="J963" s="149">
        <v>10</v>
      </c>
      <c r="K963" s="150">
        <v>250</v>
      </c>
    </row>
    <row r="964" spans="1:11" s="33" customFormat="1" ht="30" customHeight="1">
      <c r="A964" s="30">
        <v>35035</v>
      </c>
      <c r="B964" s="16" t="s">
        <v>758</v>
      </c>
      <c r="C964" s="15" t="s">
        <v>782</v>
      </c>
      <c r="D964" s="15" t="s">
        <v>17</v>
      </c>
      <c r="E964" s="15">
        <v>0.21</v>
      </c>
      <c r="F964" s="131">
        <v>15115.483400000001</v>
      </c>
      <c r="G964" s="17" t="e">
        <f t="shared" si="14"/>
        <v>#VALUE!</v>
      </c>
      <c r="H964" s="141">
        <v>479</v>
      </c>
      <c r="I964" s="141">
        <v>72</v>
      </c>
      <c r="J964" s="149">
        <v>12</v>
      </c>
      <c r="K964" s="150">
        <v>72</v>
      </c>
    </row>
    <row r="965" spans="1:11" s="33" customFormat="1" ht="30" customHeight="1">
      <c r="A965" s="30">
        <v>35044</v>
      </c>
      <c r="B965" s="16" t="s">
        <v>758</v>
      </c>
      <c r="C965" s="15" t="s">
        <v>762</v>
      </c>
      <c r="D965" s="15" t="s">
        <v>763</v>
      </c>
      <c r="E965" s="15">
        <v>0.21</v>
      </c>
      <c r="F965" s="131">
        <v>10152.192400000002</v>
      </c>
      <c r="G965" s="17" t="e">
        <f t="shared" si="14"/>
        <v>#VALUE!</v>
      </c>
      <c r="H965" s="141">
        <v>1119</v>
      </c>
      <c r="I965" s="141">
        <v>100</v>
      </c>
      <c r="J965" s="149">
        <v>20</v>
      </c>
      <c r="K965" s="150">
        <v>100</v>
      </c>
    </row>
    <row r="966" spans="1:11" s="33" customFormat="1" ht="30" customHeight="1">
      <c r="A966" s="31">
        <v>35037</v>
      </c>
      <c r="B966" s="16" t="s">
        <v>758</v>
      </c>
      <c r="C966" s="15" t="s">
        <v>3051</v>
      </c>
      <c r="D966" s="15" t="s">
        <v>17</v>
      </c>
      <c r="E966" s="15">
        <v>0.105</v>
      </c>
      <c r="F966" s="131">
        <v>39524.453200000004</v>
      </c>
      <c r="G966" s="17" t="e">
        <f t="shared" si="14"/>
        <v>#VALUE!</v>
      </c>
      <c r="H966" s="141">
        <v>185</v>
      </c>
      <c r="I966" s="141">
        <v>48</v>
      </c>
      <c r="J966" s="149">
        <v>8</v>
      </c>
      <c r="K966" s="150">
        <v>48</v>
      </c>
    </row>
    <row r="967" spans="1:11" s="33" customFormat="1" ht="30" customHeight="1">
      <c r="A967" s="30">
        <v>35080</v>
      </c>
      <c r="B967" s="16" t="s">
        <v>758</v>
      </c>
      <c r="C967" s="15" t="s">
        <v>760</v>
      </c>
      <c r="D967" s="15" t="s">
        <v>17</v>
      </c>
      <c r="E967" s="15">
        <v>0.21</v>
      </c>
      <c r="F967" s="131">
        <v>9707.3777416894736</v>
      </c>
      <c r="G967" s="17" t="e">
        <f t="shared" si="14"/>
        <v>#VALUE!</v>
      </c>
      <c r="H967" s="141">
        <v>355</v>
      </c>
      <c r="I967" s="141">
        <v>0</v>
      </c>
      <c r="J967" s="149">
        <v>10</v>
      </c>
      <c r="K967" s="150">
        <v>120</v>
      </c>
    </row>
    <row r="968" spans="1:11" s="33" customFormat="1" ht="30" customHeight="1">
      <c r="A968" s="30">
        <v>35081</v>
      </c>
      <c r="B968" s="16" t="s">
        <v>758</v>
      </c>
      <c r="C968" s="15" t="s">
        <v>760</v>
      </c>
      <c r="D968" s="15" t="s">
        <v>33</v>
      </c>
      <c r="E968" s="15">
        <v>0.21</v>
      </c>
      <c r="F968" s="131">
        <v>9907.4799297895224</v>
      </c>
      <c r="G968" s="17" t="e">
        <f t="shared" si="14"/>
        <v>#VALUE!</v>
      </c>
      <c r="H968" s="141">
        <v>611</v>
      </c>
      <c r="I968" s="141">
        <v>120</v>
      </c>
      <c r="J968" s="149">
        <v>10</v>
      </c>
      <c r="K968" s="150">
        <v>120</v>
      </c>
    </row>
    <row r="969" spans="1:11" s="33" customFormat="1" ht="30" customHeight="1">
      <c r="A969" s="30">
        <v>35038</v>
      </c>
      <c r="B969" s="16" t="s">
        <v>758</v>
      </c>
      <c r="C969" s="15" t="s">
        <v>759</v>
      </c>
      <c r="D969" s="15" t="s">
        <v>17</v>
      </c>
      <c r="E969" s="15">
        <v>0.21</v>
      </c>
      <c r="F969" s="131">
        <v>18837.949000000004</v>
      </c>
      <c r="G969" s="17" t="e">
        <f t="shared" ref="G969:G1032" si="15">(F969*$G$6)</f>
        <v>#VALUE!</v>
      </c>
      <c r="H969" s="141">
        <v>297</v>
      </c>
      <c r="I969" s="141">
        <v>0</v>
      </c>
      <c r="J969" s="149">
        <v>10</v>
      </c>
      <c r="K969" s="150">
        <v>60</v>
      </c>
    </row>
    <row r="970" spans="1:11" s="33" customFormat="1" ht="30" customHeight="1">
      <c r="A970" s="30">
        <v>35039</v>
      </c>
      <c r="B970" s="16" t="s">
        <v>758</v>
      </c>
      <c r="C970" s="15" t="s">
        <v>759</v>
      </c>
      <c r="D970" s="15" t="s">
        <v>33</v>
      </c>
      <c r="E970" s="15">
        <v>0.21</v>
      </c>
      <c r="F970" s="131">
        <v>22109.215</v>
      </c>
      <c r="G970" s="17" t="e">
        <f t="shared" si="15"/>
        <v>#VALUE!</v>
      </c>
      <c r="H970" s="141">
        <v>228</v>
      </c>
      <c r="I970" s="141">
        <v>60</v>
      </c>
      <c r="J970" s="149">
        <v>10</v>
      </c>
      <c r="K970" s="150">
        <v>60</v>
      </c>
    </row>
    <row r="971" spans="1:11" s="33" customFormat="1" ht="30" customHeight="1">
      <c r="A971" s="30">
        <v>35042</v>
      </c>
      <c r="B971" s="16" t="s">
        <v>758</v>
      </c>
      <c r="C971" s="15" t="s">
        <v>760</v>
      </c>
      <c r="D971" s="15" t="s">
        <v>761</v>
      </c>
      <c r="E971" s="15">
        <v>0.21</v>
      </c>
      <c r="F971" s="131">
        <v>9307.0034273253732</v>
      </c>
      <c r="G971" s="17" t="e">
        <f t="shared" si="15"/>
        <v>#VALUE!</v>
      </c>
      <c r="H971" s="141">
        <v>153</v>
      </c>
      <c r="I971" s="141">
        <v>0</v>
      </c>
      <c r="J971" s="149">
        <v>10</v>
      </c>
      <c r="K971" s="150">
        <v>60</v>
      </c>
    </row>
    <row r="972" spans="1:11" s="33" customFormat="1" ht="30" customHeight="1">
      <c r="A972" s="30">
        <v>35049</v>
      </c>
      <c r="B972" s="16" t="s">
        <v>758</v>
      </c>
      <c r="C972" s="15" t="s">
        <v>764</v>
      </c>
      <c r="D972" s="15" t="s">
        <v>436</v>
      </c>
      <c r="E972" s="15">
        <v>0.21</v>
      </c>
      <c r="F972" s="131">
        <v>83473.547800000015</v>
      </c>
      <c r="G972" s="17" t="e">
        <f t="shared" si="15"/>
        <v>#VALUE!</v>
      </c>
      <c r="H972" s="141">
        <v>320</v>
      </c>
      <c r="I972" s="141">
        <v>0</v>
      </c>
      <c r="J972" s="149">
        <v>10</v>
      </c>
      <c r="K972" s="150">
        <v>40</v>
      </c>
    </row>
    <row r="973" spans="1:11" ht="30" customHeight="1">
      <c r="A973" s="30">
        <v>35050</v>
      </c>
      <c r="B973" s="16" t="s">
        <v>758</v>
      </c>
      <c r="C973" s="15" t="s">
        <v>764</v>
      </c>
      <c r="D973" s="15" t="s">
        <v>436</v>
      </c>
      <c r="E973" s="15">
        <v>0.21</v>
      </c>
      <c r="F973" s="131">
        <v>139536.19520000002</v>
      </c>
      <c r="G973" s="17" t="e">
        <f t="shared" si="15"/>
        <v>#VALUE!</v>
      </c>
      <c r="H973" s="141">
        <v>20</v>
      </c>
      <c r="I973" s="141">
        <v>0</v>
      </c>
      <c r="J973" s="149" t="e">
        <v>#N/A</v>
      </c>
      <c r="K973" s="150" t="e">
        <v>#N/A</v>
      </c>
    </row>
    <row r="974" spans="1:11" ht="30" customHeight="1">
      <c r="A974" s="30">
        <v>35051</v>
      </c>
      <c r="B974" s="16" t="s">
        <v>758</v>
      </c>
      <c r="C974" s="15" t="s">
        <v>764</v>
      </c>
      <c r="D974" s="15" t="s">
        <v>358</v>
      </c>
      <c r="E974" s="15">
        <v>0.21</v>
      </c>
      <c r="F974" s="131">
        <v>183416.2096</v>
      </c>
      <c r="G974" s="17" t="e">
        <f t="shared" si="15"/>
        <v>#VALUE!</v>
      </c>
      <c r="H974" s="141">
        <v>39</v>
      </c>
      <c r="I974" s="141">
        <v>0</v>
      </c>
      <c r="J974" s="149" t="e">
        <v>#N/A</v>
      </c>
      <c r="K974" s="150" t="e">
        <v>#N/A</v>
      </c>
    </row>
    <row r="975" spans="1:11" ht="30" customHeight="1">
      <c r="A975" s="30">
        <v>35052</v>
      </c>
      <c r="B975" s="16" t="s">
        <v>758</v>
      </c>
      <c r="C975" s="15" t="s">
        <v>765</v>
      </c>
      <c r="D975" s="15" t="s">
        <v>47</v>
      </c>
      <c r="E975" s="15">
        <v>0.21</v>
      </c>
      <c r="F975" s="131">
        <v>41736.779200000004</v>
      </c>
      <c r="G975" s="17" t="e">
        <f t="shared" si="15"/>
        <v>#VALUE!</v>
      </c>
      <c r="H975" s="141">
        <v>144</v>
      </c>
      <c r="I975" s="141">
        <v>0</v>
      </c>
      <c r="J975" s="149" t="e">
        <v>#N/A</v>
      </c>
      <c r="K975" s="150" t="e">
        <v>#N/A</v>
      </c>
    </row>
    <row r="976" spans="1:11" ht="30" customHeight="1">
      <c r="A976" s="30">
        <v>35053</v>
      </c>
      <c r="B976" s="16" t="s">
        <v>758</v>
      </c>
      <c r="C976" s="15" t="s">
        <v>765</v>
      </c>
      <c r="D976" s="15" t="s">
        <v>47</v>
      </c>
      <c r="E976" s="15">
        <v>0.21</v>
      </c>
      <c r="F976" s="131">
        <v>108885.08509899781</v>
      </c>
      <c r="G976" s="17" t="e">
        <f t="shared" si="15"/>
        <v>#VALUE!</v>
      </c>
      <c r="H976" s="141">
        <v>137</v>
      </c>
      <c r="I976" s="141">
        <v>80</v>
      </c>
      <c r="J976" s="149">
        <v>10</v>
      </c>
      <c r="K976" s="150">
        <v>40</v>
      </c>
    </row>
    <row r="977" spans="1:11" ht="30" customHeight="1">
      <c r="A977" s="30">
        <v>35055</v>
      </c>
      <c r="B977" s="16" t="s">
        <v>758</v>
      </c>
      <c r="C977" s="15" t="s">
        <v>766</v>
      </c>
      <c r="D977" s="15" t="s">
        <v>767</v>
      </c>
      <c r="E977" s="15">
        <v>0.21</v>
      </c>
      <c r="F977" s="131">
        <v>55070.248923180196</v>
      </c>
      <c r="G977" s="17" t="e">
        <f t="shared" si="15"/>
        <v>#VALUE!</v>
      </c>
      <c r="H977" s="141">
        <v>161</v>
      </c>
      <c r="I977" s="141">
        <v>0</v>
      </c>
      <c r="J977" s="149">
        <v>0</v>
      </c>
      <c r="K977" s="150">
        <v>50</v>
      </c>
    </row>
    <row r="978" spans="1:11" ht="30" customHeight="1">
      <c r="A978" s="30">
        <v>35059</v>
      </c>
      <c r="B978" s="16" t="s">
        <v>758</v>
      </c>
      <c r="C978" s="15" t="s">
        <v>768</v>
      </c>
      <c r="D978" s="15" t="s">
        <v>769</v>
      </c>
      <c r="E978" s="15">
        <v>0.105</v>
      </c>
      <c r="F978" s="131">
        <v>9547.0793200503394</v>
      </c>
      <c r="G978" s="17" t="e">
        <f t="shared" si="15"/>
        <v>#VALUE!</v>
      </c>
      <c r="H978" s="141">
        <v>664</v>
      </c>
      <c r="I978" s="141">
        <v>240</v>
      </c>
      <c r="J978" s="149">
        <v>0</v>
      </c>
      <c r="K978" s="150">
        <v>60</v>
      </c>
    </row>
    <row r="979" spans="1:11" ht="30" customHeight="1">
      <c r="A979" s="30">
        <v>35060</v>
      </c>
      <c r="B979" s="16" t="s">
        <v>758</v>
      </c>
      <c r="C979" s="15" t="s">
        <v>770</v>
      </c>
      <c r="D979" s="15" t="s">
        <v>771</v>
      </c>
      <c r="E979" s="15">
        <v>0.105</v>
      </c>
      <c r="F979" s="131">
        <v>24196.323200000003</v>
      </c>
      <c r="G979" s="17" t="e">
        <f t="shared" si="15"/>
        <v>#VALUE!</v>
      </c>
      <c r="H979" s="141">
        <v>35</v>
      </c>
      <c r="I979" s="141">
        <v>0</v>
      </c>
      <c r="J979" s="149">
        <v>0</v>
      </c>
      <c r="K979" s="150">
        <v>20</v>
      </c>
    </row>
    <row r="980" spans="1:11" ht="30" customHeight="1">
      <c r="A980" s="30">
        <v>35062</v>
      </c>
      <c r="B980" s="16" t="s">
        <v>758</v>
      </c>
      <c r="C980" s="15" t="s">
        <v>770</v>
      </c>
      <c r="D980" s="15" t="s">
        <v>772</v>
      </c>
      <c r="E980" s="15">
        <v>0.105</v>
      </c>
      <c r="F980" s="131">
        <v>28441.294600000001</v>
      </c>
      <c r="G980" s="17" t="e">
        <f t="shared" si="15"/>
        <v>#VALUE!</v>
      </c>
      <c r="H980" s="141">
        <v>70</v>
      </c>
      <c r="I980" s="141">
        <v>0</v>
      </c>
      <c r="J980" s="149">
        <v>0</v>
      </c>
      <c r="K980" s="150">
        <v>20</v>
      </c>
    </row>
    <row r="981" spans="1:11" ht="30" customHeight="1">
      <c r="A981" s="30">
        <v>35061</v>
      </c>
      <c r="B981" s="16" t="s">
        <v>758</v>
      </c>
      <c r="C981" s="15" t="s">
        <v>770</v>
      </c>
      <c r="D981" s="15" t="s">
        <v>773</v>
      </c>
      <c r="E981" s="15">
        <v>0.105</v>
      </c>
      <c r="F981" s="131">
        <v>30457.6584</v>
      </c>
      <c r="G981" s="17" t="e">
        <f t="shared" si="15"/>
        <v>#VALUE!</v>
      </c>
      <c r="H981" s="141">
        <v>88</v>
      </c>
      <c r="I981" s="141">
        <v>0</v>
      </c>
      <c r="J981" s="149">
        <v>0</v>
      </c>
      <c r="K981" s="150">
        <v>20</v>
      </c>
    </row>
    <row r="982" spans="1:11" ht="30" customHeight="1">
      <c r="A982" s="30">
        <v>35221</v>
      </c>
      <c r="B982" s="16" t="s">
        <v>758</v>
      </c>
      <c r="C982" s="15" t="s">
        <v>1990</v>
      </c>
      <c r="D982" s="15" t="s">
        <v>774</v>
      </c>
      <c r="E982" s="15">
        <v>0.105</v>
      </c>
      <c r="F982" s="131">
        <v>14128.712059933949</v>
      </c>
      <c r="G982" s="17" t="e">
        <f t="shared" si="15"/>
        <v>#VALUE!</v>
      </c>
      <c r="H982" s="141">
        <v>929</v>
      </c>
      <c r="I982" s="141">
        <v>350</v>
      </c>
      <c r="J982" s="149">
        <v>0</v>
      </c>
      <c r="K982" s="150">
        <v>50</v>
      </c>
    </row>
    <row r="983" spans="1:11" ht="30" customHeight="1">
      <c r="A983" s="30">
        <v>35223</v>
      </c>
      <c r="B983" s="16" t="s">
        <v>758</v>
      </c>
      <c r="C983" s="15" t="s">
        <v>4210</v>
      </c>
      <c r="D983" s="15" t="s">
        <v>775</v>
      </c>
      <c r="E983" s="15">
        <v>0.105</v>
      </c>
      <c r="F983" s="131">
        <v>17125.752141224217</v>
      </c>
      <c r="G983" s="17" t="e">
        <f t="shared" si="15"/>
        <v>#VALUE!</v>
      </c>
      <c r="H983" s="141">
        <v>775</v>
      </c>
      <c r="I983" s="141">
        <v>100</v>
      </c>
      <c r="J983" s="149">
        <v>0</v>
      </c>
      <c r="K983" s="150">
        <v>50</v>
      </c>
    </row>
    <row r="984" spans="1:11" ht="30" customHeight="1">
      <c r="A984" s="31">
        <v>35224</v>
      </c>
      <c r="B984" s="16" t="s">
        <v>758</v>
      </c>
      <c r="C984" s="15" t="s">
        <v>1991</v>
      </c>
      <c r="D984" s="15" t="s">
        <v>776</v>
      </c>
      <c r="E984" s="15">
        <v>0.105</v>
      </c>
      <c r="F984" s="131">
        <v>20078.406498306947</v>
      </c>
      <c r="G984" s="17" t="e">
        <f t="shared" si="15"/>
        <v>#VALUE!</v>
      </c>
      <c r="H984" s="141">
        <v>198</v>
      </c>
      <c r="I984" s="141">
        <v>30</v>
      </c>
      <c r="J984" s="149">
        <v>0</v>
      </c>
      <c r="K984" s="150">
        <v>30</v>
      </c>
    </row>
    <row r="985" spans="1:11" ht="30" customHeight="1">
      <c r="A985" s="30">
        <v>35068</v>
      </c>
      <c r="B985" s="16" t="s">
        <v>758</v>
      </c>
      <c r="C985" s="15" t="s">
        <v>2098</v>
      </c>
      <c r="D985" s="15" t="s">
        <v>777</v>
      </c>
      <c r="E985" s="15">
        <v>0.105</v>
      </c>
      <c r="F985" s="131">
        <v>23665.7084</v>
      </c>
      <c r="G985" s="17" t="e">
        <f t="shared" si="15"/>
        <v>#VALUE!</v>
      </c>
      <c r="H985" s="141">
        <v>1</v>
      </c>
      <c r="I985" s="141">
        <v>0</v>
      </c>
      <c r="J985" s="149" t="e">
        <v>#N/A</v>
      </c>
      <c r="K985" s="150" t="e">
        <v>#N/A</v>
      </c>
    </row>
    <row r="986" spans="1:11" ht="30" customHeight="1">
      <c r="A986" s="30">
        <v>35225</v>
      </c>
      <c r="B986" s="16" t="s">
        <v>758</v>
      </c>
      <c r="C986" s="15" t="s">
        <v>2155</v>
      </c>
      <c r="D986" s="15" t="s">
        <v>777</v>
      </c>
      <c r="E986" s="15">
        <v>0.105</v>
      </c>
      <c r="F986" s="131">
        <v>23665.7084</v>
      </c>
      <c r="G986" s="17" t="e">
        <f t="shared" si="15"/>
        <v>#VALUE!</v>
      </c>
      <c r="H986" s="141">
        <v>191</v>
      </c>
      <c r="I986" s="141">
        <v>60</v>
      </c>
      <c r="J986" s="149">
        <v>0</v>
      </c>
      <c r="K986" s="150">
        <v>30</v>
      </c>
    </row>
    <row r="987" spans="1:11" ht="30" customHeight="1">
      <c r="A987" s="30">
        <v>35069</v>
      </c>
      <c r="B987" s="16" t="s">
        <v>758</v>
      </c>
      <c r="C987" s="15" t="s">
        <v>2099</v>
      </c>
      <c r="D987" s="15" t="s">
        <v>778</v>
      </c>
      <c r="E987" s="15">
        <v>0.105</v>
      </c>
      <c r="F987" s="131">
        <v>25690.503823425472</v>
      </c>
      <c r="G987" s="17" t="e">
        <f t="shared" si="15"/>
        <v>#VALUE!</v>
      </c>
      <c r="H987" s="141">
        <v>0</v>
      </c>
      <c r="I987" s="141">
        <v>0</v>
      </c>
      <c r="J987" s="149" t="e">
        <v>#N/A</v>
      </c>
      <c r="K987" s="150" t="e">
        <v>#N/A</v>
      </c>
    </row>
    <row r="988" spans="1:11" ht="30" customHeight="1">
      <c r="A988" s="30">
        <v>35226</v>
      </c>
      <c r="B988" s="16" t="s">
        <v>758</v>
      </c>
      <c r="C988" s="15" t="s">
        <v>2156</v>
      </c>
      <c r="D988" s="15" t="s">
        <v>778</v>
      </c>
      <c r="E988" s="15">
        <v>0.105</v>
      </c>
      <c r="F988" s="131">
        <v>25690.50454163846</v>
      </c>
      <c r="G988" s="17" t="e">
        <f t="shared" si="15"/>
        <v>#VALUE!</v>
      </c>
      <c r="H988" s="141">
        <v>130</v>
      </c>
      <c r="I988" s="141">
        <v>0</v>
      </c>
      <c r="J988" s="149">
        <v>0</v>
      </c>
      <c r="K988" s="150">
        <v>20</v>
      </c>
    </row>
    <row r="989" spans="1:11" s="34" customFormat="1" ht="30" customHeight="1">
      <c r="A989" s="30">
        <v>35070</v>
      </c>
      <c r="B989" s="16" t="s">
        <v>758</v>
      </c>
      <c r="C989" s="15" t="s">
        <v>2100</v>
      </c>
      <c r="D989" s="15" t="s">
        <v>779</v>
      </c>
      <c r="E989" s="15">
        <v>0.105</v>
      </c>
      <c r="F989" s="131">
        <v>29360.57579820052</v>
      </c>
      <c r="G989" s="17" t="e">
        <f t="shared" si="15"/>
        <v>#VALUE!</v>
      </c>
      <c r="H989" s="141">
        <v>89</v>
      </c>
      <c r="I989" s="141">
        <v>0</v>
      </c>
      <c r="J989" s="149" t="e">
        <v>#N/A</v>
      </c>
      <c r="K989" s="150" t="e">
        <v>#N/A</v>
      </c>
    </row>
    <row r="990" spans="1:11" ht="30" customHeight="1">
      <c r="A990" s="30">
        <v>35091</v>
      </c>
      <c r="B990" s="16" t="s">
        <v>758</v>
      </c>
      <c r="C990" s="15" t="s">
        <v>2101</v>
      </c>
      <c r="D990" s="15" t="s">
        <v>780</v>
      </c>
      <c r="E990" s="15">
        <v>0.105</v>
      </c>
      <c r="F990" s="131">
        <v>37780.2232</v>
      </c>
      <c r="G990" s="17" t="e">
        <f t="shared" si="15"/>
        <v>#VALUE!</v>
      </c>
      <c r="H990" s="141">
        <v>111</v>
      </c>
      <c r="I990" s="141">
        <v>0</v>
      </c>
      <c r="J990" s="149" t="e">
        <v>#N/A</v>
      </c>
      <c r="K990" s="150" t="e">
        <v>#N/A</v>
      </c>
    </row>
    <row r="991" spans="1:11" ht="30" customHeight="1">
      <c r="A991" s="30">
        <v>35076</v>
      </c>
      <c r="B991" s="16" t="s">
        <v>758</v>
      </c>
      <c r="C991" s="15" t="s">
        <v>770</v>
      </c>
      <c r="D991" s="15" t="s">
        <v>775</v>
      </c>
      <c r="E991" s="15">
        <v>0.105</v>
      </c>
      <c r="F991" s="131">
        <v>51750.874640672388</v>
      </c>
      <c r="G991" s="17" t="e">
        <f t="shared" si="15"/>
        <v>#VALUE!</v>
      </c>
      <c r="H991" s="141">
        <v>0</v>
      </c>
      <c r="I991" s="141">
        <v>0</v>
      </c>
      <c r="J991" s="149" t="e">
        <v>#N/A</v>
      </c>
      <c r="K991" s="150" t="e">
        <v>#N/A</v>
      </c>
    </row>
    <row r="992" spans="1:11" ht="30" customHeight="1">
      <c r="A992" s="30">
        <v>35077</v>
      </c>
      <c r="B992" s="16" t="s">
        <v>758</v>
      </c>
      <c r="C992" s="15" t="s">
        <v>770</v>
      </c>
      <c r="D992" s="15" t="s">
        <v>776</v>
      </c>
      <c r="E992" s="15">
        <v>0.105</v>
      </c>
      <c r="F992" s="131">
        <v>65630.419563458127</v>
      </c>
      <c r="G992" s="17" t="e">
        <f t="shared" si="15"/>
        <v>#VALUE!</v>
      </c>
      <c r="H992" s="141">
        <v>13</v>
      </c>
      <c r="I992" s="141">
        <v>0</v>
      </c>
      <c r="J992" s="149" t="e">
        <v>#N/A</v>
      </c>
      <c r="K992" s="150" t="e">
        <v>#N/A</v>
      </c>
    </row>
    <row r="993" spans="1:11" ht="30" customHeight="1">
      <c r="A993" s="30">
        <v>35078</v>
      </c>
      <c r="B993" s="16" t="s">
        <v>758</v>
      </c>
      <c r="C993" s="15" t="s">
        <v>770</v>
      </c>
      <c r="D993" s="15" t="s">
        <v>777</v>
      </c>
      <c r="E993" s="15">
        <v>0.105</v>
      </c>
      <c r="F993" s="131">
        <v>79014.266453287157</v>
      </c>
      <c r="G993" s="17" t="e">
        <f t="shared" si="15"/>
        <v>#VALUE!</v>
      </c>
      <c r="H993" s="141">
        <v>17</v>
      </c>
      <c r="I993" s="141">
        <v>0</v>
      </c>
      <c r="J993" s="149" t="e">
        <v>#N/A</v>
      </c>
      <c r="K993" s="150" t="e">
        <v>#N/A</v>
      </c>
    </row>
    <row r="994" spans="1:11" ht="30" customHeight="1">
      <c r="A994" s="30">
        <v>35079</v>
      </c>
      <c r="B994" s="16" t="s">
        <v>758</v>
      </c>
      <c r="C994" s="15" t="s">
        <v>770</v>
      </c>
      <c r="D994" s="15" t="s">
        <v>778</v>
      </c>
      <c r="E994" s="15">
        <v>0.105</v>
      </c>
      <c r="F994" s="131">
        <v>91604.996490385616</v>
      </c>
      <c r="G994" s="17" t="e">
        <f t="shared" si="15"/>
        <v>#VALUE!</v>
      </c>
      <c r="H994" s="141">
        <v>35</v>
      </c>
      <c r="I994" s="141">
        <v>0</v>
      </c>
      <c r="J994" s="149" t="e">
        <v>#N/A</v>
      </c>
      <c r="K994" s="150" t="e">
        <v>#N/A</v>
      </c>
    </row>
    <row r="995" spans="1:11" ht="30" customHeight="1">
      <c r="A995" s="30">
        <v>35111</v>
      </c>
      <c r="B995" s="16" t="s">
        <v>758</v>
      </c>
      <c r="C995" s="15" t="s">
        <v>781</v>
      </c>
      <c r="D995" s="15" t="s">
        <v>774</v>
      </c>
      <c r="E995" s="15">
        <v>0.105</v>
      </c>
      <c r="F995" s="131">
        <v>37992.477599999998</v>
      </c>
      <c r="G995" s="17" t="e">
        <f t="shared" si="15"/>
        <v>#VALUE!</v>
      </c>
      <c r="H995" s="141">
        <v>235</v>
      </c>
      <c r="I995" s="141">
        <v>80</v>
      </c>
      <c r="J995" s="149">
        <v>0</v>
      </c>
      <c r="K995" s="150">
        <v>20</v>
      </c>
    </row>
    <row r="996" spans="1:11" ht="30" customHeight="1">
      <c r="A996" s="30">
        <v>35112</v>
      </c>
      <c r="B996" s="16" t="s">
        <v>758</v>
      </c>
      <c r="C996" s="15" t="s">
        <v>781</v>
      </c>
      <c r="D996" s="15" t="s">
        <v>775</v>
      </c>
      <c r="E996" s="15">
        <v>0.105</v>
      </c>
      <c r="F996" s="131">
        <v>42048.538910994328</v>
      </c>
      <c r="G996" s="17" t="e">
        <f t="shared" si="15"/>
        <v>#VALUE!</v>
      </c>
      <c r="H996" s="141">
        <v>309</v>
      </c>
      <c r="I996" s="141">
        <v>140</v>
      </c>
      <c r="J996" s="149">
        <v>0</v>
      </c>
      <c r="K996" s="150">
        <v>20</v>
      </c>
    </row>
    <row r="997" spans="1:11" ht="30" customHeight="1">
      <c r="A997" s="30">
        <v>35113</v>
      </c>
      <c r="B997" s="16" t="s">
        <v>758</v>
      </c>
      <c r="C997" s="15" t="s">
        <v>781</v>
      </c>
      <c r="D997" s="15" t="s">
        <v>776</v>
      </c>
      <c r="E997" s="15">
        <v>0.105</v>
      </c>
      <c r="F997" s="131">
        <v>49178.964461985917</v>
      </c>
      <c r="G997" s="17" t="e">
        <f t="shared" si="15"/>
        <v>#VALUE!</v>
      </c>
      <c r="H997" s="141">
        <v>181</v>
      </c>
      <c r="I997" s="141">
        <v>0</v>
      </c>
      <c r="J997" s="149">
        <v>0</v>
      </c>
      <c r="K997" s="150">
        <v>20</v>
      </c>
    </row>
    <row r="998" spans="1:11" ht="30" customHeight="1">
      <c r="A998" s="30">
        <v>35114</v>
      </c>
      <c r="B998" s="16" t="s">
        <v>758</v>
      </c>
      <c r="C998" s="15" t="s">
        <v>781</v>
      </c>
      <c r="D998" s="15" t="s">
        <v>777</v>
      </c>
      <c r="E998" s="15">
        <v>0.105</v>
      </c>
      <c r="F998" s="131">
        <v>56938.545208653144</v>
      </c>
      <c r="G998" s="17" t="e">
        <f t="shared" si="15"/>
        <v>#VALUE!</v>
      </c>
      <c r="H998" s="141">
        <v>48</v>
      </c>
      <c r="I998" s="141">
        <v>0</v>
      </c>
      <c r="J998" s="149">
        <v>0</v>
      </c>
      <c r="K998" s="150">
        <v>20</v>
      </c>
    </row>
    <row r="999" spans="1:11" ht="30" customHeight="1">
      <c r="A999" s="30">
        <v>35115</v>
      </c>
      <c r="B999" s="16" t="s">
        <v>758</v>
      </c>
      <c r="C999" s="15" t="s">
        <v>781</v>
      </c>
      <c r="D999" s="15" t="s">
        <v>778</v>
      </c>
      <c r="E999" s="15">
        <v>0.105</v>
      </c>
      <c r="F999" s="131">
        <v>64173.829958924027</v>
      </c>
      <c r="G999" s="17" t="e">
        <f t="shared" si="15"/>
        <v>#VALUE!</v>
      </c>
      <c r="H999" s="141">
        <v>30</v>
      </c>
      <c r="I999" s="141">
        <v>0</v>
      </c>
      <c r="J999" s="149">
        <v>0</v>
      </c>
      <c r="K999" s="150">
        <v>20</v>
      </c>
    </row>
    <row r="1000" spans="1:11" ht="30" customHeight="1">
      <c r="A1000" s="31">
        <v>35231</v>
      </c>
      <c r="B1000" s="16" t="s">
        <v>758</v>
      </c>
      <c r="C1000" s="15" t="s">
        <v>3052</v>
      </c>
      <c r="D1000" s="15" t="s">
        <v>2102</v>
      </c>
      <c r="E1000" s="15">
        <v>0.105</v>
      </c>
      <c r="F1000" s="131">
        <v>31494.137000000002</v>
      </c>
      <c r="G1000" s="17" t="e">
        <f t="shared" si="15"/>
        <v>#VALUE!</v>
      </c>
      <c r="H1000" s="141">
        <v>119</v>
      </c>
      <c r="I1000" s="141">
        <v>0</v>
      </c>
      <c r="J1000" s="149">
        <v>0</v>
      </c>
      <c r="K1000" s="150">
        <v>20</v>
      </c>
    </row>
    <row r="1001" spans="1:11" ht="30" customHeight="1">
      <c r="A1001" s="31">
        <v>35233</v>
      </c>
      <c r="B1001" s="16" t="s">
        <v>758</v>
      </c>
      <c r="C1001" s="15" t="s">
        <v>3052</v>
      </c>
      <c r="D1001" s="15" t="s">
        <v>2103</v>
      </c>
      <c r="E1001" s="15">
        <v>0.105</v>
      </c>
      <c r="F1001" s="131">
        <v>36315.7166</v>
      </c>
      <c r="G1001" s="17" t="e">
        <f t="shared" si="15"/>
        <v>#VALUE!</v>
      </c>
      <c r="H1001" s="141">
        <v>190</v>
      </c>
      <c r="I1001" s="141">
        <v>0</v>
      </c>
      <c r="J1001" s="149">
        <v>0</v>
      </c>
      <c r="K1001" s="150">
        <v>20</v>
      </c>
    </row>
    <row r="1002" spans="1:11" ht="30" customHeight="1">
      <c r="A1002" s="31">
        <v>35234</v>
      </c>
      <c r="B1002" s="16" t="s">
        <v>758</v>
      </c>
      <c r="C1002" s="15" t="s">
        <v>3052</v>
      </c>
      <c r="D1002" s="15" t="s">
        <v>2104</v>
      </c>
      <c r="E1002" s="15">
        <v>0.105</v>
      </c>
      <c r="F1002" s="131">
        <v>42573.500800000002</v>
      </c>
      <c r="G1002" s="17" t="e">
        <f t="shared" si="15"/>
        <v>#VALUE!</v>
      </c>
      <c r="H1002" s="141">
        <v>109</v>
      </c>
      <c r="I1002" s="141">
        <v>0</v>
      </c>
      <c r="J1002" s="149">
        <v>0</v>
      </c>
      <c r="K1002" s="150">
        <v>20</v>
      </c>
    </row>
    <row r="1003" spans="1:11" ht="30" customHeight="1">
      <c r="A1003" s="31">
        <v>35235</v>
      </c>
      <c r="B1003" s="16" t="s">
        <v>758</v>
      </c>
      <c r="C1003" s="15" t="s">
        <v>3052</v>
      </c>
      <c r="D1003" s="15" t="s">
        <v>2105</v>
      </c>
      <c r="E1003" s="15">
        <v>0.105</v>
      </c>
      <c r="F1003" s="131">
        <v>49036.4692</v>
      </c>
      <c r="G1003" s="17" t="e">
        <f t="shared" si="15"/>
        <v>#VALUE!</v>
      </c>
      <c r="H1003" s="141">
        <v>70</v>
      </c>
      <c r="I1003" s="141">
        <v>0</v>
      </c>
      <c r="J1003" s="149">
        <v>0</v>
      </c>
      <c r="K1003" s="150">
        <v>20</v>
      </c>
    </row>
    <row r="1004" spans="1:11" ht="30" customHeight="1">
      <c r="A1004" s="31">
        <v>35155</v>
      </c>
      <c r="B1004" s="16" t="s">
        <v>758</v>
      </c>
      <c r="C1004" s="15" t="s">
        <v>2656</v>
      </c>
      <c r="D1004" s="15" t="s">
        <v>2657</v>
      </c>
      <c r="E1004" s="15">
        <v>0.105</v>
      </c>
      <c r="F1004" s="131">
        <v>875032.84674297238</v>
      </c>
      <c r="G1004" s="17" t="e">
        <f t="shared" si="15"/>
        <v>#VALUE!</v>
      </c>
      <c r="H1004" s="141">
        <v>23</v>
      </c>
      <c r="I1004" s="141">
        <v>0</v>
      </c>
      <c r="J1004" s="149">
        <v>0</v>
      </c>
      <c r="K1004" s="150">
        <v>5</v>
      </c>
    </row>
    <row r="1005" spans="1:11" ht="30" customHeight="1">
      <c r="A1005" s="31">
        <v>35141</v>
      </c>
      <c r="B1005" s="16" t="s">
        <v>758</v>
      </c>
      <c r="C1005" s="15" t="s">
        <v>3184</v>
      </c>
      <c r="D1005" s="15" t="s">
        <v>2658</v>
      </c>
      <c r="E1005" s="15">
        <v>0.105</v>
      </c>
      <c r="F1005" s="131">
        <v>208026.67677285758</v>
      </c>
      <c r="G1005" s="17" t="e">
        <f t="shared" si="15"/>
        <v>#VALUE!</v>
      </c>
      <c r="H1005" s="141">
        <v>41</v>
      </c>
      <c r="I1005" s="141">
        <v>0</v>
      </c>
      <c r="J1005" s="149">
        <v>0</v>
      </c>
      <c r="K1005" s="150">
        <v>12</v>
      </c>
    </row>
    <row r="1006" spans="1:11" ht="30" customHeight="1">
      <c r="A1006" s="31">
        <v>35153</v>
      </c>
      <c r="B1006" s="16" t="s">
        <v>758</v>
      </c>
      <c r="C1006" s="15" t="s">
        <v>3185</v>
      </c>
      <c r="D1006" s="15" t="s">
        <v>2659</v>
      </c>
      <c r="E1006" s="15">
        <v>0.105</v>
      </c>
      <c r="F1006" s="131">
        <v>478791.55765181512</v>
      </c>
      <c r="G1006" s="17" t="e">
        <f t="shared" si="15"/>
        <v>#VALUE!</v>
      </c>
      <c r="H1006" s="141">
        <v>26</v>
      </c>
      <c r="I1006" s="141">
        <v>0</v>
      </c>
      <c r="J1006" s="149">
        <v>0</v>
      </c>
      <c r="K1006" s="150">
        <v>6</v>
      </c>
    </row>
    <row r="1007" spans="1:11" ht="30" customHeight="1">
      <c r="A1007" s="31">
        <v>35154</v>
      </c>
      <c r="B1007" s="16" t="s">
        <v>758</v>
      </c>
      <c r="C1007" s="15" t="s">
        <v>3185</v>
      </c>
      <c r="D1007" s="15" t="s">
        <v>2660</v>
      </c>
      <c r="E1007" s="15">
        <v>0.105</v>
      </c>
      <c r="F1007" s="131">
        <v>577851.8799246042</v>
      </c>
      <c r="G1007" s="17" t="e">
        <f t="shared" si="15"/>
        <v>#VALUE!</v>
      </c>
      <c r="H1007" s="141">
        <v>21</v>
      </c>
      <c r="I1007" s="141">
        <v>0</v>
      </c>
      <c r="J1007" s="149">
        <v>0</v>
      </c>
      <c r="K1007" s="150">
        <v>6</v>
      </c>
    </row>
    <row r="1008" spans="1:11" ht="30" customHeight="1">
      <c r="A1008" s="31">
        <v>35165</v>
      </c>
      <c r="B1008" s="16" t="s">
        <v>758</v>
      </c>
      <c r="C1008" s="15" t="s">
        <v>3186</v>
      </c>
      <c r="D1008" s="15" t="s">
        <v>2661</v>
      </c>
      <c r="E1008" s="15">
        <v>0.21</v>
      </c>
      <c r="F1008" s="131">
        <v>96544.611784645924</v>
      </c>
      <c r="G1008" s="17" t="e">
        <f t="shared" si="15"/>
        <v>#VALUE!</v>
      </c>
      <c r="H1008" s="141">
        <v>58</v>
      </c>
      <c r="I1008" s="141">
        <v>10</v>
      </c>
      <c r="J1008" s="149">
        <v>0</v>
      </c>
      <c r="K1008" s="150">
        <v>10</v>
      </c>
    </row>
    <row r="1009" spans="1:11" ht="30" customHeight="1">
      <c r="A1009" s="31">
        <v>35168</v>
      </c>
      <c r="B1009" s="16" t="s">
        <v>758</v>
      </c>
      <c r="C1009" s="15" t="s">
        <v>3187</v>
      </c>
      <c r="D1009" s="15" t="s">
        <v>2662</v>
      </c>
      <c r="E1009" s="15">
        <v>0.21</v>
      </c>
      <c r="F1009" s="131">
        <v>254137.15891147341</v>
      </c>
      <c r="G1009" s="17" t="e">
        <f t="shared" si="15"/>
        <v>#VALUE!</v>
      </c>
      <c r="H1009" s="141">
        <v>69</v>
      </c>
      <c r="I1009" s="141">
        <v>0</v>
      </c>
      <c r="J1009" s="149">
        <v>0</v>
      </c>
      <c r="K1009" s="150">
        <v>6</v>
      </c>
    </row>
    <row r="1010" spans="1:11" ht="30" customHeight="1">
      <c r="A1010" s="30">
        <v>35178</v>
      </c>
      <c r="B1010" s="16" t="s">
        <v>758</v>
      </c>
      <c r="C1010" s="15" t="s">
        <v>2663</v>
      </c>
      <c r="D1010" s="15" t="s">
        <v>783</v>
      </c>
      <c r="E1010" s="15">
        <v>0.105</v>
      </c>
      <c r="F1010" s="131">
        <v>358853.86198290874</v>
      </c>
      <c r="G1010" s="17" t="e">
        <f t="shared" si="15"/>
        <v>#VALUE!</v>
      </c>
      <c r="H1010" s="141">
        <v>57</v>
      </c>
      <c r="I1010" s="141">
        <v>0</v>
      </c>
      <c r="J1010" s="149" t="e">
        <v>#N/A</v>
      </c>
      <c r="K1010" s="150" t="e">
        <v>#N/A</v>
      </c>
    </row>
    <row r="1011" spans="1:11" ht="30" customHeight="1">
      <c r="A1011" s="31">
        <v>35172</v>
      </c>
      <c r="B1011" s="16" t="s">
        <v>758</v>
      </c>
      <c r="C1011" s="15" t="s">
        <v>3188</v>
      </c>
      <c r="D1011" s="15" t="s">
        <v>1864</v>
      </c>
      <c r="E1011" s="15">
        <v>0.105</v>
      </c>
      <c r="F1011" s="131">
        <v>145272.55715426445</v>
      </c>
      <c r="G1011" s="17" t="e">
        <f t="shared" si="15"/>
        <v>#VALUE!</v>
      </c>
      <c r="H1011" s="141">
        <v>43</v>
      </c>
      <c r="I1011" s="141">
        <v>0</v>
      </c>
      <c r="J1011" s="149">
        <v>0</v>
      </c>
      <c r="K1011" s="150">
        <v>20</v>
      </c>
    </row>
    <row r="1012" spans="1:11" ht="30" customHeight="1">
      <c r="A1012" s="31">
        <v>35176</v>
      </c>
      <c r="B1012" s="16" t="s">
        <v>758</v>
      </c>
      <c r="C1012" s="15" t="s">
        <v>2664</v>
      </c>
      <c r="D1012" s="15" t="s">
        <v>1865</v>
      </c>
      <c r="E1012" s="15">
        <v>0.105</v>
      </c>
      <c r="F1012" s="131">
        <v>185850.47692124944</v>
      </c>
      <c r="G1012" s="17" t="e">
        <f t="shared" si="15"/>
        <v>#VALUE!</v>
      </c>
      <c r="H1012" s="141">
        <v>54</v>
      </c>
      <c r="I1012" s="141">
        <v>0</v>
      </c>
      <c r="J1012" s="149">
        <v>0</v>
      </c>
      <c r="K1012" s="150">
        <v>16</v>
      </c>
    </row>
    <row r="1013" spans="1:11" ht="30" customHeight="1">
      <c r="A1013" s="31">
        <v>35196</v>
      </c>
      <c r="B1013" s="16" t="s">
        <v>758</v>
      </c>
      <c r="C1013" s="15" t="s">
        <v>3189</v>
      </c>
      <c r="D1013" s="15" t="s">
        <v>2665</v>
      </c>
      <c r="E1013" s="15">
        <v>0.21</v>
      </c>
      <c r="F1013" s="131">
        <v>129440.53811153924</v>
      </c>
      <c r="G1013" s="17" t="e">
        <f t="shared" si="15"/>
        <v>#VALUE!</v>
      </c>
      <c r="H1013" s="141">
        <v>34</v>
      </c>
      <c r="I1013" s="141">
        <v>0</v>
      </c>
      <c r="J1013" s="149">
        <v>0</v>
      </c>
      <c r="K1013" s="150">
        <v>10</v>
      </c>
    </row>
    <row r="1014" spans="1:11" ht="30" customHeight="1">
      <c r="A1014" s="31">
        <v>35191</v>
      </c>
      <c r="B1014" s="16" t="s">
        <v>758</v>
      </c>
      <c r="C1014" s="15" t="s">
        <v>2822</v>
      </c>
      <c r="D1014" s="15" t="s">
        <v>2666</v>
      </c>
      <c r="E1014" s="15">
        <v>0.21</v>
      </c>
      <c r="F1014" s="131">
        <v>166836.85251628031</v>
      </c>
      <c r="G1014" s="17" t="e">
        <f t="shared" si="15"/>
        <v>#VALUE!</v>
      </c>
      <c r="H1014" s="141">
        <v>65</v>
      </c>
      <c r="I1014" s="141">
        <v>0</v>
      </c>
      <c r="J1014" s="149">
        <v>0</v>
      </c>
      <c r="K1014" s="150">
        <v>10</v>
      </c>
    </row>
    <row r="1015" spans="1:11" ht="30" customHeight="1">
      <c r="A1015" s="31">
        <v>35192</v>
      </c>
      <c r="B1015" s="16" t="s">
        <v>758</v>
      </c>
      <c r="C1015" s="15" t="s">
        <v>2822</v>
      </c>
      <c r="D1015" s="15" t="s">
        <v>2667</v>
      </c>
      <c r="E1015" s="15">
        <v>0.21</v>
      </c>
      <c r="F1015" s="131">
        <v>215698.51259811962</v>
      </c>
      <c r="G1015" s="17" t="e">
        <f t="shared" si="15"/>
        <v>#VALUE!</v>
      </c>
      <c r="H1015" s="141">
        <v>19</v>
      </c>
      <c r="I1015" s="141">
        <v>10</v>
      </c>
      <c r="J1015" s="149">
        <v>0</v>
      </c>
      <c r="K1015" s="150">
        <v>5</v>
      </c>
    </row>
    <row r="1016" spans="1:11" ht="30" customHeight="1">
      <c r="A1016" s="30">
        <v>33001</v>
      </c>
      <c r="B1016" s="16" t="s">
        <v>704</v>
      </c>
      <c r="C1016" s="15" t="s">
        <v>717</v>
      </c>
      <c r="D1016" s="15" t="s">
        <v>1827</v>
      </c>
      <c r="E1016" s="15">
        <v>0.21</v>
      </c>
      <c r="F1016" s="131">
        <v>33525.31602317153</v>
      </c>
      <c r="G1016" s="17" t="e">
        <f t="shared" si="15"/>
        <v>#VALUE!</v>
      </c>
      <c r="H1016" s="141">
        <v>560</v>
      </c>
      <c r="I1016" s="141">
        <v>48</v>
      </c>
      <c r="J1016" s="149">
        <v>6</v>
      </c>
      <c r="K1016" s="150">
        <v>24</v>
      </c>
    </row>
    <row r="1017" spans="1:11" ht="30" customHeight="1">
      <c r="A1017" s="31">
        <v>33100</v>
      </c>
      <c r="B1017" s="16" t="s">
        <v>704</v>
      </c>
      <c r="C1017" s="15" t="s">
        <v>2097</v>
      </c>
      <c r="D1017" s="15" t="s">
        <v>12</v>
      </c>
      <c r="E1017" s="15">
        <v>0.21</v>
      </c>
      <c r="F1017" s="131">
        <v>21786.752826085467</v>
      </c>
      <c r="G1017" s="17" t="e">
        <f t="shared" si="15"/>
        <v>#VALUE!</v>
      </c>
      <c r="H1017" s="141">
        <v>1677</v>
      </c>
      <c r="I1017" s="141">
        <v>240</v>
      </c>
      <c r="J1017" s="149">
        <v>12</v>
      </c>
      <c r="K1017" s="150">
        <v>48</v>
      </c>
    </row>
    <row r="1018" spans="1:11" ht="30" customHeight="1">
      <c r="A1018" s="31">
        <v>33002</v>
      </c>
      <c r="B1018" s="16" t="s">
        <v>704</v>
      </c>
      <c r="C1018" s="15" t="s">
        <v>3190</v>
      </c>
      <c r="D1018" s="15" t="s">
        <v>2902</v>
      </c>
      <c r="E1018" s="15">
        <v>0.21</v>
      </c>
      <c r="F1018" s="131">
        <v>17325.085200000001</v>
      </c>
      <c r="G1018" s="17" t="e">
        <f t="shared" si="15"/>
        <v>#VALUE!</v>
      </c>
      <c r="H1018" s="141">
        <v>652</v>
      </c>
      <c r="I1018" s="141">
        <v>0</v>
      </c>
      <c r="J1018" s="149">
        <v>12</v>
      </c>
      <c r="K1018" s="150">
        <v>72</v>
      </c>
    </row>
    <row r="1019" spans="1:11" ht="30" customHeight="1">
      <c r="A1019" s="30">
        <v>33003</v>
      </c>
      <c r="B1019" s="16" t="s">
        <v>704</v>
      </c>
      <c r="C1019" s="15" t="s">
        <v>1920</v>
      </c>
      <c r="D1019" s="15" t="s">
        <v>705</v>
      </c>
      <c r="E1019" s="15">
        <v>0.21</v>
      </c>
      <c r="F1019" s="131">
        <v>13408.821796234677</v>
      </c>
      <c r="G1019" s="17" t="e">
        <f t="shared" si="15"/>
        <v>#VALUE!</v>
      </c>
      <c r="H1019" s="141">
        <v>283</v>
      </c>
      <c r="I1019" s="141">
        <v>0</v>
      </c>
      <c r="J1019" s="149">
        <v>20</v>
      </c>
      <c r="K1019" s="150">
        <v>80</v>
      </c>
    </row>
    <row r="1020" spans="1:11" ht="30" customHeight="1">
      <c r="A1020" s="30">
        <v>33004</v>
      </c>
      <c r="B1020" s="16" t="s">
        <v>704</v>
      </c>
      <c r="C1020" s="15" t="s">
        <v>1920</v>
      </c>
      <c r="D1020" s="15" t="s">
        <v>706</v>
      </c>
      <c r="E1020" s="15">
        <v>0.21</v>
      </c>
      <c r="F1020" s="131">
        <v>16136.039788689186</v>
      </c>
      <c r="G1020" s="17" t="e">
        <f t="shared" si="15"/>
        <v>#VALUE!</v>
      </c>
      <c r="H1020" s="141">
        <v>296</v>
      </c>
      <c r="I1020" s="141">
        <v>0</v>
      </c>
      <c r="J1020" s="149">
        <v>10</v>
      </c>
      <c r="K1020" s="150">
        <v>50</v>
      </c>
    </row>
    <row r="1021" spans="1:11" ht="30" customHeight="1">
      <c r="A1021" s="30">
        <v>33005</v>
      </c>
      <c r="B1021" s="16" t="s">
        <v>704</v>
      </c>
      <c r="C1021" s="15" t="s">
        <v>1920</v>
      </c>
      <c r="D1021" s="15" t="s">
        <v>707</v>
      </c>
      <c r="E1021" s="15">
        <v>0.21</v>
      </c>
      <c r="F1021" s="131">
        <v>33294.786324548812</v>
      </c>
      <c r="G1021" s="17" t="e">
        <f t="shared" si="15"/>
        <v>#VALUE!</v>
      </c>
      <c r="H1021" s="141">
        <v>234</v>
      </c>
      <c r="I1021" s="141">
        <v>0</v>
      </c>
      <c r="J1021" s="149">
        <v>10</v>
      </c>
      <c r="K1021" s="150">
        <v>50</v>
      </c>
    </row>
    <row r="1022" spans="1:11" ht="30" customHeight="1">
      <c r="A1022" s="30">
        <v>33009</v>
      </c>
      <c r="B1022" s="16" t="s">
        <v>704</v>
      </c>
      <c r="C1022" s="15" t="s">
        <v>709</v>
      </c>
      <c r="D1022" s="15" t="s">
        <v>710</v>
      </c>
      <c r="E1022" s="15">
        <v>0.21</v>
      </c>
      <c r="F1022" s="131">
        <v>86568.510518063616</v>
      </c>
      <c r="G1022" s="17" t="e">
        <f t="shared" si="15"/>
        <v>#VALUE!</v>
      </c>
      <c r="H1022" s="141">
        <v>112</v>
      </c>
      <c r="I1022" s="141">
        <v>0</v>
      </c>
      <c r="J1022" s="149">
        <v>0</v>
      </c>
      <c r="K1022" s="150">
        <v>12</v>
      </c>
    </row>
    <row r="1023" spans="1:11" ht="30" customHeight="1">
      <c r="A1023" s="30">
        <v>33505</v>
      </c>
      <c r="B1023" s="16" t="s">
        <v>704</v>
      </c>
      <c r="C1023" s="15" t="s">
        <v>715</v>
      </c>
      <c r="D1023" s="15" t="s">
        <v>716</v>
      </c>
      <c r="E1023" s="15">
        <v>0.21</v>
      </c>
      <c r="F1023" s="131">
        <v>16203.255026554978</v>
      </c>
      <c r="G1023" s="17" t="e">
        <f t="shared" si="15"/>
        <v>#VALUE!</v>
      </c>
      <c r="H1023" s="141">
        <v>3403</v>
      </c>
      <c r="I1023" s="141">
        <v>400</v>
      </c>
      <c r="J1023" s="149">
        <v>10</v>
      </c>
      <c r="K1023" s="150">
        <v>40</v>
      </c>
    </row>
    <row r="1024" spans="1:11" ht="30" customHeight="1">
      <c r="A1024" s="31">
        <v>33504</v>
      </c>
      <c r="B1024" s="16" t="s">
        <v>704</v>
      </c>
      <c r="C1024" s="15" t="s">
        <v>3571</v>
      </c>
      <c r="D1024" s="15" t="s">
        <v>3572</v>
      </c>
      <c r="E1024" s="15">
        <v>0.21</v>
      </c>
      <c r="F1024" s="131">
        <v>11865.247799999999</v>
      </c>
      <c r="G1024" s="17" t="e">
        <f t="shared" si="15"/>
        <v>#VALUE!</v>
      </c>
      <c r="H1024" s="141">
        <v>235</v>
      </c>
      <c r="I1024" s="141">
        <v>0</v>
      </c>
      <c r="J1024" s="149" t="e">
        <v>#N/A</v>
      </c>
      <c r="K1024" s="150" t="e">
        <v>#N/A</v>
      </c>
    </row>
    <row r="1025" spans="1:11" ht="30" customHeight="1">
      <c r="A1025" s="31">
        <v>33008</v>
      </c>
      <c r="B1025" s="16" t="s">
        <v>704</v>
      </c>
      <c r="C1025" s="15" t="s">
        <v>2924</v>
      </c>
      <c r="D1025" s="15" t="s">
        <v>2925</v>
      </c>
      <c r="E1025" s="15">
        <v>0.21</v>
      </c>
      <c r="F1025" s="131">
        <v>25920.953799999999</v>
      </c>
      <c r="G1025" s="17" t="e">
        <f t="shared" si="15"/>
        <v>#VALUE!</v>
      </c>
      <c r="H1025" s="141">
        <v>411</v>
      </c>
      <c r="I1025" s="141">
        <v>200</v>
      </c>
      <c r="J1025" s="149">
        <v>25</v>
      </c>
      <c r="K1025" s="150">
        <v>50</v>
      </c>
    </row>
    <row r="1026" spans="1:11" ht="30" customHeight="1">
      <c r="A1026" s="30">
        <v>33013</v>
      </c>
      <c r="B1026" s="16" t="s">
        <v>704</v>
      </c>
      <c r="C1026" s="15" t="s">
        <v>713</v>
      </c>
      <c r="D1026" s="15" t="s">
        <v>714</v>
      </c>
      <c r="E1026" s="15">
        <v>0.21</v>
      </c>
      <c r="F1026" s="131">
        <v>983.0652</v>
      </c>
      <c r="G1026" s="17" t="e">
        <f t="shared" si="15"/>
        <v>#VALUE!</v>
      </c>
      <c r="H1026" s="141">
        <v>22607</v>
      </c>
      <c r="I1026" s="141">
        <v>0</v>
      </c>
      <c r="J1026" s="149">
        <v>100</v>
      </c>
      <c r="K1026" s="150">
        <v>600</v>
      </c>
    </row>
    <row r="1027" spans="1:11" ht="30" customHeight="1">
      <c r="A1027" s="30">
        <v>33011</v>
      </c>
      <c r="B1027" s="16" t="s">
        <v>704</v>
      </c>
      <c r="C1027" s="15" t="s">
        <v>711</v>
      </c>
      <c r="D1027" s="15" t="s">
        <v>712</v>
      </c>
      <c r="E1027" s="15">
        <v>0.21</v>
      </c>
      <c r="F1027" s="131">
        <v>314605.05319999997</v>
      </c>
      <c r="G1027" s="17" t="e">
        <f t="shared" si="15"/>
        <v>#VALUE!</v>
      </c>
      <c r="H1027" s="141">
        <v>36</v>
      </c>
      <c r="I1027" s="141">
        <v>4</v>
      </c>
      <c r="J1027" s="149">
        <v>0</v>
      </c>
      <c r="K1027" s="150">
        <v>2</v>
      </c>
    </row>
    <row r="1028" spans="1:11" ht="30" customHeight="1">
      <c r="A1028" s="30">
        <v>33006</v>
      </c>
      <c r="B1028" s="16" t="s">
        <v>704</v>
      </c>
      <c r="C1028" s="15" t="s">
        <v>1920</v>
      </c>
      <c r="D1028" s="15" t="s">
        <v>708</v>
      </c>
      <c r="E1028" s="15">
        <v>0.21</v>
      </c>
      <c r="F1028" s="131">
        <v>61646.615425228098</v>
      </c>
      <c r="G1028" s="17" t="e">
        <f t="shared" si="15"/>
        <v>#VALUE!</v>
      </c>
      <c r="H1028" s="141">
        <v>96</v>
      </c>
      <c r="I1028" s="141">
        <v>0</v>
      </c>
      <c r="J1028" s="149">
        <v>6</v>
      </c>
      <c r="K1028" s="150">
        <v>24</v>
      </c>
    </row>
    <row r="1029" spans="1:11" ht="30" customHeight="1">
      <c r="A1029" s="31">
        <v>33040</v>
      </c>
      <c r="B1029" s="16" t="s">
        <v>704</v>
      </c>
      <c r="C1029" s="15" t="s">
        <v>3191</v>
      </c>
      <c r="D1029" s="15" t="s">
        <v>2668</v>
      </c>
      <c r="E1029" s="15">
        <v>0.21</v>
      </c>
      <c r="F1029" s="131">
        <v>37503.467168078423</v>
      </c>
      <c r="G1029" s="17" t="e">
        <f t="shared" si="15"/>
        <v>#VALUE!</v>
      </c>
      <c r="H1029" s="141">
        <v>215</v>
      </c>
      <c r="I1029" s="141">
        <v>48</v>
      </c>
      <c r="J1029" s="149">
        <v>4</v>
      </c>
      <c r="K1029" s="150">
        <v>16</v>
      </c>
    </row>
    <row r="1030" spans="1:11" ht="30" customHeight="1">
      <c r="A1030" s="30">
        <v>38114</v>
      </c>
      <c r="B1030" s="16" t="s">
        <v>333</v>
      </c>
      <c r="C1030" s="15" t="s">
        <v>2107</v>
      </c>
      <c r="D1030" s="15" t="s">
        <v>349</v>
      </c>
      <c r="E1030" s="15">
        <v>0.21</v>
      </c>
      <c r="F1030" s="131">
        <v>2978.7913947240163</v>
      </c>
      <c r="G1030" s="17" t="e">
        <f t="shared" si="15"/>
        <v>#VALUE!</v>
      </c>
      <c r="H1030" s="141">
        <v>3974</v>
      </c>
      <c r="I1030" s="141">
        <v>0</v>
      </c>
      <c r="J1030" s="149">
        <v>24</v>
      </c>
      <c r="K1030" s="150">
        <v>480</v>
      </c>
    </row>
    <row r="1031" spans="1:11" ht="30" customHeight="1">
      <c r="A1031" s="30">
        <v>38015</v>
      </c>
      <c r="B1031" s="16" t="s">
        <v>333</v>
      </c>
      <c r="C1031" s="15" t="s">
        <v>2106</v>
      </c>
      <c r="D1031" s="15" t="s">
        <v>350</v>
      </c>
      <c r="E1031" s="15">
        <v>0.21</v>
      </c>
      <c r="F1031" s="131">
        <v>3498.092136684118</v>
      </c>
      <c r="G1031" s="17" t="e">
        <f t="shared" si="15"/>
        <v>#VALUE!</v>
      </c>
      <c r="H1031" s="141">
        <v>18</v>
      </c>
      <c r="I1031" s="141">
        <v>0</v>
      </c>
      <c r="J1031" s="149" t="e">
        <v>#N/A</v>
      </c>
      <c r="K1031" s="150" t="e">
        <v>#N/A</v>
      </c>
    </row>
    <row r="1032" spans="1:11" ht="30" customHeight="1">
      <c r="A1032" s="30">
        <v>38115</v>
      </c>
      <c r="B1032" s="16" t="s">
        <v>333</v>
      </c>
      <c r="C1032" s="15" t="s">
        <v>2108</v>
      </c>
      <c r="D1032" s="15" t="s">
        <v>350</v>
      </c>
      <c r="E1032" s="15">
        <v>0.105</v>
      </c>
      <c r="F1032" s="131">
        <v>3498.092136684118</v>
      </c>
      <c r="G1032" s="17" t="e">
        <f t="shared" si="15"/>
        <v>#VALUE!</v>
      </c>
      <c r="H1032" s="141">
        <v>3684</v>
      </c>
      <c r="I1032" s="141">
        <v>0</v>
      </c>
      <c r="J1032" s="149">
        <v>24</v>
      </c>
      <c r="K1032" s="150">
        <v>480</v>
      </c>
    </row>
    <row r="1033" spans="1:11" ht="30" customHeight="1">
      <c r="A1033" s="31">
        <v>38109</v>
      </c>
      <c r="B1033" s="16" t="s">
        <v>333</v>
      </c>
      <c r="C1033" s="15" t="s">
        <v>3192</v>
      </c>
      <c r="D1033" s="15" t="s">
        <v>2669</v>
      </c>
      <c r="E1033" s="15">
        <v>0.105</v>
      </c>
      <c r="F1033" s="131">
        <v>11768.592294493763</v>
      </c>
      <c r="G1033" s="17" t="e">
        <f t="shared" ref="G1033:G1096" si="16">(F1033*$G$6)</f>
        <v>#VALUE!</v>
      </c>
      <c r="H1033" s="141">
        <v>217</v>
      </c>
      <c r="I1033" s="141">
        <v>96</v>
      </c>
      <c r="J1033" s="149">
        <v>12</v>
      </c>
      <c r="K1033" s="150">
        <v>96</v>
      </c>
    </row>
    <row r="1034" spans="1:11" ht="30" customHeight="1">
      <c r="A1034" s="31">
        <v>38110</v>
      </c>
      <c r="B1034" s="16" t="s">
        <v>333</v>
      </c>
      <c r="C1034" s="15" t="s">
        <v>3193</v>
      </c>
      <c r="D1034" s="15" t="s">
        <v>2670</v>
      </c>
      <c r="E1034" s="15">
        <v>0.105</v>
      </c>
      <c r="F1034" s="131">
        <v>27130.371686657138</v>
      </c>
      <c r="G1034" s="17" t="e">
        <f t="shared" si="16"/>
        <v>#VALUE!</v>
      </c>
      <c r="H1034" s="141">
        <v>558</v>
      </c>
      <c r="I1034" s="141">
        <v>0</v>
      </c>
      <c r="J1034" s="149">
        <v>10</v>
      </c>
      <c r="K1034" s="150">
        <v>60</v>
      </c>
    </row>
    <row r="1035" spans="1:11" ht="30" customHeight="1">
      <c r="A1035" s="30">
        <v>38000</v>
      </c>
      <c r="B1035" s="16" t="s">
        <v>333</v>
      </c>
      <c r="C1035" s="15" t="s">
        <v>3194</v>
      </c>
      <c r="D1035" s="15" t="s">
        <v>179</v>
      </c>
      <c r="E1035" s="15">
        <v>0.21</v>
      </c>
      <c r="F1035" s="131">
        <v>4962.336933863583</v>
      </c>
      <c r="G1035" s="17" t="e">
        <f t="shared" si="16"/>
        <v>#VALUE!</v>
      </c>
      <c r="H1035" s="141">
        <v>401</v>
      </c>
      <c r="I1035" s="141">
        <v>0</v>
      </c>
      <c r="J1035" s="149">
        <v>12</v>
      </c>
      <c r="K1035" s="150">
        <v>144</v>
      </c>
    </row>
    <row r="1036" spans="1:11" ht="30" customHeight="1">
      <c r="A1036" s="30">
        <v>38001</v>
      </c>
      <c r="B1036" s="16" t="s">
        <v>333</v>
      </c>
      <c r="C1036" s="15" t="s">
        <v>3194</v>
      </c>
      <c r="D1036" s="15" t="s">
        <v>180</v>
      </c>
      <c r="E1036" s="15">
        <v>0.21</v>
      </c>
      <c r="F1036" s="131">
        <v>6134.3553474990149</v>
      </c>
      <c r="G1036" s="17" t="e">
        <f t="shared" si="16"/>
        <v>#VALUE!</v>
      </c>
      <c r="H1036" s="141">
        <v>498</v>
      </c>
      <c r="I1036" s="141">
        <v>0</v>
      </c>
      <c r="J1036" s="149">
        <v>12</v>
      </c>
      <c r="K1036" s="150">
        <v>144</v>
      </c>
    </row>
    <row r="1037" spans="1:11" ht="30" customHeight="1">
      <c r="A1037" s="30">
        <v>38002</v>
      </c>
      <c r="B1037" s="16" t="s">
        <v>333</v>
      </c>
      <c r="C1037" s="15" t="s">
        <v>3194</v>
      </c>
      <c r="D1037" s="15" t="s">
        <v>346</v>
      </c>
      <c r="E1037" s="15">
        <v>0.21</v>
      </c>
      <c r="F1037" s="131">
        <v>7119.8747311955749</v>
      </c>
      <c r="G1037" s="17" t="e">
        <f t="shared" si="16"/>
        <v>#VALUE!</v>
      </c>
      <c r="H1037" s="141">
        <v>507</v>
      </c>
      <c r="I1037" s="141">
        <v>0</v>
      </c>
      <c r="J1037" s="149">
        <v>12</v>
      </c>
      <c r="K1037" s="150">
        <v>144</v>
      </c>
    </row>
    <row r="1038" spans="1:11" ht="30" customHeight="1">
      <c r="A1038" s="30">
        <v>38003</v>
      </c>
      <c r="B1038" s="16" t="s">
        <v>333</v>
      </c>
      <c r="C1038" s="15" t="s">
        <v>3194</v>
      </c>
      <c r="D1038" s="15" t="s">
        <v>182</v>
      </c>
      <c r="E1038" s="15">
        <v>0.21</v>
      </c>
      <c r="F1038" s="131">
        <v>7982.8898501283729</v>
      </c>
      <c r="G1038" s="17" t="e">
        <f t="shared" si="16"/>
        <v>#VALUE!</v>
      </c>
      <c r="H1038" s="141">
        <v>248</v>
      </c>
      <c r="I1038" s="141">
        <v>0</v>
      </c>
      <c r="J1038" s="149">
        <v>12</v>
      </c>
      <c r="K1038" s="150">
        <v>72</v>
      </c>
    </row>
    <row r="1039" spans="1:11" ht="30" customHeight="1">
      <c r="A1039" s="30">
        <v>38006</v>
      </c>
      <c r="B1039" s="16" t="s">
        <v>333</v>
      </c>
      <c r="C1039" s="15" t="s">
        <v>3195</v>
      </c>
      <c r="D1039" s="15" t="s">
        <v>347</v>
      </c>
      <c r="E1039" s="15">
        <v>0.21</v>
      </c>
      <c r="F1039" s="131">
        <v>5978.5060000000003</v>
      </c>
      <c r="G1039" s="17" t="e">
        <f t="shared" si="16"/>
        <v>#VALUE!</v>
      </c>
      <c r="H1039" s="141">
        <v>555</v>
      </c>
      <c r="I1039" s="141">
        <v>0</v>
      </c>
      <c r="J1039" s="149">
        <v>12</v>
      </c>
      <c r="K1039" s="150">
        <v>144</v>
      </c>
    </row>
    <row r="1040" spans="1:11" ht="30" customHeight="1">
      <c r="A1040" s="30">
        <v>38007</v>
      </c>
      <c r="B1040" s="16" t="s">
        <v>333</v>
      </c>
      <c r="C1040" s="15" t="s">
        <v>3195</v>
      </c>
      <c r="D1040" s="15" t="s">
        <v>218</v>
      </c>
      <c r="E1040" s="15">
        <v>0.21</v>
      </c>
      <c r="F1040" s="131">
        <v>7335.6285109287737</v>
      </c>
      <c r="G1040" s="17" t="e">
        <f t="shared" si="16"/>
        <v>#VALUE!</v>
      </c>
      <c r="H1040" s="141">
        <v>678</v>
      </c>
      <c r="I1040" s="141">
        <v>0</v>
      </c>
      <c r="J1040" s="149">
        <v>12</v>
      </c>
      <c r="K1040" s="150">
        <v>72</v>
      </c>
    </row>
    <row r="1041" spans="1:11" ht="30" customHeight="1">
      <c r="A1041" s="31">
        <v>38012</v>
      </c>
      <c r="B1041" s="16" t="s">
        <v>333</v>
      </c>
      <c r="C1041" s="15" t="s">
        <v>3196</v>
      </c>
      <c r="D1041" s="15" t="s">
        <v>2671</v>
      </c>
      <c r="E1041" s="15">
        <v>0.21</v>
      </c>
      <c r="F1041" s="131">
        <v>31824.370711197967</v>
      </c>
      <c r="G1041" s="17" t="e">
        <f t="shared" si="16"/>
        <v>#VALUE!</v>
      </c>
      <c r="H1041" s="141">
        <v>121</v>
      </c>
      <c r="I1041" s="141">
        <v>0</v>
      </c>
      <c r="J1041" s="149">
        <v>10</v>
      </c>
      <c r="K1041" s="150">
        <v>20</v>
      </c>
    </row>
    <row r="1042" spans="1:11" ht="30" customHeight="1">
      <c r="A1042" s="30">
        <v>38013</v>
      </c>
      <c r="B1042" s="16" t="s">
        <v>333</v>
      </c>
      <c r="C1042" s="15" t="s">
        <v>3197</v>
      </c>
      <c r="D1042" s="15" t="s">
        <v>348</v>
      </c>
      <c r="E1042" s="15">
        <v>0.21</v>
      </c>
      <c r="F1042" s="131">
        <v>33661.514501564488</v>
      </c>
      <c r="G1042" s="17" t="e">
        <f t="shared" si="16"/>
        <v>#VALUE!</v>
      </c>
      <c r="H1042" s="141">
        <v>372</v>
      </c>
      <c r="I1042" s="141">
        <v>0</v>
      </c>
      <c r="J1042" s="149">
        <v>10</v>
      </c>
      <c r="K1042" s="150">
        <v>20</v>
      </c>
    </row>
    <row r="1043" spans="1:11" ht="30" customHeight="1">
      <c r="A1043" s="30">
        <v>38016</v>
      </c>
      <c r="B1043" s="16" t="s">
        <v>333</v>
      </c>
      <c r="C1043" s="15" t="s">
        <v>351</v>
      </c>
      <c r="D1043" s="15" t="s">
        <v>352</v>
      </c>
      <c r="E1043" s="15">
        <v>0.21</v>
      </c>
      <c r="F1043" s="131">
        <v>89903.274600000004</v>
      </c>
      <c r="G1043" s="17" t="e">
        <f t="shared" si="16"/>
        <v>#VALUE!</v>
      </c>
      <c r="H1043" s="141">
        <v>81</v>
      </c>
      <c r="I1043" s="141">
        <v>0</v>
      </c>
      <c r="J1043" s="149">
        <v>0</v>
      </c>
      <c r="K1043" s="150">
        <v>12</v>
      </c>
    </row>
    <row r="1044" spans="1:11" ht="30" customHeight="1">
      <c r="A1044" s="31">
        <v>38101</v>
      </c>
      <c r="B1044" s="16" t="s">
        <v>333</v>
      </c>
      <c r="C1044" s="15" t="s">
        <v>3198</v>
      </c>
      <c r="D1044" s="15" t="s">
        <v>2926</v>
      </c>
      <c r="E1044" s="15">
        <v>0.21</v>
      </c>
      <c r="F1044" s="131">
        <v>53923.440199999997</v>
      </c>
      <c r="G1044" s="17" t="e">
        <f t="shared" si="16"/>
        <v>#VALUE!</v>
      </c>
      <c r="H1044" s="141">
        <v>75</v>
      </c>
      <c r="I1044" s="141">
        <v>0</v>
      </c>
      <c r="J1044" s="149">
        <v>0</v>
      </c>
      <c r="K1044" s="150">
        <v>10</v>
      </c>
    </row>
    <row r="1045" spans="1:11" ht="30" customHeight="1">
      <c r="A1045" s="31">
        <v>38102</v>
      </c>
      <c r="B1045" s="16" t="s">
        <v>333</v>
      </c>
      <c r="C1045" s="15" t="s">
        <v>3198</v>
      </c>
      <c r="D1045" s="15" t="s">
        <v>2672</v>
      </c>
      <c r="E1045" s="15">
        <v>0.21</v>
      </c>
      <c r="F1045" s="131">
        <v>69984.148554717773</v>
      </c>
      <c r="G1045" s="17" t="e">
        <f t="shared" si="16"/>
        <v>#VALUE!</v>
      </c>
      <c r="H1045" s="141">
        <v>43</v>
      </c>
      <c r="I1045" s="141">
        <v>0</v>
      </c>
      <c r="J1045" s="149">
        <v>0</v>
      </c>
      <c r="K1045" s="150">
        <v>8</v>
      </c>
    </row>
    <row r="1046" spans="1:11" ht="30" customHeight="1">
      <c r="A1046" s="30">
        <v>38040</v>
      </c>
      <c r="B1046" s="16" t="s">
        <v>333</v>
      </c>
      <c r="C1046" s="15" t="s">
        <v>354</v>
      </c>
      <c r="D1046" s="15" t="s">
        <v>355</v>
      </c>
      <c r="E1046" s="15">
        <v>0.21</v>
      </c>
      <c r="F1046" s="131">
        <v>24316.368200000001</v>
      </c>
      <c r="G1046" s="17" t="e">
        <f t="shared" si="16"/>
        <v>#VALUE!</v>
      </c>
      <c r="H1046" s="141">
        <v>179</v>
      </c>
      <c r="I1046" s="141">
        <v>0</v>
      </c>
      <c r="J1046" s="149">
        <v>12</v>
      </c>
      <c r="K1046" s="150">
        <v>72</v>
      </c>
    </row>
    <row r="1047" spans="1:11" ht="30" customHeight="1">
      <c r="A1047" s="30">
        <v>38041</v>
      </c>
      <c r="B1047" s="16" t="s">
        <v>333</v>
      </c>
      <c r="C1047" s="15" t="s">
        <v>354</v>
      </c>
      <c r="D1047" s="15" t="s">
        <v>356</v>
      </c>
      <c r="E1047" s="15">
        <v>0.21</v>
      </c>
      <c r="F1047" s="131">
        <v>25406.790199999999</v>
      </c>
      <c r="G1047" s="17" t="e">
        <f t="shared" si="16"/>
        <v>#VALUE!</v>
      </c>
      <c r="H1047" s="141">
        <v>194</v>
      </c>
      <c r="I1047" s="141">
        <v>0</v>
      </c>
      <c r="J1047" s="149">
        <v>12</v>
      </c>
      <c r="K1047" s="150">
        <v>72</v>
      </c>
    </row>
    <row r="1048" spans="1:11" ht="30" customHeight="1">
      <c r="A1048" s="30">
        <v>38020</v>
      </c>
      <c r="B1048" s="16" t="s">
        <v>333</v>
      </c>
      <c r="C1048" s="15" t="s">
        <v>353</v>
      </c>
      <c r="D1048" s="15" t="s">
        <v>10</v>
      </c>
      <c r="E1048" s="15">
        <v>0.21</v>
      </c>
      <c r="F1048" s="131">
        <v>12872.089909506125</v>
      </c>
      <c r="G1048" s="17" t="e">
        <f t="shared" si="16"/>
        <v>#VALUE!</v>
      </c>
      <c r="H1048" s="141">
        <v>183</v>
      </c>
      <c r="I1048" s="141">
        <v>0</v>
      </c>
      <c r="J1048" s="149">
        <v>6</v>
      </c>
      <c r="K1048" s="150">
        <v>60</v>
      </c>
    </row>
    <row r="1049" spans="1:11" ht="30" customHeight="1">
      <c r="A1049" s="30">
        <v>38021</v>
      </c>
      <c r="B1049" s="16" t="s">
        <v>333</v>
      </c>
      <c r="C1049" s="15" t="s">
        <v>353</v>
      </c>
      <c r="D1049" s="15" t="s">
        <v>12</v>
      </c>
      <c r="E1049" s="15">
        <v>0.21</v>
      </c>
      <c r="F1049" s="131">
        <v>16693.49160139076</v>
      </c>
      <c r="G1049" s="17" t="e">
        <f t="shared" si="16"/>
        <v>#VALUE!</v>
      </c>
      <c r="H1049" s="141">
        <v>54</v>
      </c>
      <c r="I1049" s="141">
        <v>0</v>
      </c>
      <c r="J1049" s="149">
        <v>6</v>
      </c>
      <c r="K1049" s="150">
        <v>48</v>
      </c>
    </row>
    <row r="1050" spans="1:11" ht="30" customHeight="1">
      <c r="A1050" s="30">
        <v>38022</v>
      </c>
      <c r="B1050" s="16" t="s">
        <v>333</v>
      </c>
      <c r="C1050" s="15" t="s">
        <v>353</v>
      </c>
      <c r="D1050" s="15" t="s">
        <v>17</v>
      </c>
      <c r="E1050" s="15">
        <v>0.21</v>
      </c>
      <c r="F1050" s="131">
        <v>24034.605377905969</v>
      </c>
      <c r="G1050" s="17" t="e">
        <f t="shared" si="16"/>
        <v>#VALUE!</v>
      </c>
      <c r="H1050" s="141">
        <v>91</v>
      </c>
      <c r="I1050" s="141">
        <v>0</v>
      </c>
      <c r="J1050" s="149">
        <v>6</v>
      </c>
      <c r="K1050" s="150">
        <v>36</v>
      </c>
    </row>
    <row r="1051" spans="1:11" ht="30" customHeight="1">
      <c r="A1051" s="30">
        <v>38050</v>
      </c>
      <c r="B1051" s="16" t="s">
        <v>333</v>
      </c>
      <c r="C1051" s="15" t="s">
        <v>1974</v>
      </c>
      <c r="D1051" s="15" t="s">
        <v>359</v>
      </c>
      <c r="E1051" s="15">
        <v>0.21</v>
      </c>
      <c r="F1051" s="131">
        <v>17330.42235706923</v>
      </c>
      <c r="G1051" s="17" t="e">
        <f t="shared" si="16"/>
        <v>#VALUE!</v>
      </c>
      <c r="H1051" s="141">
        <v>830</v>
      </c>
      <c r="I1051" s="141">
        <v>96</v>
      </c>
      <c r="J1051" s="149">
        <v>12</v>
      </c>
      <c r="K1051" s="150">
        <v>48</v>
      </c>
    </row>
    <row r="1052" spans="1:11" ht="30" customHeight="1">
      <c r="A1052" s="30">
        <v>38051</v>
      </c>
      <c r="B1052" s="16" t="s">
        <v>333</v>
      </c>
      <c r="C1052" s="15" t="s">
        <v>360</v>
      </c>
      <c r="D1052" s="15" t="s">
        <v>10</v>
      </c>
      <c r="E1052" s="15">
        <v>0.21</v>
      </c>
      <c r="F1052" s="131">
        <v>14951.736935510706</v>
      </c>
      <c r="G1052" s="17" t="e">
        <f t="shared" si="16"/>
        <v>#VALUE!</v>
      </c>
      <c r="H1052" s="141">
        <v>317</v>
      </c>
      <c r="I1052" s="141">
        <v>0</v>
      </c>
      <c r="J1052" s="149">
        <v>12</v>
      </c>
      <c r="K1052" s="150">
        <v>72</v>
      </c>
    </row>
    <row r="1053" spans="1:11" ht="30" customHeight="1">
      <c r="A1053" s="30">
        <v>38052</v>
      </c>
      <c r="B1053" s="16" t="s">
        <v>333</v>
      </c>
      <c r="C1053" s="15" t="s">
        <v>361</v>
      </c>
      <c r="D1053" s="15" t="s">
        <v>362</v>
      </c>
      <c r="E1053" s="15">
        <v>0.21</v>
      </c>
      <c r="F1053" s="131">
        <v>18236.58823194867</v>
      </c>
      <c r="G1053" s="17" t="e">
        <f t="shared" si="16"/>
        <v>#VALUE!</v>
      </c>
      <c r="H1053" s="141">
        <v>312</v>
      </c>
      <c r="I1053" s="141">
        <v>0</v>
      </c>
      <c r="J1053" s="149">
        <v>12</v>
      </c>
      <c r="K1053" s="150">
        <v>72</v>
      </c>
    </row>
    <row r="1054" spans="1:11" ht="30" customHeight="1">
      <c r="A1054" s="30">
        <v>38049</v>
      </c>
      <c r="B1054" s="16" t="s">
        <v>333</v>
      </c>
      <c r="C1054" s="15" t="s">
        <v>1973</v>
      </c>
      <c r="D1054" s="15" t="s">
        <v>4211</v>
      </c>
      <c r="E1054" s="15">
        <v>0.21</v>
      </c>
      <c r="F1054" s="131">
        <v>32168.888558220006</v>
      </c>
      <c r="G1054" s="17" t="e">
        <f t="shared" si="16"/>
        <v>#VALUE!</v>
      </c>
      <c r="H1054" s="141">
        <v>344</v>
      </c>
      <c r="I1054" s="141">
        <v>0</v>
      </c>
      <c r="J1054" s="149">
        <v>6</v>
      </c>
      <c r="K1054" s="150">
        <v>48</v>
      </c>
    </row>
    <row r="1055" spans="1:11" ht="30" customHeight="1">
      <c r="A1055" s="30">
        <v>38054</v>
      </c>
      <c r="B1055" s="16" t="s">
        <v>333</v>
      </c>
      <c r="C1055" s="15" t="s">
        <v>3199</v>
      </c>
      <c r="D1055" s="15" t="s">
        <v>363</v>
      </c>
      <c r="E1055" s="15">
        <v>0.21</v>
      </c>
      <c r="F1055" s="131">
        <v>42848.297376920404</v>
      </c>
      <c r="G1055" s="17" t="e">
        <f t="shared" si="16"/>
        <v>#VALUE!</v>
      </c>
      <c r="H1055" s="141">
        <v>309</v>
      </c>
      <c r="I1055" s="141">
        <v>50</v>
      </c>
      <c r="J1055" s="149">
        <v>10</v>
      </c>
      <c r="K1055" s="150">
        <v>50</v>
      </c>
    </row>
    <row r="1056" spans="1:11" ht="30" customHeight="1">
      <c r="A1056" s="30">
        <v>38056</v>
      </c>
      <c r="B1056" s="16" t="s">
        <v>333</v>
      </c>
      <c r="C1056" s="15" t="s">
        <v>1975</v>
      </c>
      <c r="D1056" s="15" t="s">
        <v>364</v>
      </c>
      <c r="E1056" s="15">
        <v>0.21</v>
      </c>
      <c r="F1056" s="131">
        <v>51565.153356234623</v>
      </c>
      <c r="G1056" s="17" t="e">
        <f t="shared" si="16"/>
        <v>#VALUE!</v>
      </c>
      <c r="H1056" s="141">
        <v>208</v>
      </c>
      <c r="I1056" s="141">
        <v>0</v>
      </c>
      <c r="J1056" s="149">
        <v>5</v>
      </c>
      <c r="K1056" s="150">
        <v>30</v>
      </c>
    </row>
    <row r="1057" spans="1:11" ht="30" customHeight="1">
      <c r="A1057" s="31">
        <v>10294</v>
      </c>
      <c r="B1057" s="16" t="s">
        <v>333</v>
      </c>
      <c r="C1057" s="15" t="s">
        <v>3200</v>
      </c>
      <c r="D1057" s="15" t="s">
        <v>362</v>
      </c>
      <c r="E1057" s="15">
        <v>0.21</v>
      </c>
      <c r="F1057" s="131">
        <v>59175.644800000002</v>
      </c>
      <c r="G1057" s="17" t="e">
        <f t="shared" si="16"/>
        <v>#VALUE!</v>
      </c>
      <c r="H1057" s="141">
        <v>205</v>
      </c>
      <c r="I1057" s="141">
        <v>0</v>
      </c>
      <c r="J1057" s="149">
        <v>6</v>
      </c>
      <c r="K1057" s="150">
        <v>36</v>
      </c>
    </row>
    <row r="1058" spans="1:11" ht="30" customHeight="1">
      <c r="A1058" s="30">
        <v>38048</v>
      </c>
      <c r="B1058" s="16" t="s">
        <v>333</v>
      </c>
      <c r="C1058" s="15" t="s">
        <v>357</v>
      </c>
      <c r="D1058" s="15" t="s">
        <v>358</v>
      </c>
      <c r="E1058" s="15">
        <v>0.21</v>
      </c>
      <c r="F1058" s="131">
        <v>36204.290795416768</v>
      </c>
      <c r="G1058" s="17" t="e">
        <f t="shared" si="16"/>
        <v>#VALUE!</v>
      </c>
      <c r="H1058" s="141">
        <v>1151</v>
      </c>
      <c r="I1058" s="141">
        <v>80</v>
      </c>
      <c r="J1058" s="149">
        <v>10</v>
      </c>
      <c r="K1058" s="150">
        <v>40</v>
      </c>
    </row>
    <row r="1059" spans="1:11" ht="30" customHeight="1">
      <c r="A1059" s="31">
        <v>38053</v>
      </c>
      <c r="B1059" s="16" t="s">
        <v>333</v>
      </c>
      <c r="C1059" s="15" t="s">
        <v>3201</v>
      </c>
      <c r="D1059" s="15" t="s">
        <v>3053</v>
      </c>
      <c r="E1059" s="15">
        <v>0.21</v>
      </c>
      <c r="F1059" s="131">
        <v>22820.559800000003</v>
      </c>
      <c r="G1059" s="17" t="e">
        <f t="shared" si="16"/>
        <v>#VALUE!</v>
      </c>
      <c r="H1059" s="141">
        <v>209</v>
      </c>
      <c r="I1059" s="141">
        <v>0</v>
      </c>
      <c r="J1059" s="149">
        <v>12</v>
      </c>
      <c r="K1059" s="150">
        <v>72</v>
      </c>
    </row>
    <row r="1060" spans="1:11" ht="30" customHeight="1">
      <c r="A1060" s="30">
        <v>30043</v>
      </c>
      <c r="B1060" s="16" t="s">
        <v>333</v>
      </c>
      <c r="C1060" s="15" t="s">
        <v>334</v>
      </c>
      <c r="D1060" s="15" t="s">
        <v>335</v>
      </c>
      <c r="E1060" s="15">
        <v>0.21</v>
      </c>
      <c r="F1060" s="131">
        <v>17044.548598922742</v>
      </c>
      <c r="G1060" s="17" t="e">
        <f t="shared" si="16"/>
        <v>#VALUE!</v>
      </c>
      <c r="H1060" s="141">
        <v>356</v>
      </c>
      <c r="I1060" s="141">
        <v>0</v>
      </c>
      <c r="J1060" s="149">
        <v>12</v>
      </c>
      <c r="K1060" s="150">
        <v>120</v>
      </c>
    </row>
    <row r="1061" spans="1:11" ht="30" customHeight="1">
      <c r="A1061" s="31">
        <v>38023</v>
      </c>
      <c r="B1061" s="16" t="s">
        <v>333</v>
      </c>
      <c r="C1061" s="15" t="s">
        <v>3202</v>
      </c>
      <c r="D1061" s="15" t="s">
        <v>86</v>
      </c>
      <c r="E1061" s="15">
        <v>0.21</v>
      </c>
      <c r="F1061" s="131">
        <v>1684.7555325848498</v>
      </c>
      <c r="G1061" s="17" t="e">
        <f t="shared" si="16"/>
        <v>#VALUE!</v>
      </c>
      <c r="H1061" s="141">
        <v>2227</v>
      </c>
      <c r="I1061" s="141">
        <v>800</v>
      </c>
      <c r="J1061" s="149">
        <v>0</v>
      </c>
      <c r="K1061" s="150">
        <v>400</v>
      </c>
    </row>
    <row r="1062" spans="1:11" ht="30" customHeight="1">
      <c r="A1062" s="31">
        <v>38024</v>
      </c>
      <c r="B1062" s="16" t="s">
        <v>333</v>
      </c>
      <c r="C1062" s="15" t="s">
        <v>3202</v>
      </c>
      <c r="D1062" s="15" t="s">
        <v>86</v>
      </c>
      <c r="E1062" s="15">
        <v>0.21</v>
      </c>
      <c r="F1062" s="131">
        <v>1684.7555325848498</v>
      </c>
      <c r="G1062" s="17" t="e">
        <f t="shared" si="16"/>
        <v>#VALUE!</v>
      </c>
      <c r="H1062" s="141">
        <v>3539</v>
      </c>
      <c r="I1062" s="141">
        <v>0</v>
      </c>
      <c r="J1062" s="149">
        <v>0</v>
      </c>
      <c r="K1062" s="150">
        <v>400</v>
      </c>
    </row>
    <row r="1063" spans="1:11" ht="30" customHeight="1">
      <c r="A1063" s="31">
        <v>38025</v>
      </c>
      <c r="B1063" s="16" t="s">
        <v>333</v>
      </c>
      <c r="C1063" s="15" t="s">
        <v>3202</v>
      </c>
      <c r="D1063" s="15" t="s">
        <v>86</v>
      </c>
      <c r="E1063" s="15">
        <v>0.21</v>
      </c>
      <c r="F1063" s="131">
        <v>1684.7555325848498</v>
      </c>
      <c r="G1063" s="17" t="e">
        <f t="shared" si="16"/>
        <v>#VALUE!</v>
      </c>
      <c r="H1063" s="141">
        <v>3780</v>
      </c>
      <c r="I1063" s="141">
        <v>0</v>
      </c>
      <c r="J1063" s="149">
        <v>0</v>
      </c>
      <c r="K1063" s="150">
        <v>400</v>
      </c>
    </row>
    <row r="1064" spans="1:11" ht="30" customHeight="1">
      <c r="A1064" s="31">
        <v>79110</v>
      </c>
      <c r="B1064" s="16" t="s">
        <v>333</v>
      </c>
      <c r="C1064" s="15" t="s">
        <v>3203</v>
      </c>
      <c r="D1064" s="15" t="s">
        <v>2927</v>
      </c>
      <c r="E1064" s="15">
        <v>0.21</v>
      </c>
      <c r="F1064" s="131">
        <v>6480.6068000000005</v>
      </c>
      <c r="G1064" s="17" t="e">
        <f t="shared" si="16"/>
        <v>#VALUE!</v>
      </c>
      <c r="H1064" s="141">
        <v>1150</v>
      </c>
      <c r="I1064" s="141">
        <v>0</v>
      </c>
      <c r="J1064" s="149">
        <v>20</v>
      </c>
      <c r="K1064" s="150">
        <v>120</v>
      </c>
    </row>
    <row r="1065" spans="1:11" ht="30" customHeight="1">
      <c r="A1065" s="31">
        <v>79111</v>
      </c>
      <c r="B1065" s="16" t="s">
        <v>333</v>
      </c>
      <c r="C1065" s="15" t="s">
        <v>2928</v>
      </c>
      <c r="D1065" s="15" t="s">
        <v>2929</v>
      </c>
      <c r="E1065" s="15">
        <v>0.21</v>
      </c>
      <c r="F1065" s="131">
        <v>43868.757200000007</v>
      </c>
      <c r="G1065" s="17" t="e">
        <f t="shared" si="16"/>
        <v>#VALUE!</v>
      </c>
      <c r="H1065" s="141">
        <v>149</v>
      </c>
      <c r="I1065" s="141">
        <v>0</v>
      </c>
      <c r="J1065" s="149">
        <v>0</v>
      </c>
      <c r="K1065" s="150">
        <v>16</v>
      </c>
    </row>
    <row r="1066" spans="1:11" ht="30" customHeight="1">
      <c r="A1066" s="31">
        <v>38030</v>
      </c>
      <c r="B1066" s="16" t="s">
        <v>333</v>
      </c>
      <c r="C1066" s="15" t="s">
        <v>3204</v>
      </c>
      <c r="D1066" s="15" t="s">
        <v>2930</v>
      </c>
      <c r="E1066" s="15">
        <v>0.105</v>
      </c>
      <c r="F1066" s="131">
        <v>54907.721488346077</v>
      </c>
      <c r="G1066" s="17" t="e">
        <f t="shared" si="16"/>
        <v>#VALUE!</v>
      </c>
      <c r="H1066" s="141">
        <v>244</v>
      </c>
      <c r="I1066" s="141">
        <v>0</v>
      </c>
      <c r="J1066" s="149">
        <v>0</v>
      </c>
      <c r="K1066" s="150">
        <v>40</v>
      </c>
    </row>
    <row r="1067" spans="1:11" ht="30" customHeight="1">
      <c r="A1067" s="30">
        <v>38031</v>
      </c>
      <c r="B1067" s="16" t="s">
        <v>333</v>
      </c>
      <c r="C1067" s="15" t="s">
        <v>3205</v>
      </c>
      <c r="D1067" s="15" t="s">
        <v>2931</v>
      </c>
      <c r="E1067" s="15">
        <v>0.105</v>
      </c>
      <c r="F1067" s="131">
        <v>87822.225302685998</v>
      </c>
      <c r="G1067" s="17" t="e">
        <f t="shared" si="16"/>
        <v>#VALUE!</v>
      </c>
      <c r="H1067" s="141">
        <v>208</v>
      </c>
      <c r="I1067" s="141">
        <v>0</v>
      </c>
      <c r="J1067" s="149">
        <v>0</v>
      </c>
      <c r="K1067" s="150">
        <v>20</v>
      </c>
    </row>
    <row r="1068" spans="1:11" ht="30" customHeight="1">
      <c r="A1068" s="31">
        <v>38033</v>
      </c>
      <c r="B1068" s="16" t="s">
        <v>333</v>
      </c>
      <c r="C1068" s="15" t="s">
        <v>3206</v>
      </c>
      <c r="D1068" s="15" t="s">
        <v>2932</v>
      </c>
      <c r="E1068" s="15">
        <v>0.105</v>
      </c>
      <c r="F1068" s="131">
        <v>139722.22598666759</v>
      </c>
      <c r="G1068" s="17" t="e">
        <f t="shared" si="16"/>
        <v>#VALUE!</v>
      </c>
      <c r="H1068" s="141">
        <v>69</v>
      </c>
      <c r="I1068" s="141">
        <v>0</v>
      </c>
      <c r="J1068" s="149">
        <v>0</v>
      </c>
      <c r="K1068" s="150">
        <v>30</v>
      </c>
    </row>
    <row r="1069" spans="1:11" ht="30" customHeight="1">
      <c r="A1069" s="30">
        <v>38034</v>
      </c>
      <c r="B1069" s="16" t="s">
        <v>333</v>
      </c>
      <c r="C1069" s="15" t="s">
        <v>756</v>
      </c>
      <c r="D1069" s="15" t="s">
        <v>757</v>
      </c>
      <c r="E1069" s="15">
        <v>0.105</v>
      </c>
      <c r="F1069" s="131">
        <v>123841.71860000001</v>
      </c>
      <c r="G1069" s="17" t="e">
        <f t="shared" si="16"/>
        <v>#VALUE!</v>
      </c>
      <c r="H1069" s="141">
        <v>207</v>
      </c>
      <c r="I1069" s="141">
        <v>0</v>
      </c>
      <c r="J1069" s="149">
        <v>0</v>
      </c>
      <c r="K1069" s="150">
        <v>20</v>
      </c>
    </row>
    <row r="1070" spans="1:11" ht="30" customHeight="1">
      <c r="A1070" s="31">
        <v>38035</v>
      </c>
      <c r="B1070" s="16" t="s">
        <v>333</v>
      </c>
      <c r="C1070" s="15" t="s">
        <v>3207</v>
      </c>
      <c r="D1070" s="15" t="s">
        <v>2673</v>
      </c>
      <c r="E1070" s="15">
        <v>0.21</v>
      </c>
      <c r="F1070" s="131">
        <v>230302.07574080449</v>
      </c>
      <c r="G1070" s="17" t="e">
        <f t="shared" si="16"/>
        <v>#VALUE!</v>
      </c>
      <c r="H1070" s="141">
        <v>74</v>
      </c>
      <c r="I1070" s="141">
        <v>0</v>
      </c>
      <c r="J1070" s="149">
        <v>0</v>
      </c>
      <c r="K1070" s="150">
        <v>20</v>
      </c>
    </row>
    <row r="1071" spans="1:11" ht="30" customHeight="1">
      <c r="A1071" s="31">
        <v>60012</v>
      </c>
      <c r="B1071" s="16" t="s">
        <v>333</v>
      </c>
      <c r="C1071" s="15" t="s">
        <v>3208</v>
      </c>
      <c r="D1071" s="15" t="s">
        <v>2933</v>
      </c>
      <c r="E1071" s="15">
        <v>0.21</v>
      </c>
      <c r="F1071" s="131">
        <v>144209.7606582063</v>
      </c>
      <c r="G1071" s="17" t="e">
        <f t="shared" si="16"/>
        <v>#VALUE!</v>
      </c>
      <c r="H1071" s="141">
        <v>340</v>
      </c>
      <c r="I1071" s="141">
        <v>0</v>
      </c>
      <c r="J1071" s="149">
        <v>0</v>
      </c>
      <c r="K1071" s="150">
        <v>40</v>
      </c>
    </row>
    <row r="1072" spans="1:11" ht="30" customHeight="1">
      <c r="A1072" s="31">
        <v>60013</v>
      </c>
      <c r="B1072" s="16" t="s">
        <v>333</v>
      </c>
      <c r="C1072" s="15" t="s">
        <v>3209</v>
      </c>
      <c r="D1072" s="15" t="s">
        <v>2665</v>
      </c>
      <c r="E1072" s="15">
        <v>0.21</v>
      </c>
      <c r="F1072" s="131">
        <v>64180.040540610389</v>
      </c>
      <c r="G1072" s="17" t="e">
        <f t="shared" si="16"/>
        <v>#VALUE!</v>
      </c>
      <c r="H1072" s="141">
        <v>155</v>
      </c>
      <c r="I1072" s="141">
        <v>0</v>
      </c>
      <c r="J1072" s="149">
        <v>0</v>
      </c>
      <c r="K1072" s="150">
        <v>40</v>
      </c>
    </row>
    <row r="1073" spans="1:11" ht="30" customHeight="1">
      <c r="A1073" s="30">
        <v>60011</v>
      </c>
      <c r="B1073" s="16" t="s">
        <v>333</v>
      </c>
      <c r="C1073" s="15" t="s">
        <v>746</v>
      </c>
      <c r="D1073" s="15" t="s">
        <v>2934</v>
      </c>
      <c r="E1073" s="15">
        <v>0.21</v>
      </c>
      <c r="F1073" s="131">
        <v>14838.466201150783</v>
      </c>
      <c r="G1073" s="17" t="e">
        <f t="shared" si="16"/>
        <v>#VALUE!</v>
      </c>
      <c r="H1073" s="141">
        <v>1460</v>
      </c>
      <c r="I1073" s="141">
        <v>0</v>
      </c>
      <c r="J1073" s="149">
        <v>10</v>
      </c>
      <c r="K1073" s="150">
        <v>60</v>
      </c>
    </row>
    <row r="1074" spans="1:11" ht="30" customHeight="1">
      <c r="A1074" s="30">
        <v>60020</v>
      </c>
      <c r="B1074" s="16" t="s">
        <v>333</v>
      </c>
      <c r="C1074" s="15" t="s">
        <v>749</v>
      </c>
      <c r="D1074" s="15" t="s">
        <v>750</v>
      </c>
      <c r="E1074" s="15">
        <v>0.21</v>
      </c>
      <c r="F1074" s="131">
        <v>8495.305076994724</v>
      </c>
      <c r="G1074" s="17" t="e">
        <f t="shared" si="16"/>
        <v>#VALUE!</v>
      </c>
      <c r="H1074" s="141">
        <v>587</v>
      </c>
      <c r="I1074" s="141">
        <v>0</v>
      </c>
      <c r="J1074" s="149">
        <v>10</v>
      </c>
      <c r="K1074" s="150">
        <v>60</v>
      </c>
    </row>
    <row r="1075" spans="1:11" ht="30" customHeight="1">
      <c r="A1075" s="30">
        <v>60021</v>
      </c>
      <c r="B1075" s="16" t="s">
        <v>333</v>
      </c>
      <c r="C1075" s="15" t="s">
        <v>749</v>
      </c>
      <c r="D1075" s="15" t="s">
        <v>751</v>
      </c>
      <c r="E1075" s="15">
        <v>0.21</v>
      </c>
      <c r="F1075" s="131">
        <v>11553.614904712815</v>
      </c>
      <c r="G1075" s="17" t="e">
        <f t="shared" si="16"/>
        <v>#VALUE!</v>
      </c>
      <c r="H1075" s="141">
        <v>1200</v>
      </c>
      <c r="I1075" s="141">
        <v>0</v>
      </c>
      <c r="J1075" s="149">
        <v>6</v>
      </c>
      <c r="K1075" s="150">
        <v>48</v>
      </c>
    </row>
    <row r="1076" spans="1:11" ht="30" customHeight="1">
      <c r="A1076" s="30">
        <v>60015</v>
      </c>
      <c r="B1076" s="16" t="s">
        <v>333</v>
      </c>
      <c r="C1076" s="15" t="s">
        <v>747</v>
      </c>
      <c r="D1076" s="15" t="s">
        <v>748</v>
      </c>
      <c r="E1076" s="15">
        <v>0.21</v>
      </c>
      <c r="F1076" s="131">
        <v>16990.610153989448</v>
      </c>
      <c r="G1076" s="17" t="e">
        <f t="shared" si="16"/>
        <v>#VALUE!</v>
      </c>
      <c r="H1076" s="141">
        <v>682</v>
      </c>
      <c r="I1076" s="141">
        <v>0</v>
      </c>
      <c r="J1076" s="149">
        <v>12</v>
      </c>
      <c r="K1076" s="150">
        <v>48</v>
      </c>
    </row>
    <row r="1077" spans="1:11" ht="30" customHeight="1">
      <c r="A1077" s="30">
        <v>60031</v>
      </c>
      <c r="B1077" s="16" t="s">
        <v>333</v>
      </c>
      <c r="C1077" s="15" t="s">
        <v>3210</v>
      </c>
      <c r="D1077" s="15" t="s">
        <v>752</v>
      </c>
      <c r="E1077" s="15">
        <v>0.21</v>
      </c>
      <c r="F1077" s="131">
        <v>28884.037261782054</v>
      </c>
      <c r="G1077" s="17" t="e">
        <f t="shared" si="16"/>
        <v>#VALUE!</v>
      </c>
      <c r="H1077" s="141">
        <v>81</v>
      </c>
      <c r="I1077" s="141">
        <v>0</v>
      </c>
      <c r="J1077" s="149">
        <v>10</v>
      </c>
      <c r="K1077" s="150">
        <v>60</v>
      </c>
    </row>
    <row r="1078" spans="1:11" ht="30" customHeight="1">
      <c r="A1078" s="31">
        <v>60018</v>
      </c>
      <c r="B1078" s="16" t="s">
        <v>333</v>
      </c>
      <c r="C1078" s="15" t="s">
        <v>2674</v>
      </c>
      <c r="D1078" s="15" t="s">
        <v>2675</v>
      </c>
      <c r="E1078" s="15">
        <v>0.21</v>
      </c>
      <c r="F1078" s="131">
        <v>95193.692200000005</v>
      </c>
      <c r="G1078" s="17" t="e">
        <f t="shared" si="16"/>
        <v>#VALUE!</v>
      </c>
      <c r="H1078" s="141">
        <v>62</v>
      </c>
      <c r="I1078" s="141">
        <v>0</v>
      </c>
      <c r="J1078" s="149">
        <v>5</v>
      </c>
      <c r="K1078" s="150">
        <v>10</v>
      </c>
    </row>
    <row r="1079" spans="1:11" ht="30" customHeight="1">
      <c r="A1079" s="30">
        <v>60033</v>
      </c>
      <c r="B1079" s="16" t="s">
        <v>333</v>
      </c>
      <c r="C1079" s="15" t="s">
        <v>753</v>
      </c>
      <c r="D1079" s="15" t="s">
        <v>754</v>
      </c>
      <c r="E1079" s="15">
        <v>0.21</v>
      </c>
      <c r="F1079" s="131">
        <v>38738.591151095927</v>
      </c>
      <c r="G1079" s="17" t="e">
        <f t="shared" si="16"/>
        <v>#VALUE!</v>
      </c>
      <c r="H1079" s="141">
        <v>354</v>
      </c>
      <c r="I1079" s="141">
        <v>0</v>
      </c>
      <c r="J1079" s="149">
        <v>6</v>
      </c>
      <c r="K1079" s="150">
        <v>36</v>
      </c>
    </row>
    <row r="1080" spans="1:11" ht="30" customHeight="1">
      <c r="A1080" s="31">
        <v>60016</v>
      </c>
      <c r="B1080" s="16" t="s">
        <v>333</v>
      </c>
      <c r="C1080" s="15" t="s">
        <v>3211</v>
      </c>
      <c r="D1080" s="15" t="s">
        <v>2676</v>
      </c>
      <c r="E1080" s="15">
        <v>0.21</v>
      </c>
      <c r="F1080" s="131">
        <v>81807.013547951268</v>
      </c>
      <c r="G1080" s="17" t="e">
        <f t="shared" si="16"/>
        <v>#VALUE!</v>
      </c>
      <c r="H1080" s="141">
        <v>8</v>
      </c>
      <c r="I1080" s="141">
        <v>0</v>
      </c>
      <c r="J1080" s="149">
        <v>6</v>
      </c>
      <c r="K1080" s="150">
        <v>24</v>
      </c>
    </row>
    <row r="1081" spans="1:11" ht="30" customHeight="1">
      <c r="A1081" s="30">
        <v>60035</v>
      </c>
      <c r="B1081" s="16" t="s">
        <v>333</v>
      </c>
      <c r="C1081" s="15" t="s">
        <v>753</v>
      </c>
      <c r="D1081" s="15" t="s">
        <v>755</v>
      </c>
      <c r="E1081" s="15">
        <v>0.21</v>
      </c>
      <c r="F1081" s="131">
        <v>77590.453036551771</v>
      </c>
      <c r="G1081" s="17" t="e">
        <f t="shared" si="16"/>
        <v>#VALUE!</v>
      </c>
      <c r="H1081" s="141">
        <v>573</v>
      </c>
      <c r="I1081" s="141">
        <v>0</v>
      </c>
      <c r="J1081" s="149">
        <v>6</v>
      </c>
      <c r="K1081" s="150">
        <v>24</v>
      </c>
    </row>
    <row r="1082" spans="1:11" ht="30" customHeight="1">
      <c r="A1082" s="31">
        <v>60055</v>
      </c>
      <c r="B1082" s="16" t="s">
        <v>333</v>
      </c>
      <c r="C1082" s="15" t="s">
        <v>3212</v>
      </c>
      <c r="D1082" s="15" t="s">
        <v>2935</v>
      </c>
      <c r="E1082" s="15">
        <v>0.21</v>
      </c>
      <c r="F1082" s="131">
        <v>180483.35920000001</v>
      </c>
      <c r="G1082" s="17" t="e">
        <f t="shared" si="16"/>
        <v>#VALUE!</v>
      </c>
      <c r="H1082" s="141">
        <v>174</v>
      </c>
      <c r="I1082" s="141">
        <v>0</v>
      </c>
      <c r="J1082" s="149">
        <v>2</v>
      </c>
      <c r="K1082" s="150">
        <v>10</v>
      </c>
    </row>
    <row r="1083" spans="1:11" ht="30" customHeight="1">
      <c r="A1083" s="30" t="s">
        <v>455</v>
      </c>
      <c r="B1083" s="16" t="s">
        <v>1813</v>
      </c>
      <c r="C1083" s="15" t="s">
        <v>3213</v>
      </c>
      <c r="D1083" s="15" t="s">
        <v>456</v>
      </c>
      <c r="E1083" s="15">
        <v>0.21</v>
      </c>
      <c r="F1083" s="131">
        <v>40270.354000000007</v>
      </c>
      <c r="G1083" s="17" t="e">
        <f t="shared" si="16"/>
        <v>#VALUE!</v>
      </c>
      <c r="H1083" s="141">
        <v>14</v>
      </c>
      <c r="I1083" s="141">
        <v>0</v>
      </c>
      <c r="J1083" s="149" t="e">
        <v>#N/A</v>
      </c>
      <c r="K1083" s="150" t="e">
        <v>#N/A</v>
      </c>
    </row>
    <row r="1084" spans="1:11" ht="30" customHeight="1">
      <c r="A1084" s="31" t="s">
        <v>2936</v>
      </c>
      <c r="B1084" s="16" t="s">
        <v>1813</v>
      </c>
      <c r="C1084" s="15" t="s">
        <v>3214</v>
      </c>
      <c r="D1084" s="15" t="s">
        <v>456</v>
      </c>
      <c r="E1084" s="15">
        <v>0.21</v>
      </c>
      <c r="F1084" s="131">
        <v>43334.782200000001</v>
      </c>
      <c r="G1084" s="17" t="e">
        <f t="shared" si="16"/>
        <v>#VALUE!</v>
      </c>
      <c r="H1084" s="141">
        <v>43</v>
      </c>
      <c r="I1084" s="141">
        <v>0</v>
      </c>
      <c r="J1084" s="149">
        <v>6</v>
      </c>
      <c r="K1084" s="150">
        <v>36</v>
      </c>
    </row>
    <row r="1085" spans="1:11" ht="30" customHeight="1">
      <c r="A1085" s="31" t="s">
        <v>2677</v>
      </c>
      <c r="B1085" s="16" t="s">
        <v>1813</v>
      </c>
      <c r="C1085" s="15" t="s">
        <v>4212</v>
      </c>
      <c r="D1085" s="15" t="s">
        <v>457</v>
      </c>
      <c r="E1085" s="15">
        <v>0.21</v>
      </c>
      <c r="F1085" s="131">
        <v>45325.61889170621</v>
      </c>
      <c r="G1085" s="17" t="e">
        <f t="shared" si="16"/>
        <v>#VALUE!</v>
      </c>
      <c r="H1085" s="141">
        <v>41</v>
      </c>
      <c r="I1085" s="141">
        <v>0</v>
      </c>
      <c r="J1085" s="149">
        <v>6</v>
      </c>
      <c r="K1085" s="150">
        <v>36</v>
      </c>
    </row>
    <row r="1086" spans="1:11" ht="30" customHeight="1">
      <c r="A1086" s="31" t="s">
        <v>2678</v>
      </c>
      <c r="B1086" s="16" t="s">
        <v>1813</v>
      </c>
      <c r="C1086" s="15" t="s">
        <v>4213</v>
      </c>
      <c r="D1086" s="15" t="s">
        <v>2679</v>
      </c>
      <c r="E1086" s="15">
        <v>0.21</v>
      </c>
      <c r="F1086" s="131">
        <v>52290.54850863506</v>
      </c>
      <c r="G1086" s="17" t="e">
        <f t="shared" si="16"/>
        <v>#VALUE!</v>
      </c>
      <c r="H1086" s="141">
        <v>360</v>
      </c>
      <c r="I1086" s="141">
        <v>360</v>
      </c>
      <c r="J1086" s="149">
        <v>6</v>
      </c>
      <c r="K1086" s="150">
        <v>36</v>
      </c>
    </row>
    <row r="1087" spans="1:11" ht="30" customHeight="1">
      <c r="A1087" s="31" t="s">
        <v>2022</v>
      </c>
      <c r="B1087" s="16" t="s">
        <v>1813</v>
      </c>
      <c r="C1087" s="15" t="s">
        <v>3215</v>
      </c>
      <c r="D1087" s="15" t="s">
        <v>2023</v>
      </c>
      <c r="E1087" s="15">
        <v>0.21</v>
      </c>
      <c r="F1087" s="131">
        <v>38578.318400000004</v>
      </c>
      <c r="G1087" s="17" t="e">
        <f t="shared" si="16"/>
        <v>#VALUE!</v>
      </c>
      <c r="H1087" s="141">
        <v>234</v>
      </c>
      <c r="I1087" s="141">
        <v>36</v>
      </c>
      <c r="J1087" s="149">
        <v>6</v>
      </c>
      <c r="K1087" s="150">
        <v>36</v>
      </c>
    </row>
    <row r="1088" spans="1:11" ht="30" customHeight="1">
      <c r="A1088" s="31" t="s">
        <v>2680</v>
      </c>
      <c r="B1088" s="16" t="s">
        <v>1813</v>
      </c>
      <c r="C1088" s="15" t="s">
        <v>3216</v>
      </c>
      <c r="D1088" s="15" t="s">
        <v>11</v>
      </c>
      <c r="E1088" s="15">
        <v>0.21</v>
      </c>
      <c r="F1088" s="131">
        <v>44575.549548344636</v>
      </c>
      <c r="G1088" s="17" t="e">
        <f t="shared" si="16"/>
        <v>#VALUE!</v>
      </c>
      <c r="H1088" s="141">
        <v>104</v>
      </c>
      <c r="I1088" s="141">
        <v>36</v>
      </c>
      <c r="J1088" s="149">
        <v>6</v>
      </c>
      <c r="K1088" s="150">
        <v>36</v>
      </c>
    </row>
    <row r="1089" spans="1:11" ht="30" customHeight="1">
      <c r="A1089" s="31" t="s">
        <v>2681</v>
      </c>
      <c r="B1089" s="16" t="s">
        <v>1813</v>
      </c>
      <c r="C1089" s="15" t="s">
        <v>3217</v>
      </c>
      <c r="D1089" s="15" t="s">
        <v>10</v>
      </c>
      <c r="E1089" s="15">
        <v>0.21</v>
      </c>
      <c r="F1089" s="131">
        <v>39646.522434825762</v>
      </c>
      <c r="G1089" s="17" t="e">
        <f t="shared" si="16"/>
        <v>#VALUE!</v>
      </c>
      <c r="H1089" s="141">
        <v>117</v>
      </c>
      <c r="I1089" s="141">
        <v>0</v>
      </c>
      <c r="J1089" s="149">
        <v>6</v>
      </c>
      <c r="K1089" s="150">
        <v>36</v>
      </c>
    </row>
    <row r="1090" spans="1:11" ht="30" customHeight="1">
      <c r="A1090" s="30" t="s">
        <v>459</v>
      </c>
      <c r="B1090" s="16" t="s">
        <v>1813</v>
      </c>
      <c r="C1090" s="15" t="s">
        <v>3218</v>
      </c>
      <c r="D1090" s="15" t="s">
        <v>458</v>
      </c>
      <c r="E1090" s="15">
        <v>0.21</v>
      </c>
      <c r="F1090" s="131">
        <v>43541.609400000001</v>
      </c>
      <c r="G1090" s="17" t="e">
        <f t="shared" si="16"/>
        <v>#VALUE!</v>
      </c>
      <c r="H1090" s="141">
        <v>1</v>
      </c>
      <c r="I1090" s="141">
        <v>0</v>
      </c>
      <c r="J1090" s="149" t="e">
        <v>#N/A</v>
      </c>
      <c r="K1090" s="150" t="e">
        <v>#N/A</v>
      </c>
    </row>
    <row r="1091" spans="1:11" ht="30" customHeight="1">
      <c r="A1091" s="31" t="s">
        <v>2682</v>
      </c>
      <c r="B1091" s="16" t="s">
        <v>1813</v>
      </c>
      <c r="C1091" s="15" t="s">
        <v>3219</v>
      </c>
      <c r="D1091" s="15" t="s">
        <v>458</v>
      </c>
      <c r="E1091" s="15">
        <v>0.21</v>
      </c>
      <c r="F1091" s="131">
        <v>43396.869151633611</v>
      </c>
      <c r="G1091" s="17" t="e">
        <f t="shared" si="16"/>
        <v>#VALUE!</v>
      </c>
      <c r="H1091" s="141">
        <v>112</v>
      </c>
      <c r="I1091" s="141">
        <v>0</v>
      </c>
      <c r="J1091" s="149">
        <v>6</v>
      </c>
      <c r="K1091" s="150">
        <v>36</v>
      </c>
    </row>
    <row r="1092" spans="1:11" ht="30" customHeight="1">
      <c r="A1092" s="30" t="s">
        <v>460</v>
      </c>
      <c r="B1092" s="16" t="s">
        <v>1813</v>
      </c>
      <c r="C1092" s="15" t="s">
        <v>3220</v>
      </c>
      <c r="D1092" s="15" t="s">
        <v>456</v>
      </c>
      <c r="E1092" s="15">
        <v>0.21</v>
      </c>
      <c r="F1092" s="131">
        <v>43203.204400000002</v>
      </c>
      <c r="G1092" s="17" t="e">
        <f t="shared" si="16"/>
        <v>#VALUE!</v>
      </c>
      <c r="H1092" s="141">
        <v>74</v>
      </c>
      <c r="I1092" s="141">
        <v>0</v>
      </c>
      <c r="J1092" s="149" t="e">
        <v>#N/A</v>
      </c>
      <c r="K1092" s="150" t="e">
        <v>#N/A</v>
      </c>
    </row>
    <row r="1093" spans="1:11" ht="30" customHeight="1">
      <c r="A1093" s="30" t="s">
        <v>461</v>
      </c>
      <c r="B1093" s="16" t="s">
        <v>1813</v>
      </c>
      <c r="C1093" s="15" t="s">
        <v>3221</v>
      </c>
      <c r="D1093" s="15" t="s">
        <v>458</v>
      </c>
      <c r="E1093" s="15">
        <v>0.21</v>
      </c>
      <c r="F1093" s="131">
        <v>46474.459800000004</v>
      </c>
      <c r="G1093" s="17" t="e">
        <f t="shared" si="16"/>
        <v>#VALUE!</v>
      </c>
      <c r="H1093" s="141">
        <v>48</v>
      </c>
      <c r="I1093" s="141">
        <v>0</v>
      </c>
      <c r="J1093" s="149" t="e">
        <v>#N/A</v>
      </c>
      <c r="K1093" s="150" t="e">
        <v>#N/A</v>
      </c>
    </row>
    <row r="1094" spans="1:11" ht="30" customHeight="1">
      <c r="A1094" s="30" t="s">
        <v>462</v>
      </c>
      <c r="B1094" s="16" t="s">
        <v>1813</v>
      </c>
      <c r="C1094" s="15" t="s">
        <v>3222</v>
      </c>
      <c r="D1094" s="15" t="s">
        <v>456</v>
      </c>
      <c r="E1094" s="15">
        <v>0.21</v>
      </c>
      <c r="F1094" s="131">
        <v>41623.974000000002</v>
      </c>
      <c r="G1094" s="17" t="e">
        <f t="shared" si="16"/>
        <v>#VALUE!</v>
      </c>
      <c r="H1094" s="141">
        <v>36</v>
      </c>
      <c r="I1094" s="141">
        <v>0</v>
      </c>
      <c r="J1094" s="149" t="e">
        <v>#N/A</v>
      </c>
      <c r="K1094" s="150" t="e">
        <v>#N/A</v>
      </c>
    </row>
    <row r="1095" spans="1:11" ht="30" customHeight="1">
      <c r="A1095" s="31" t="s">
        <v>3449</v>
      </c>
      <c r="B1095" s="16" t="s">
        <v>1813</v>
      </c>
      <c r="C1095" s="15" t="s">
        <v>3573</v>
      </c>
      <c r="D1095" s="15" t="s">
        <v>10</v>
      </c>
      <c r="E1095" s="15">
        <v>0.21</v>
      </c>
      <c r="F1095" s="131">
        <v>41623.974000000002</v>
      </c>
      <c r="G1095" s="17" t="e">
        <f t="shared" si="16"/>
        <v>#VALUE!</v>
      </c>
      <c r="H1095" s="141">
        <v>28</v>
      </c>
      <c r="I1095" s="141">
        <v>0</v>
      </c>
      <c r="J1095" s="149" t="e">
        <v>#N/A</v>
      </c>
      <c r="K1095" s="150" t="e">
        <v>#N/A</v>
      </c>
    </row>
    <row r="1096" spans="1:11" ht="30" customHeight="1">
      <c r="A1096" s="30" t="s">
        <v>578</v>
      </c>
      <c r="B1096" s="16" t="s">
        <v>1813</v>
      </c>
      <c r="C1096" s="15" t="s">
        <v>3223</v>
      </c>
      <c r="D1096" s="15" t="s">
        <v>456</v>
      </c>
      <c r="E1096" s="15">
        <v>0.21</v>
      </c>
      <c r="F1096" s="131">
        <v>41623.974000000002</v>
      </c>
      <c r="G1096" s="17" t="e">
        <f t="shared" si="16"/>
        <v>#VALUE!</v>
      </c>
      <c r="H1096" s="141">
        <v>28</v>
      </c>
      <c r="I1096" s="141">
        <v>0</v>
      </c>
      <c r="J1096" s="149" t="e">
        <v>#N/A</v>
      </c>
      <c r="K1096" s="150" t="e">
        <v>#N/A</v>
      </c>
    </row>
    <row r="1097" spans="1:11" ht="30" customHeight="1">
      <c r="A1097" s="30" t="s">
        <v>579</v>
      </c>
      <c r="B1097" s="16" t="s">
        <v>1813</v>
      </c>
      <c r="C1097" s="15" t="s">
        <v>3224</v>
      </c>
      <c r="D1097" s="15" t="s">
        <v>456</v>
      </c>
      <c r="E1097" s="15">
        <v>0.21</v>
      </c>
      <c r="F1097" s="131">
        <v>46136.054800000005</v>
      </c>
      <c r="G1097" s="17" t="e">
        <f t="shared" ref="G1097:G1160" si="17">(F1097*$G$6)</f>
        <v>#VALUE!</v>
      </c>
      <c r="H1097" s="141">
        <v>43</v>
      </c>
      <c r="I1097" s="141">
        <v>0</v>
      </c>
      <c r="J1097" s="149" t="e">
        <v>#N/A</v>
      </c>
      <c r="K1097" s="150" t="e">
        <v>#N/A</v>
      </c>
    </row>
    <row r="1098" spans="1:11" ht="30" customHeight="1">
      <c r="A1098" s="31" t="s">
        <v>2683</v>
      </c>
      <c r="B1098" s="16" t="s">
        <v>1813</v>
      </c>
      <c r="C1098" s="15" t="s">
        <v>3225</v>
      </c>
      <c r="D1098" s="15" t="s">
        <v>2586</v>
      </c>
      <c r="E1098" s="15">
        <v>0.21</v>
      </c>
      <c r="F1098" s="131">
        <v>209055.04127120285</v>
      </c>
      <c r="G1098" s="17" t="e">
        <f t="shared" si="17"/>
        <v>#VALUE!</v>
      </c>
      <c r="H1098" s="141">
        <v>57</v>
      </c>
      <c r="I1098" s="141">
        <v>0</v>
      </c>
      <c r="J1098" s="149">
        <v>0</v>
      </c>
      <c r="K1098" s="150">
        <v>10</v>
      </c>
    </row>
    <row r="1099" spans="1:11" ht="30" customHeight="1">
      <c r="A1099" s="30" t="s">
        <v>583</v>
      </c>
      <c r="B1099" s="16" t="s">
        <v>1813</v>
      </c>
      <c r="C1099" s="15" t="s">
        <v>584</v>
      </c>
      <c r="D1099" s="15" t="s">
        <v>585</v>
      </c>
      <c r="E1099" s="15">
        <v>0.21</v>
      </c>
      <c r="F1099" s="131">
        <v>134234.49920000002</v>
      </c>
      <c r="G1099" s="17" t="e">
        <f t="shared" si="17"/>
        <v>#VALUE!</v>
      </c>
      <c r="H1099" s="141">
        <v>45</v>
      </c>
      <c r="I1099" s="141">
        <v>0</v>
      </c>
      <c r="J1099" s="149">
        <v>0</v>
      </c>
      <c r="K1099" s="150">
        <v>10</v>
      </c>
    </row>
    <row r="1100" spans="1:11" ht="30" customHeight="1">
      <c r="A1100" s="30" t="s">
        <v>586</v>
      </c>
      <c r="B1100" s="16" t="s">
        <v>1813</v>
      </c>
      <c r="C1100" s="15" t="s">
        <v>587</v>
      </c>
      <c r="D1100" s="15" t="s">
        <v>585</v>
      </c>
      <c r="E1100" s="15">
        <v>0.21</v>
      </c>
      <c r="F1100" s="131">
        <v>181160.1692</v>
      </c>
      <c r="G1100" s="17" t="e">
        <f t="shared" si="17"/>
        <v>#VALUE!</v>
      </c>
      <c r="H1100" s="141">
        <v>26</v>
      </c>
      <c r="I1100" s="141">
        <v>0</v>
      </c>
      <c r="J1100" s="149">
        <v>0</v>
      </c>
      <c r="K1100" s="150">
        <v>10</v>
      </c>
    </row>
    <row r="1101" spans="1:11" ht="30" customHeight="1">
      <c r="A1101" s="30" t="s">
        <v>588</v>
      </c>
      <c r="B1101" s="16" t="s">
        <v>1813</v>
      </c>
      <c r="C1101" s="15" t="s">
        <v>589</v>
      </c>
      <c r="D1101" s="15" t="s">
        <v>585</v>
      </c>
      <c r="E1101" s="15">
        <v>0.21</v>
      </c>
      <c r="F1101" s="131">
        <v>148898.77240000002</v>
      </c>
      <c r="G1101" s="17" t="e">
        <f t="shared" si="17"/>
        <v>#VALUE!</v>
      </c>
      <c r="H1101" s="141">
        <v>53</v>
      </c>
      <c r="I1101" s="141">
        <v>0</v>
      </c>
      <c r="J1101" s="149">
        <v>0</v>
      </c>
      <c r="K1101" s="150">
        <v>10</v>
      </c>
    </row>
    <row r="1102" spans="1:11" ht="30" customHeight="1">
      <c r="A1102" s="30" t="s">
        <v>590</v>
      </c>
      <c r="B1102" s="16" t="s">
        <v>1813</v>
      </c>
      <c r="C1102" s="15" t="s">
        <v>591</v>
      </c>
      <c r="D1102" s="15" t="s">
        <v>585</v>
      </c>
      <c r="E1102" s="15">
        <v>0.21</v>
      </c>
      <c r="F1102" s="131">
        <v>304791.26579999999</v>
      </c>
      <c r="G1102" s="17" t="e">
        <f t="shared" si="17"/>
        <v>#VALUE!</v>
      </c>
      <c r="H1102" s="141">
        <v>49</v>
      </c>
      <c r="I1102" s="141">
        <v>0</v>
      </c>
      <c r="J1102" s="149">
        <v>0</v>
      </c>
      <c r="K1102" s="150">
        <v>6</v>
      </c>
    </row>
    <row r="1103" spans="1:11" ht="30" customHeight="1">
      <c r="A1103" s="31" t="s">
        <v>2684</v>
      </c>
      <c r="B1103" s="16" t="s">
        <v>1813</v>
      </c>
      <c r="C1103" s="15" t="s">
        <v>3226</v>
      </c>
      <c r="D1103" s="15" t="s">
        <v>2937</v>
      </c>
      <c r="E1103" s="15">
        <v>0.21</v>
      </c>
      <c r="F1103" s="131">
        <v>314600.51315850927</v>
      </c>
      <c r="G1103" s="17" t="e">
        <f t="shared" si="17"/>
        <v>#VALUE!</v>
      </c>
      <c r="H1103" s="141">
        <v>17</v>
      </c>
      <c r="I1103" s="141">
        <v>0</v>
      </c>
      <c r="J1103" s="149">
        <v>0</v>
      </c>
      <c r="K1103" s="150">
        <v>6</v>
      </c>
    </row>
    <row r="1104" spans="1:11" ht="30" customHeight="1">
      <c r="A1104" s="31" t="s">
        <v>2938</v>
      </c>
      <c r="B1104" s="16" t="s">
        <v>1813</v>
      </c>
      <c r="C1104" s="15" t="s">
        <v>2939</v>
      </c>
      <c r="D1104" s="15" t="s">
        <v>2940</v>
      </c>
      <c r="E1104" s="15">
        <v>0.21</v>
      </c>
      <c r="F1104" s="131">
        <v>130732.662</v>
      </c>
      <c r="G1104" s="17" t="e">
        <f t="shared" si="17"/>
        <v>#VALUE!</v>
      </c>
      <c r="H1104" s="141">
        <v>59</v>
      </c>
      <c r="I1104" s="141">
        <v>0</v>
      </c>
      <c r="J1104" s="149">
        <v>0</v>
      </c>
      <c r="K1104" s="150">
        <v>12</v>
      </c>
    </row>
    <row r="1105" spans="1:11" ht="30" customHeight="1">
      <c r="A1105" s="31" t="s">
        <v>2941</v>
      </c>
      <c r="B1105" s="16" t="s">
        <v>1813</v>
      </c>
      <c r="C1105" s="15" t="s">
        <v>2942</v>
      </c>
      <c r="D1105" s="15" t="s">
        <v>2943</v>
      </c>
      <c r="E1105" s="15">
        <v>0.21</v>
      </c>
      <c r="F1105" s="131">
        <v>69432.787800000006</v>
      </c>
      <c r="G1105" s="17" t="e">
        <f t="shared" si="17"/>
        <v>#VALUE!</v>
      </c>
      <c r="H1105" s="141">
        <v>55</v>
      </c>
      <c r="I1105" s="141">
        <v>0</v>
      </c>
      <c r="J1105" s="149">
        <v>0</v>
      </c>
      <c r="K1105" s="150">
        <v>20</v>
      </c>
    </row>
    <row r="1106" spans="1:11" ht="30" customHeight="1">
      <c r="A1106" s="30" t="s">
        <v>556</v>
      </c>
      <c r="B1106" s="16" t="s">
        <v>1813</v>
      </c>
      <c r="C1106" s="15" t="s">
        <v>557</v>
      </c>
      <c r="D1106" s="15" t="s">
        <v>558</v>
      </c>
      <c r="E1106" s="15">
        <v>0.21</v>
      </c>
      <c r="F1106" s="131">
        <v>9922.8244912425962</v>
      </c>
      <c r="G1106" s="17" t="e">
        <f t="shared" si="17"/>
        <v>#VALUE!</v>
      </c>
      <c r="H1106" s="141">
        <v>99</v>
      </c>
      <c r="I1106" s="141">
        <v>0</v>
      </c>
      <c r="J1106" s="149">
        <v>6</v>
      </c>
      <c r="K1106" s="150">
        <v>72</v>
      </c>
    </row>
    <row r="1107" spans="1:11" ht="30" customHeight="1">
      <c r="A1107" s="30" t="s">
        <v>559</v>
      </c>
      <c r="B1107" s="16" t="s">
        <v>1813</v>
      </c>
      <c r="C1107" s="15" t="s">
        <v>557</v>
      </c>
      <c r="D1107" s="15" t="s">
        <v>560</v>
      </c>
      <c r="E1107" s="15">
        <v>0.21</v>
      </c>
      <c r="F1107" s="131">
        <v>10140.908545995182</v>
      </c>
      <c r="G1107" s="17" t="e">
        <f t="shared" si="17"/>
        <v>#VALUE!</v>
      </c>
      <c r="H1107" s="141">
        <v>114</v>
      </c>
      <c r="I1107" s="141">
        <v>0</v>
      </c>
      <c r="J1107" s="149">
        <v>6</v>
      </c>
      <c r="K1107" s="150">
        <v>72</v>
      </c>
    </row>
    <row r="1108" spans="1:11" ht="30" customHeight="1">
      <c r="A1108" s="30" t="s">
        <v>561</v>
      </c>
      <c r="B1108" s="16" t="s">
        <v>1813</v>
      </c>
      <c r="C1108" s="15" t="s">
        <v>557</v>
      </c>
      <c r="D1108" s="15" t="s">
        <v>562</v>
      </c>
      <c r="E1108" s="15">
        <v>0.21</v>
      </c>
      <c r="F1108" s="131">
        <v>10577.076655500348</v>
      </c>
      <c r="G1108" s="17" t="e">
        <f t="shared" si="17"/>
        <v>#VALUE!</v>
      </c>
      <c r="H1108" s="141">
        <v>79</v>
      </c>
      <c r="I1108" s="141">
        <v>0</v>
      </c>
      <c r="J1108" s="149">
        <v>6</v>
      </c>
      <c r="K1108" s="150">
        <v>72</v>
      </c>
    </row>
    <row r="1109" spans="1:11" ht="30" customHeight="1">
      <c r="A1109" s="30" t="s">
        <v>563</v>
      </c>
      <c r="B1109" s="16" t="s">
        <v>1813</v>
      </c>
      <c r="C1109" s="15" t="s">
        <v>557</v>
      </c>
      <c r="D1109" s="15" t="s">
        <v>564</v>
      </c>
      <c r="E1109" s="15">
        <v>0.21</v>
      </c>
      <c r="F1109" s="131">
        <v>12430.791120897318</v>
      </c>
      <c r="G1109" s="17" t="e">
        <f t="shared" si="17"/>
        <v>#VALUE!</v>
      </c>
      <c r="H1109" s="141">
        <v>112</v>
      </c>
      <c r="I1109" s="141">
        <v>0</v>
      </c>
      <c r="J1109" s="149">
        <v>6</v>
      </c>
      <c r="K1109" s="150">
        <v>72</v>
      </c>
    </row>
    <row r="1110" spans="1:11" ht="30" customHeight="1">
      <c r="A1110" s="30" t="s">
        <v>565</v>
      </c>
      <c r="B1110" s="16" t="s">
        <v>1813</v>
      </c>
      <c r="C1110" s="15" t="s">
        <v>557</v>
      </c>
      <c r="D1110" s="15" t="s">
        <v>566</v>
      </c>
      <c r="E1110" s="15">
        <v>0.21</v>
      </c>
      <c r="F1110" s="131">
        <v>15702.051942186086</v>
      </c>
      <c r="G1110" s="17" t="e">
        <f t="shared" si="17"/>
        <v>#VALUE!</v>
      </c>
      <c r="H1110" s="141">
        <v>135</v>
      </c>
      <c r="I1110" s="141">
        <v>0</v>
      </c>
      <c r="J1110" s="149">
        <v>6</v>
      </c>
      <c r="K1110" s="150">
        <v>72</v>
      </c>
    </row>
    <row r="1111" spans="1:11" ht="30" customHeight="1">
      <c r="A1111" s="30" t="s">
        <v>567</v>
      </c>
      <c r="B1111" s="16" t="s">
        <v>1813</v>
      </c>
      <c r="C1111" s="15" t="s">
        <v>557</v>
      </c>
      <c r="D1111" s="15" t="s">
        <v>568</v>
      </c>
      <c r="E1111" s="15">
        <v>0.21</v>
      </c>
      <c r="F1111" s="131">
        <v>19082.354790851146</v>
      </c>
      <c r="G1111" s="17" t="e">
        <f t="shared" si="17"/>
        <v>#VALUE!</v>
      </c>
      <c r="H1111" s="141">
        <v>42</v>
      </c>
      <c r="I1111" s="141">
        <v>0</v>
      </c>
      <c r="J1111" s="149">
        <v>6</v>
      </c>
      <c r="K1111" s="150">
        <v>72</v>
      </c>
    </row>
    <row r="1112" spans="1:11" ht="30" customHeight="1">
      <c r="A1112" s="30" t="s">
        <v>569</v>
      </c>
      <c r="B1112" s="16" t="s">
        <v>1813</v>
      </c>
      <c r="C1112" s="15" t="s">
        <v>570</v>
      </c>
      <c r="D1112" s="15" t="s">
        <v>571</v>
      </c>
      <c r="E1112" s="15">
        <v>0.21</v>
      </c>
      <c r="F1112" s="131">
        <v>10795.160710252936</v>
      </c>
      <c r="G1112" s="17" t="e">
        <f t="shared" si="17"/>
        <v>#VALUE!</v>
      </c>
      <c r="H1112" s="141">
        <v>75</v>
      </c>
      <c r="I1112" s="141">
        <v>0</v>
      </c>
      <c r="J1112" s="149">
        <v>6</v>
      </c>
      <c r="K1112" s="150">
        <v>72</v>
      </c>
    </row>
    <row r="1113" spans="1:11" ht="30" customHeight="1">
      <c r="A1113" s="30" t="s">
        <v>572</v>
      </c>
      <c r="B1113" s="16" t="s">
        <v>1813</v>
      </c>
      <c r="C1113" s="15" t="s">
        <v>570</v>
      </c>
      <c r="D1113" s="15" t="s">
        <v>573</v>
      </c>
      <c r="E1113" s="15">
        <v>0.21</v>
      </c>
      <c r="F1113" s="131">
        <v>12430.791120897318</v>
      </c>
      <c r="G1113" s="17" t="e">
        <f t="shared" si="17"/>
        <v>#VALUE!</v>
      </c>
      <c r="H1113" s="141">
        <v>108</v>
      </c>
      <c r="I1113" s="141">
        <v>0</v>
      </c>
      <c r="J1113" s="149">
        <v>6</v>
      </c>
      <c r="K1113" s="150">
        <v>72</v>
      </c>
    </row>
    <row r="1114" spans="1:11" ht="30" customHeight="1">
      <c r="A1114" s="30" t="s">
        <v>574</v>
      </c>
      <c r="B1114" s="16" t="s">
        <v>1813</v>
      </c>
      <c r="C1114" s="15" t="s">
        <v>570</v>
      </c>
      <c r="D1114" s="15" t="s">
        <v>575</v>
      </c>
      <c r="E1114" s="15">
        <v>0.21</v>
      </c>
      <c r="F1114" s="131">
        <v>15483.967887433502</v>
      </c>
      <c r="G1114" s="17" t="e">
        <f t="shared" si="17"/>
        <v>#VALUE!</v>
      </c>
      <c r="H1114" s="141">
        <v>152</v>
      </c>
      <c r="I1114" s="141">
        <v>0</v>
      </c>
      <c r="J1114" s="149">
        <v>6</v>
      </c>
      <c r="K1114" s="150">
        <v>72</v>
      </c>
    </row>
    <row r="1115" spans="1:11" ht="30" customHeight="1">
      <c r="A1115" s="30" t="s">
        <v>576</v>
      </c>
      <c r="B1115" s="16" t="s">
        <v>1813</v>
      </c>
      <c r="C1115" s="15" t="s">
        <v>570</v>
      </c>
      <c r="D1115" s="15" t="s">
        <v>577</v>
      </c>
      <c r="E1115" s="15">
        <v>0.21</v>
      </c>
      <c r="F1115" s="131">
        <v>18864.270736098562</v>
      </c>
      <c r="G1115" s="17" t="e">
        <f t="shared" si="17"/>
        <v>#VALUE!</v>
      </c>
      <c r="H1115" s="141">
        <v>62</v>
      </c>
      <c r="I1115" s="141">
        <v>0</v>
      </c>
      <c r="J1115" s="149">
        <v>4</v>
      </c>
      <c r="K1115" s="150">
        <v>48</v>
      </c>
    </row>
    <row r="1116" spans="1:11" ht="30" customHeight="1">
      <c r="A1116" s="30" t="s">
        <v>580</v>
      </c>
      <c r="B1116" s="16" t="s">
        <v>1813</v>
      </c>
      <c r="C1116" s="15" t="s">
        <v>581</v>
      </c>
      <c r="D1116" s="15" t="s">
        <v>582</v>
      </c>
      <c r="E1116" s="15">
        <v>0.105</v>
      </c>
      <c r="F1116" s="131">
        <v>7061.2139917695467</v>
      </c>
      <c r="G1116" s="17" t="e">
        <f t="shared" si="17"/>
        <v>#VALUE!</v>
      </c>
      <c r="H1116" s="141">
        <v>814</v>
      </c>
      <c r="I1116" s="141">
        <v>0</v>
      </c>
      <c r="J1116" s="149">
        <v>6</v>
      </c>
      <c r="K1116" s="150">
        <v>72</v>
      </c>
    </row>
    <row r="1117" spans="1:11" ht="30" customHeight="1">
      <c r="A1117" s="31" t="s">
        <v>2944</v>
      </c>
      <c r="B1117" s="16" t="s">
        <v>1813</v>
      </c>
      <c r="C1117" s="15" t="s">
        <v>3574</v>
      </c>
      <c r="D1117" s="15" t="s">
        <v>2945</v>
      </c>
      <c r="E1117" s="15">
        <v>0.21</v>
      </c>
      <c r="F1117" s="131">
        <v>243473.58360000001</v>
      </c>
      <c r="G1117" s="17" t="e">
        <f t="shared" si="17"/>
        <v>#VALUE!</v>
      </c>
      <c r="H1117" s="141">
        <v>33</v>
      </c>
      <c r="I1117" s="141">
        <v>0</v>
      </c>
      <c r="J1117" s="149">
        <v>0</v>
      </c>
      <c r="K1117" s="150">
        <v>10</v>
      </c>
    </row>
    <row r="1118" spans="1:11" ht="30" customHeight="1">
      <c r="A1118" s="31" t="s">
        <v>2946</v>
      </c>
      <c r="B1118" s="16" t="s">
        <v>1813</v>
      </c>
      <c r="C1118" s="15" t="s">
        <v>3575</v>
      </c>
      <c r="D1118" s="15" t="s">
        <v>12</v>
      </c>
      <c r="E1118" s="15">
        <v>0.21</v>
      </c>
      <c r="F1118" s="131">
        <v>117213.2948</v>
      </c>
      <c r="G1118" s="17" t="e">
        <f t="shared" si="17"/>
        <v>#VALUE!</v>
      </c>
      <c r="H1118" s="141">
        <v>47</v>
      </c>
      <c r="I1118" s="141">
        <v>0</v>
      </c>
      <c r="J1118" s="149">
        <v>3</v>
      </c>
      <c r="K1118" s="150">
        <v>18</v>
      </c>
    </row>
    <row r="1119" spans="1:11" ht="30" customHeight="1">
      <c r="A1119" s="31" t="s">
        <v>2947</v>
      </c>
      <c r="B1119" s="16" t="s">
        <v>1813</v>
      </c>
      <c r="C1119" s="15" t="s">
        <v>3575</v>
      </c>
      <c r="D1119" s="15" t="s">
        <v>17</v>
      </c>
      <c r="E1119" s="15">
        <v>0.21</v>
      </c>
      <c r="F1119" s="131">
        <v>127961.01640000001</v>
      </c>
      <c r="G1119" s="17" t="e">
        <f t="shared" si="17"/>
        <v>#VALUE!</v>
      </c>
      <c r="H1119" s="141">
        <v>26</v>
      </c>
      <c r="I1119" s="141">
        <v>0</v>
      </c>
      <c r="J1119" s="149">
        <v>2</v>
      </c>
      <c r="K1119" s="150">
        <v>12</v>
      </c>
    </row>
    <row r="1120" spans="1:11" ht="30" customHeight="1">
      <c r="A1120" s="31" t="s">
        <v>2948</v>
      </c>
      <c r="B1120" s="16" t="s">
        <v>1813</v>
      </c>
      <c r="C1120" s="15" t="s">
        <v>2949</v>
      </c>
      <c r="D1120" s="15" t="s">
        <v>2950</v>
      </c>
      <c r="E1120" s="15">
        <v>0.21</v>
      </c>
      <c r="F1120" s="131">
        <v>43623.070399999997</v>
      </c>
      <c r="G1120" s="17" t="e">
        <f t="shared" si="17"/>
        <v>#VALUE!</v>
      </c>
      <c r="H1120" s="141">
        <v>85</v>
      </c>
      <c r="I1120" s="141">
        <v>0</v>
      </c>
      <c r="J1120" s="149">
        <v>6</v>
      </c>
      <c r="K1120" s="150">
        <v>36</v>
      </c>
    </row>
    <row r="1121" spans="1:11" ht="30" customHeight="1">
      <c r="A1121" s="31" t="s">
        <v>2951</v>
      </c>
      <c r="B1121" s="16" t="s">
        <v>1813</v>
      </c>
      <c r="C1121" s="15" t="s">
        <v>2952</v>
      </c>
      <c r="D1121" s="15" t="s">
        <v>2953</v>
      </c>
      <c r="E1121" s="15">
        <v>0.21</v>
      </c>
      <c r="F1121" s="131">
        <v>78395.087800000008</v>
      </c>
      <c r="G1121" s="17" t="e">
        <f t="shared" si="17"/>
        <v>#VALUE!</v>
      </c>
      <c r="H1121" s="141">
        <v>82</v>
      </c>
      <c r="I1121" s="141">
        <v>0</v>
      </c>
      <c r="J1121" s="149">
        <v>6</v>
      </c>
      <c r="K1121" s="150">
        <v>36</v>
      </c>
    </row>
    <row r="1122" spans="1:11" ht="30" customHeight="1">
      <c r="A1122" s="31" t="s">
        <v>2954</v>
      </c>
      <c r="B1122" s="16" t="s">
        <v>1813</v>
      </c>
      <c r="C1122" s="15" t="s">
        <v>2955</v>
      </c>
      <c r="D1122" s="15" t="s">
        <v>2956</v>
      </c>
      <c r="E1122" s="15">
        <v>0.21</v>
      </c>
      <c r="F1122" s="131">
        <v>74981.114000000001</v>
      </c>
      <c r="G1122" s="17" t="e">
        <f t="shared" si="17"/>
        <v>#VALUE!</v>
      </c>
      <c r="H1122" s="141">
        <v>100</v>
      </c>
      <c r="I1122" s="141">
        <v>0</v>
      </c>
      <c r="J1122" s="149">
        <v>6</v>
      </c>
      <c r="K1122" s="150">
        <v>36</v>
      </c>
    </row>
    <row r="1123" spans="1:11" ht="30" customHeight="1">
      <c r="A1123" s="31" t="s">
        <v>2957</v>
      </c>
      <c r="B1123" s="16" t="s">
        <v>1813</v>
      </c>
      <c r="C1123" s="15" t="s">
        <v>3576</v>
      </c>
      <c r="D1123" s="15" t="s">
        <v>36</v>
      </c>
      <c r="E1123" s="15">
        <v>0.21</v>
      </c>
      <c r="F1123" s="131">
        <v>327109.84140000003</v>
      </c>
      <c r="G1123" s="17" t="e">
        <f t="shared" si="17"/>
        <v>#VALUE!</v>
      </c>
      <c r="H1123" s="141">
        <v>15</v>
      </c>
      <c r="I1123" s="141">
        <v>0</v>
      </c>
      <c r="J1123" s="149">
        <v>0</v>
      </c>
      <c r="K1123" s="150">
        <v>5</v>
      </c>
    </row>
    <row r="1124" spans="1:11" ht="30" customHeight="1">
      <c r="A1124" s="31" t="s">
        <v>2958</v>
      </c>
      <c r="B1124" s="16" t="s">
        <v>1813</v>
      </c>
      <c r="C1124" s="15" t="s">
        <v>2961</v>
      </c>
      <c r="D1124" s="15" t="s">
        <v>2959</v>
      </c>
      <c r="E1124" s="15">
        <v>0.21</v>
      </c>
      <c r="F1124" s="131">
        <v>526005.77413429681</v>
      </c>
      <c r="G1124" s="17" t="e">
        <f t="shared" si="17"/>
        <v>#VALUE!</v>
      </c>
      <c r="H1124" s="141">
        <v>17</v>
      </c>
      <c r="I1124" s="141">
        <v>6</v>
      </c>
      <c r="J1124" s="149">
        <v>0</v>
      </c>
      <c r="K1124" s="150">
        <v>3</v>
      </c>
    </row>
    <row r="1125" spans="1:11" ht="30" customHeight="1">
      <c r="A1125" s="31" t="s">
        <v>2960</v>
      </c>
      <c r="B1125" s="16" t="s">
        <v>1813</v>
      </c>
      <c r="C1125" s="15" t="s">
        <v>2961</v>
      </c>
      <c r="D1125" s="15" t="s">
        <v>2962</v>
      </c>
      <c r="E1125" s="15">
        <v>0.21</v>
      </c>
      <c r="F1125" s="131">
        <v>755753.96923093579</v>
      </c>
      <c r="G1125" s="17" t="e">
        <f t="shared" si="17"/>
        <v>#VALUE!</v>
      </c>
      <c r="H1125" s="141">
        <v>13</v>
      </c>
      <c r="I1125" s="141">
        <v>0</v>
      </c>
      <c r="J1125" s="149">
        <v>0</v>
      </c>
      <c r="K1125" s="150">
        <v>3</v>
      </c>
    </row>
    <row r="1126" spans="1:11" ht="30" customHeight="1">
      <c r="A1126" s="31" t="s">
        <v>2963</v>
      </c>
      <c r="B1126" s="16" t="s">
        <v>1813</v>
      </c>
      <c r="C1126" s="15" t="s">
        <v>2961</v>
      </c>
      <c r="D1126" s="15" t="s">
        <v>2964</v>
      </c>
      <c r="E1126" s="15">
        <v>0.21</v>
      </c>
      <c r="F1126" s="131">
        <v>1411364.5314632265</v>
      </c>
      <c r="G1126" s="17" t="e">
        <f t="shared" si="17"/>
        <v>#VALUE!</v>
      </c>
      <c r="H1126" s="141">
        <v>43</v>
      </c>
      <c r="I1126" s="141">
        <v>3</v>
      </c>
      <c r="J1126" s="149">
        <v>0</v>
      </c>
      <c r="K1126" s="150">
        <v>3</v>
      </c>
    </row>
    <row r="1127" spans="1:11" ht="30" customHeight="1">
      <c r="A1127" s="30">
        <v>40201</v>
      </c>
      <c r="B1127" s="16" t="s">
        <v>1853</v>
      </c>
      <c r="C1127" s="15" t="s">
        <v>1946</v>
      </c>
      <c r="D1127" s="15" t="s">
        <v>290</v>
      </c>
      <c r="E1127" s="15">
        <v>0.21</v>
      </c>
      <c r="F1127" s="131">
        <v>3489.3448760413535</v>
      </c>
      <c r="G1127" s="17" t="e">
        <f t="shared" si="17"/>
        <v>#VALUE!</v>
      </c>
      <c r="H1127" s="141">
        <v>1038</v>
      </c>
      <c r="I1127" s="141">
        <v>0</v>
      </c>
      <c r="J1127" s="149">
        <v>12</v>
      </c>
      <c r="K1127" s="150">
        <v>120</v>
      </c>
    </row>
    <row r="1128" spans="1:11" ht="30" customHeight="1">
      <c r="A1128" s="30">
        <v>40202</v>
      </c>
      <c r="B1128" s="16" t="s">
        <v>1853</v>
      </c>
      <c r="C1128" s="15" t="s">
        <v>1946</v>
      </c>
      <c r="D1128" s="15" t="s">
        <v>438</v>
      </c>
      <c r="E1128" s="15">
        <v>0.21</v>
      </c>
      <c r="F1128" s="131">
        <v>3598.386903417645</v>
      </c>
      <c r="G1128" s="17" t="e">
        <f t="shared" si="17"/>
        <v>#VALUE!</v>
      </c>
      <c r="H1128" s="141">
        <v>1319</v>
      </c>
      <c r="I1128" s="141">
        <v>120</v>
      </c>
      <c r="J1128" s="149">
        <v>12</v>
      </c>
      <c r="K1128" s="150">
        <v>120</v>
      </c>
    </row>
    <row r="1129" spans="1:11" ht="30" customHeight="1">
      <c r="A1129" s="30">
        <v>40204</v>
      </c>
      <c r="B1129" s="16" t="s">
        <v>1853</v>
      </c>
      <c r="C1129" s="15" t="s">
        <v>1946</v>
      </c>
      <c r="D1129" s="15" t="s">
        <v>433</v>
      </c>
      <c r="E1129" s="15">
        <v>0.21</v>
      </c>
      <c r="F1129" s="131">
        <v>4034.5550129228136</v>
      </c>
      <c r="G1129" s="17" t="e">
        <f t="shared" si="17"/>
        <v>#VALUE!</v>
      </c>
      <c r="H1129" s="141">
        <v>1358</v>
      </c>
      <c r="I1129" s="141">
        <v>120</v>
      </c>
      <c r="J1129" s="149">
        <v>12</v>
      </c>
      <c r="K1129" s="150">
        <v>120</v>
      </c>
    </row>
    <row r="1130" spans="1:11" ht="30" customHeight="1">
      <c r="A1130" s="30">
        <v>40205</v>
      </c>
      <c r="B1130" s="16" t="s">
        <v>1853</v>
      </c>
      <c r="C1130" s="15" t="s">
        <v>1946</v>
      </c>
      <c r="D1130" s="15" t="s">
        <v>434</v>
      </c>
      <c r="E1130" s="15">
        <v>0.21</v>
      </c>
      <c r="F1130" s="131">
        <v>4361.681095051691</v>
      </c>
      <c r="G1130" s="17" t="e">
        <f t="shared" si="17"/>
        <v>#VALUE!</v>
      </c>
      <c r="H1130" s="141">
        <v>1119</v>
      </c>
      <c r="I1130" s="141">
        <v>120</v>
      </c>
      <c r="J1130" s="149">
        <v>12</v>
      </c>
      <c r="K1130" s="150">
        <v>120</v>
      </c>
    </row>
    <row r="1131" spans="1:11" ht="30" customHeight="1">
      <c r="A1131" s="30">
        <v>40008</v>
      </c>
      <c r="B1131" s="16" t="s">
        <v>1853</v>
      </c>
      <c r="C1131" s="15" t="s">
        <v>784</v>
      </c>
      <c r="D1131" s="15" t="s">
        <v>2965</v>
      </c>
      <c r="E1131" s="15">
        <v>0.21</v>
      </c>
      <c r="F1131" s="131">
        <v>4907.5422601589216</v>
      </c>
      <c r="G1131" s="17" t="e">
        <f t="shared" si="17"/>
        <v>#VALUE!</v>
      </c>
      <c r="H1131" s="141">
        <v>1778</v>
      </c>
      <c r="I1131" s="141">
        <v>0</v>
      </c>
      <c r="J1131" s="149">
        <v>20</v>
      </c>
      <c r="K1131" s="150">
        <v>120</v>
      </c>
    </row>
    <row r="1132" spans="1:11" ht="30" customHeight="1">
      <c r="A1132" s="31">
        <v>40009</v>
      </c>
      <c r="B1132" s="16" t="s">
        <v>1853</v>
      </c>
      <c r="C1132" s="15" t="s">
        <v>3227</v>
      </c>
      <c r="D1132" s="15" t="s">
        <v>2966</v>
      </c>
      <c r="E1132" s="15">
        <v>0.21</v>
      </c>
      <c r="F1132" s="131">
        <v>3571.7587779122305</v>
      </c>
      <c r="G1132" s="17" t="e">
        <f t="shared" si="17"/>
        <v>#VALUE!</v>
      </c>
      <c r="H1132" s="141">
        <v>664</v>
      </c>
      <c r="I1132" s="141">
        <v>0</v>
      </c>
      <c r="J1132" s="149">
        <v>20</v>
      </c>
      <c r="K1132" s="150">
        <v>120</v>
      </c>
    </row>
    <row r="1133" spans="1:11" ht="30" customHeight="1">
      <c r="A1133" s="30">
        <v>40011</v>
      </c>
      <c r="B1133" s="16" t="s">
        <v>1853</v>
      </c>
      <c r="C1133" s="15" t="s">
        <v>785</v>
      </c>
      <c r="D1133" s="15" t="s">
        <v>786</v>
      </c>
      <c r="E1133" s="15">
        <v>0.21</v>
      </c>
      <c r="F1133" s="131">
        <v>5247.427004490025</v>
      </c>
      <c r="G1133" s="17" t="e">
        <f t="shared" si="17"/>
        <v>#VALUE!</v>
      </c>
      <c r="H1133" s="141">
        <v>1854</v>
      </c>
      <c r="I1133" s="141">
        <v>0</v>
      </c>
      <c r="J1133" s="149">
        <v>12</v>
      </c>
      <c r="K1133" s="150">
        <v>120</v>
      </c>
    </row>
    <row r="1134" spans="1:11" ht="30" customHeight="1">
      <c r="A1134" s="30">
        <v>40012</v>
      </c>
      <c r="B1134" s="16" t="s">
        <v>1853</v>
      </c>
      <c r="C1134" s="15" t="s">
        <v>785</v>
      </c>
      <c r="D1134" s="15" t="s">
        <v>787</v>
      </c>
      <c r="E1134" s="15">
        <v>0.21</v>
      </c>
      <c r="F1134" s="131">
        <v>5575.3911922706511</v>
      </c>
      <c r="G1134" s="17" t="e">
        <f t="shared" si="17"/>
        <v>#VALUE!</v>
      </c>
      <c r="H1134" s="141">
        <v>1739</v>
      </c>
      <c r="I1134" s="141">
        <v>0</v>
      </c>
      <c r="J1134" s="149">
        <v>12</v>
      </c>
      <c r="K1134" s="150">
        <v>120</v>
      </c>
    </row>
    <row r="1135" spans="1:11" ht="30" customHeight="1">
      <c r="A1135" s="30">
        <v>40013</v>
      </c>
      <c r="B1135" s="16" t="s">
        <v>1853</v>
      </c>
      <c r="C1135" s="15" t="s">
        <v>785</v>
      </c>
      <c r="D1135" s="15" t="s">
        <v>49</v>
      </c>
      <c r="E1135" s="15">
        <v>0.21</v>
      </c>
      <c r="F1135" s="131">
        <v>5794.033984124404</v>
      </c>
      <c r="G1135" s="17" t="e">
        <f t="shared" si="17"/>
        <v>#VALUE!</v>
      </c>
      <c r="H1135" s="141">
        <v>879</v>
      </c>
      <c r="I1135" s="141">
        <v>0</v>
      </c>
      <c r="J1135" s="149">
        <v>12</v>
      </c>
      <c r="K1135" s="150">
        <v>120</v>
      </c>
    </row>
    <row r="1136" spans="1:11" ht="30" customHeight="1">
      <c r="A1136" s="30">
        <v>40014</v>
      </c>
      <c r="B1136" s="16" t="s">
        <v>1853</v>
      </c>
      <c r="C1136" s="15" t="s">
        <v>785</v>
      </c>
      <c r="D1136" s="15" t="s">
        <v>788</v>
      </c>
      <c r="E1136" s="15">
        <v>0.21</v>
      </c>
      <c r="F1136" s="131">
        <v>6012.6767759781542</v>
      </c>
      <c r="G1136" s="17" t="e">
        <f t="shared" si="17"/>
        <v>#VALUE!</v>
      </c>
      <c r="H1136" s="141">
        <v>1184</v>
      </c>
      <c r="I1136" s="141">
        <v>0</v>
      </c>
      <c r="J1136" s="149">
        <v>12</v>
      </c>
      <c r="K1136" s="150">
        <v>120</v>
      </c>
    </row>
    <row r="1137" spans="1:11" ht="30" customHeight="1">
      <c r="A1137" s="30">
        <v>40015</v>
      </c>
      <c r="B1137" s="16" t="s">
        <v>1853</v>
      </c>
      <c r="C1137" s="15" t="s">
        <v>785</v>
      </c>
      <c r="D1137" s="15" t="s">
        <v>789</v>
      </c>
      <c r="E1137" s="15">
        <v>0.21</v>
      </c>
      <c r="F1137" s="131">
        <v>6340.6409637587776</v>
      </c>
      <c r="G1137" s="17" t="e">
        <f t="shared" si="17"/>
        <v>#VALUE!</v>
      </c>
      <c r="H1137" s="141">
        <v>789</v>
      </c>
      <c r="I1137" s="141">
        <v>0</v>
      </c>
      <c r="J1137" s="149">
        <v>12</v>
      </c>
      <c r="K1137" s="150">
        <v>120</v>
      </c>
    </row>
    <row r="1138" spans="1:11" ht="30" customHeight="1">
      <c r="A1138" s="30">
        <v>40016</v>
      </c>
      <c r="B1138" s="16" t="s">
        <v>1853</v>
      </c>
      <c r="C1138" s="15" t="s">
        <v>785</v>
      </c>
      <c r="D1138" s="15" t="s">
        <v>45</v>
      </c>
      <c r="E1138" s="15">
        <v>0.21</v>
      </c>
      <c r="F1138" s="131">
        <v>6996.5693393200318</v>
      </c>
      <c r="G1138" s="17" t="e">
        <f t="shared" si="17"/>
        <v>#VALUE!</v>
      </c>
      <c r="H1138" s="141">
        <v>576</v>
      </c>
      <c r="I1138" s="141">
        <v>120</v>
      </c>
      <c r="J1138" s="149">
        <v>12</v>
      </c>
      <c r="K1138" s="150">
        <v>120</v>
      </c>
    </row>
    <row r="1139" spans="1:11" ht="30" customHeight="1">
      <c r="A1139" s="30">
        <v>40017</v>
      </c>
      <c r="B1139" s="16" t="s">
        <v>1853</v>
      </c>
      <c r="C1139" s="15" t="s">
        <v>785</v>
      </c>
      <c r="D1139" s="15" t="s">
        <v>46</v>
      </c>
      <c r="E1139" s="15">
        <v>0.21</v>
      </c>
      <c r="F1139" s="131">
        <v>8614.3201627270901</v>
      </c>
      <c r="G1139" s="17" t="e">
        <f t="shared" si="17"/>
        <v>#VALUE!</v>
      </c>
      <c r="H1139" s="141">
        <v>495</v>
      </c>
      <c r="I1139" s="141">
        <v>120</v>
      </c>
      <c r="J1139" s="149">
        <v>12</v>
      </c>
      <c r="K1139" s="150">
        <v>120</v>
      </c>
    </row>
    <row r="1140" spans="1:11" ht="30" customHeight="1">
      <c r="A1140" s="30">
        <v>40018</v>
      </c>
      <c r="B1140" s="16" t="s">
        <v>1853</v>
      </c>
      <c r="C1140" s="15" t="s">
        <v>785</v>
      </c>
      <c r="D1140" s="15" t="s">
        <v>47</v>
      </c>
      <c r="E1140" s="15">
        <v>0.21</v>
      </c>
      <c r="F1140" s="131">
        <v>9486.6563817374281</v>
      </c>
      <c r="G1140" s="17" t="e">
        <f t="shared" si="17"/>
        <v>#VALUE!</v>
      </c>
      <c r="H1140" s="141">
        <v>665</v>
      </c>
      <c r="I1140" s="141">
        <v>240</v>
      </c>
      <c r="J1140" s="149">
        <v>12</v>
      </c>
      <c r="K1140" s="150">
        <v>120</v>
      </c>
    </row>
    <row r="1141" spans="1:11" ht="30" customHeight="1">
      <c r="A1141" s="30">
        <v>40020</v>
      </c>
      <c r="B1141" s="16" t="s">
        <v>1853</v>
      </c>
      <c r="C1141" s="15" t="s">
        <v>785</v>
      </c>
      <c r="D1141" s="15" t="s">
        <v>12</v>
      </c>
      <c r="E1141" s="15">
        <v>0.21</v>
      </c>
      <c r="F1141" s="131">
        <v>12539.833148273612</v>
      </c>
      <c r="G1141" s="17" t="e">
        <f t="shared" si="17"/>
        <v>#VALUE!</v>
      </c>
      <c r="H1141" s="141">
        <v>249</v>
      </c>
      <c r="I1141" s="141">
        <v>60</v>
      </c>
      <c r="J1141" s="149">
        <v>12</v>
      </c>
      <c r="K1141" s="150">
        <v>60</v>
      </c>
    </row>
    <row r="1142" spans="1:11" ht="30" customHeight="1">
      <c r="A1142" s="30">
        <v>40021</v>
      </c>
      <c r="B1142" s="16" t="s">
        <v>1853</v>
      </c>
      <c r="C1142" s="15" t="s">
        <v>785</v>
      </c>
      <c r="D1142" s="15" t="s">
        <v>17</v>
      </c>
      <c r="E1142" s="15">
        <v>0.21</v>
      </c>
      <c r="F1142" s="131">
        <v>15374.92586005721</v>
      </c>
      <c r="G1142" s="17" t="e">
        <f t="shared" si="17"/>
        <v>#VALUE!</v>
      </c>
      <c r="H1142" s="141">
        <v>1030</v>
      </c>
      <c r="I1142" s="141">
        <v>0</v>
      </c>
      <c r="J1142" s="149">
        <v>12</v>
      </c>
      <c r="K1142" s="150">
        <v>60</v>
      </c>
    </row>
    <row r="1143" spans="1:11" ht="30" customHeight="1">
      <c r="A1143" s="30">
        <v>40023</v>
      </c>
      <c r="B1143" s="16" t="s">
        <v>1853</v>
      </c>
      <c r="C1143" s="15" t="s">
        <v>785</v>
      </c>
      <c r="D1143" s="15" t="s">
        <v>12</v>
      </c>
      <c r="E1143" s="15">
        <v>0.21</v>
      </c>
      <c r="F1143" s="131">
        <v>14055.087469665295</v>
      </c>
      <c r="G1143" s="17" t="e">
        <f t="shared" si="17"/>
        <v>#VALUE!</v>
      </c>
      <c r="H1143" s="141">
        <v>431</v>
      </c>
      <c r="I1143" s="141">
        <v>48</v>
      </c>
      <c r="J1143" s="149">
        <v>12</v>
      </c>
      <c r="K1143" s="150">
        <v>48</v>
      </c>
    </row>
    <row r="1144" spans="1:11" ht="30" customHeight="1">
      <c r="A1144" s="30">
        <v>40024</v>
      </c>
      <c r="B1144" s="16" t="s">
        <v>1853</v>
      </c>
      <c r="C1144" s="15" t="s">
        <v>785</v>
      </c>
      <c r="D1144" s="15" t="s">
        <v>17</v>
      </c>
      <c r="E1144" s="15">
        <v>0.21</v>
      </c>
      <c r="F1144" s="131">
        <v>15745.925060000976</v>
      </c>
      <c r="G1144" s="17" t="e">
        <f t="shared" si="17"/>
        <v>#VALUE!</v>
      </c>
      <c r="H1144" s="141">
        <v>446</v>
      </c>
      <c r="I1144" s="141">
        <v>48</v>
      </c>
      <c r="J1144" s="149">
        <v>12</v>
      </c>
      <c r="K1144" s="150">
        <v>48</v>
      </c>
    </row>
    <row r="1145" spans="1:11" ht="30" customHeight="1">
      <c r="A1145" s="30">
        <v>40025</v>
      </c>
      <c r="B1145" s="16" t="s">
        <v>1853</v>
      </c>
      <c r="C1145" s="15" t="s">
        <v>785</v>
      </c>
      <c r="D1145" s="15" t="s">
        <v>33</v>
      </c>
      <c r="E1145" s="15">
        <v>0.21</v>
      </c>
      <c r="F1145" s="131">
        <v>17331.085300940664</v>
      </c>
      <c r="G1145" s="17" t="e">
        <f t="shared" si="17"/>
        <v>#VALUE!</v>
      </c>
      <c r="H1145" s="141">
        <v>665</v>
      </c>
      <c r="I1145" s="141">
        <v>48</v>
      </c>
      <c r="J1145" s="149">
        <v>12</v>
      </c>
      <c r="K1145" s="150">
        <v>48</v>
      </c>
    </row>
    <row r="1146" spans="1:11" ht="30" customHeight="1">
      <c r="A1146" s="31">
        <v>40010</v>
      </c>
      <c r="B1146" s="16" t="s">
        <v>1853</v>
      </c>
      <c r="C1146" s="15" t="s">
        <v>3228</v>
      </c>
      <c r="D1146" s="15" t="s">
        <v>790</v>
      </c>
      <c r="E1146" s="15">
        <v>0.21</v>
      </c>
      <c r="F1146" s="131">
        <v>8095.9865632677229</v>
      </c>
      <c r="G1146" s="17" t="e">
        <f t="shared" si="17"/>
        <v>#VALUE!</v>
      </c>
      <c r="H1146" s="141">
        <v>465</v>
      </c>
      <c r="I1146" s="141">
        <v>0</v>
      </c>
      <c r="J1146" s="149">
        <v>12</v>
      </c>
      <c r="K1146" s="150">
        <v>72</v>
      </c>
    </row>
    <row r="1147" spans="1:11" ht="30" customHeight="1">
      <c r="A1147" s="30">
        <v>40121</v>
      </c>
      <c r="B1147" s="16" t="s">
        <v>1853</v>
      </c>
      <c r="C1147" s="15" t="s">
        <v>794</v>
      </c>
      <c r="D1147" s="15" t="s">
        <v>2967</v>
      </c>
      <c r="E1147" s="15">
        <v>0.21</v>
      </c>
      <c r="F1147" s="131">
        <v>2033.7523390399897</v>
      </c>
      <c r="G1147" s="17" t="e">
        <f t="shared" si="17"/>
        <v>#VALUE!</v>
      </c>
      <c r="H1147" s="141">
        <v>6047</v>
      </c>
      <c r="I1147" s="141">
        <v>6000</v>
      </c>
      <c r="J1147" s="149">
        <v>12</v>
      </c>
      <c r="K1147" s="150">
        <v>600</v>
      </c>
    </row>
    <row r="1148" spans="1:11" ht="30" customHeight="1">
      <c r="A1148" s="30">
        <v>40122</v>
      </c>
      <c r="B1148" s="16" t="s">
        <v>1853</v>
      </c>
      <c r="C1148" s="15" t="s">
        <v>794</v>
      </c>
      <c r="D1148" s="15" t="s">
        <v>2968</v>
      </c>
      <c r="E1148" s="15">
        <v>0.21</v>
      </c>
      <c r="F1148" s="131">
        <v>2751.5588885842499</v>
      </c>
      <c r="G1148" s="17" t="e">
        <f t="shared" si="17"/>
        <v>#VALUE!</v>
      </c>
      <c r="H1148" s="141">
        <v>10824</v>
      </c>
      <c r="I1148" s="141">
        <v>2400</v>
      </c>
      <c r="J1148" s="149">
        <v>12</v>
      </c>
      <c r="K1148" s="150">
        <v>480</v>
      </c>
    </row>
    <row r="1149" spans="1:11" ht="30" customHeight="1">
      <c r="A1149" s="30">
        <v>40123</v>
      </c>
      <c r="B1149" s="16" t="s">
        <v>1853</v>
      </c>
      <c r="C1149" s="15" t="s">
        <v>794</v>
      </c>
      <c r="D1149" s="15" t="s">
        <v>2969</v>
      </c>
      <c r="E1149" s="15">
        <v>0.21</v>
      </c>
      <c r="F1149" s="131">
        <v>3469.3654381285137</v>
      </c>
      <c r="G1149" s="17" t="e">
        <f t="shared" si="17"/>
        <v>#VALUE!</v>
      </c>
      <c r="H1149" s="141">
        <v>7144</v>
      </c>
      <c r="I1149" s="141">
        <v>3600</v>
      </c>
      <c r="J1149" s="149">
        <v>12</v>
      </c>
      <c r="K1149" s="150">
        <v>360</v>
      </c>
    </row>
    <row r="1150" spans="1:11" ht="30" customHeight="1">
      <c r="A1150" s="30">
        <v>40124</v>
      </c>
      <c r="B1150" s="16" t="s">
        <v>1853</v>
      </c>
      <c r="C1150" s="15" t="s">
        <v>794</v>
      </c>
      <c r="D1150" s="15" t="s">
        <v>2970</v>
      </c>
      <c r="E1150" s="15">
        <v>0.21</v>
      </c>
      <c r="F1150" s="131">
        <v>4785.4098816305004</v>
      </c>
      <c r="G1150" s="17" t="e">
        <f t="shared" si="17"/>
        <v>#VALUE!</v>
      </c>
      <c r="H1150" s="141">
        <v>5081</v>
      </c>
      <c r="I1150" s="141">
        <v>0</v>
      </c>
      <c r="J1150" s="149">
        <v>12</v>
      </c>
      <c r="K1150" s="150">
        <v>240</v>
      </c>
    </row>
    <row r="1151" spans="1:11" ht="30" customHeight="1">
      <c r="A1151" s="30">
        <v>40125</v>
      </c>
      <c r="B1151" s="16" t="s">
        <v>1853</v>
      </c>
      <c r="C1151" s="15" t="s">
        <v>794</v>
      </c>
      <c r="D1151" s="15" t="s">
        <v>2971</v>
      </c>
      <c r="E1151" s="15">
        <v>0.21</v>
      </c>
      <c r="F1151" s="131">
        <v>5622.7850867612979</v>
      </c>
      <c r="G1151" s="17" t="e">
        <f t="shared" si="17"/>
        <v>#VALUE!</v>
      </c>
      <c r="H1151" s="141">
        <v>3318</v>
      </c>
      <c r="I1151" s="141">
        <v>1260</v>
      </c>
      <c r="J1151" s="149">
        <v>12</v>
      </c>
      <c r="K1151" s="150">
        <v>180</v>
      </c>
    </row>
    <row r="1152" spans="1:11" ht="30" customHeight="1">
      <c r="A1152" s="30">
        <v>40126</v>
      </c>
      <c r="B1152" s="16" t="s">
        <v>1853</v>
      </c>
      <c r="C1152" s="15" t="s">
        <v>794</v>
      </c>
      <c r="D1152" s="15" t="s">
        <v>2972</v>
      </c>
      <c r="E1152" s="15">
        <v>0.21</v>
      </c>
      <c r="F1152" s="131">
        <v>8852.8159057042176</v>
      </c>
      <c r="G1152" s="17" t="e">
        <f t="shared" si="17"/>
        <v>#VALUE!</v>
      </c>
      <c r="H1152" s="141">
        <v>2926</v>
      </c>
      <c r="I1152" s="141">
        <v>840</v>
      </c>
      <c r="J1152" s="149">
        <v>12</v>
      </c>
      <c r="K1152" s="150">
        <v>120</v>
      </c>
    </row>
    <row r="1153" spans="1:11" ht="30" customHeight="1">
      <c r="A1153" s="30">
        <v>40038</v>
      </c>
      <c r="B1153" s="16" t="s">
        <v>1853</v>
      </c>
      <c r="C1153" s="15" t="s">
        <v>791</v>
      </c>
      <c r="D1153" s="15" t="s">
        <v>792</v>
      </c>
      <c r="E1153" s="15">
        <v>0.21</v>
      </c>
      <c r="F1153" s="131">
        <v>6090.3602337013026</v>
      </c>
      <c r="G1153" s="17" t="e">
        <f t="shared" si="17"/>
        <v>#VALUE!</v>
      </c>
      <c r="H1153" s="141">
        <v>919</v>
      </c>
      <c r="I1153" s="141">
        <v>0</v>
      </c>
      <c r="J1153" s="149">
        <v>12</v>
      </c>
      <c r="K1153" s="150">
        <v>120</v>
      </c>
    </row>
    <row r="1154" spans="1:11" ht="30" customHeight="1">
      <c r="A1154" s="30">
        <v>40040</v>
      </c>
      <c r="B1154" s="16" t="s">
        <v>1853</v>
      </c>
      <c r="C1154" s="15" t="s">
        <v>791</v>
      </c>
      <c r="D1154" s="15" t="s">
        <v>793</v>
      </c>
      <c r="E1154" s="15">
        <v>0.21</v>
      </c>
      <c r="F1154" s="131">
        <v>11745.74598525836</v>
      </c>
      <c r="G1154" s="17" t="e">
        <f t="shared" si="17"/>
        <v>#VALUE!</v>
      </c>
      <c r="H1154" s="141">
        <v>259</v>
      </c>
      <c r="I1154" s="141">
        <v>0</v>
      </c>
      <c r="J1154" s="149">
        <v>12</v>
      </c>
      <c r="K1154" s="150">
        <v>72</v>
      </c>
    </row>
    <row r="1155" spans="1:11" ht="30" customHeight="1">
      <c r="A1155" s="30">
        <v>40048</v>
      </c>
      <c r="B1155" s="16" t="s">
        <v>1853</v>
      </c>
      <c r="C1155" s="15" t="s">
        <v>794</v>
      </c>
      <c r="D1155" s="15" t="s">
        <v>2973</v>
      </c>
      <c r="E1155" s="15">
        <v>0.21</v>
      </c>
      <c r="F1155" s="131">
        <v>3697.7315255272533</v>
      </c>
      <c r="G1155" s="17" t="e">
        <f t="shared" si="17"/>
        <v>#VALUE!</v>
      </c>
      <c r="H1155" s="141">
        <v>1598</v>
      </c>
      <c r="I1155" s="141">
        <v>0</v>
      </c>
      <c r="J1155" s="149">
        <v>12</v>
      </c>
      <c r="K1155" s="150">
        <v>360</v>
      </c>
    </row>
    <row r="1156" spans="1:11" ht="30" customHeight="1">
      <c r="A1156" s="30">
        <v>40049</v>
      </c>
      <c r="B1156" s="16" t="s">
        <v>1853</v>
      </c>
      <c r="C1156" s="15" t="s">
        <v>794</v>
      </c>
      <c r="D1156" s="15" t="s">
        <v>2974</v>
      </c>
      <c r="E1156" s="15">
        <v>0.21</v>
      </c>
      <c r="F1156" s="131">
        <v>5111.6228061466345</v>
      </c>
      <c r="G1156" s="17" t="e">
        <f t="shared" si="17"/>
        <v>#VALUE!</v>
      </c>
      <c r="H1156" s="141">
        <v>1285</v>
      </c>
      <c r="I1156" s="141">
        <v>0</v>
      </c>
      <c r="J1156" s="149">
        <v>12</v>
      </c>
      <c r="K1156" s="150">
        <v>300</v>
      </c>
    </row>
    <row r="1157" spans="1:11" ht="30" customHeight="1">
      <c r="A1157" s="30">
        <v>40050</v>
      </c>
      <c r="B1157" s="16" t="s">
        <v>1853</v>
      </c>
      <c r="C1157" s="15" t="s">
        <v>794</v>
      </c>
      <c r="D1157" s="15" t="s">
        <v>2975</v>
      </c>
      <c r="E1157" s="15">
        <v>0.21</v>
      </c>
      <c r="F1157" s="131">
        <v>6960.4885689102639</v>
      </c>
      <c r="G1157" s="17" t="e">
        <f t="shared" si="17"/>
        <v>#VALUE!</v>
      </c>
      <c r="H1157" s="141">
        <v>895</v>
      </c>
      <c r="I1157" s="141">
        <v>0</v>
      </c>
      <c r="J1157" s="149">
        <v>12</v>
      </c>
      <c r="K1157" s="150">
        <v>240</v>
      </c>
    </row>
    <row r="1158" spans="1:11" ht="30" customHeight="1">
      <c r="A1158" s="30">
        <v>40051</v>
      </c>
      <c r="B1158" s="16" t="s">
        <v>1853</v>
      </c>
      <c r="C1158" s="15" t="s">
        <v>794</v>
      </c>
      <c r="D1158" s="15" t="s">
        <v>2976</v>
      </c>
      <c r="E1158" s="15">
        <v>0.21</v>
      </c>
      <c r="F1158" s="131">
        <v>9026.931258206243</v>
      </c>
      <c r="G1158" s="17" t="e">
        <f t="shared" si="17"/>
        <v>#VALUE!</v>
      </c>
      <c r="H1158" s="141">
        <v>703</v>
      </c>
      <c r="I1158" s="141">
        <v>0</v>
      </c>
      <c r="J1158" s="149">
        <v>12</v>
      </c>
      <c r="K1158" s="150">
        <v>180</v>
      </c>
    </row>
    <row r="1159" spans="1:11" ht="30" customHeight="1">
      <c r="A1159" s="30">
        <v>40131</v>
      </c>
      <c r="B1159" s="16" t="s">
        <v>1853</v>
      </c>
      <c r="C1159" s="15" t="s">
        <v>1947</v>
      </c>
      <c r="D1159" s="15" t="s">
        <v>62</v>
      </c>
      <c r="E1159" s="15">
        <v>0.21</v>
      </c>
      <c r="F1159" s="131">
        <v>3047.3141628801245</v>
      </c>
      <c r="G1159" s="17" t="e">
        <f t="shared" si="17"/>
        <v>#VALUE!</v>
      </c>
      <c r="H1159" s="141">
        <v>4564</v>
      </c>
      <c r="I1159" s="141">
        <v>0</v>
      </c>
      <c r="J1159" s="149">
        <v>12</v>
      </c>
      <c r="K1159" s="150">
        <v>360</v>
      </c>
    </row>
    <row r="1160" spans="1:11" ht="30" customHeight="1">
      <c r="A1160" s="30">
        <v>40132</v>
      </c>
      <c r="B1160" s="16" t="s">
        <v>1853</v>
      </c>
      <c r="C1160" s="15" t="s">
        <v>1947</v>
      </c>
      <c r="D1160" s="15" t="s">
        <v>63</v>
      </c>
      <c r="E1160" s="15">
        <v>0.21</v>
      </c>
      <c r="F1160" s="131">
        <v>4203.2165605342698</v>
      </c>
      <c r="G1160" s="17" t="e">
        <f t="shared" si="17"/>
        <v>#VALUE!</v>
      </c>
      <c r="H1160" s="141">
        <v>4331</v>
      </c>
      <c r="I1160" s="141">
        <v>0</v>
      </c>
      <c r="J1160" s="149">
        <v>12</v>
      </c>
      <c r="K1160" s="150">
        <v>360</v>
      </c>
    </row>
    <row r="1161" spans="1:11" ht="30" customHeight="1">
      <c r="A1161" s="30">
        <v>40133</v>
      </c>
      <c r="B1161" s="16" t="s">
        <v>1853</v>
      </c>
      <c r="C1161" s="15" t="s">
        <v>1947</v>
      </c>
      <c r="D1161" s="15" t="s">
        <v>64</v>
      </c>
      <c r="E1161" s="15">
        <v>0.21</v>
      </c>
      <c r="F1161" s="131">
        <v>6033.679022832197</v>
      </c>
      <c r="G1161" s="17" t="e">
        <f t="shared" ref="G1161:G1226" si="18">(F1161*$G$6)</f>
        <v>#VALUE!</v>
      </c>
      <c r="H1161" s="141">
        <v>2340</v>
      </c>
      <c r="I1161" s="141">
        <v>0</v>
      </c>
      <c r="J1161" s="149">
        <v>12</v>
      </c>
      <c r="K1161" s="150">
        <v>240</v>
      </c>
    </row>
    <row r="1162" spans="1:11" ht="30" customHeight="1">
      <c r="A1162" s="30">
        <v>40134</v>
      </c>
      <c r="B1162" s="16" t="s">
        <v>1853</v>
      </c>
      <c r="C1162" s="15" t="s">
        <v>1947</v>
      </c>
      <c r="D1162" s="15" t="s">
        <v>790</v>
      </c>
      <c r="E1162" s="15">
        <v>0.21</v>
      </c>
      <c r="F1162" s="131">
        <v>8301.2456460118628</v>
      </c>
      <c r="G1162" s="17" t="e">
        <f t="shared" si="18"/>
        <v>#VALUE!</v>
      </c>
      <c r="H1162" s="141">
        <v>3008</v>
      </c>
      <c r="I1162" s="141">
        <v>0</v>
      </c>
      <c r="J1162" s="149">
        <v>12</v>
      </c>
      <c r="K1162" s="150">
        <v>240</v>
      </c>
    </row>
    <row r="1163" spans="1:11" ht="30" customHeight="1">
      <c r="A1163" s="30">
        <v>40135</v>
      </c>
      <c r="B1163" s="16" t="s">
        <v>1853</v>
      </c>
      <c r="C1163" s="15" t="s">
        <v>1947</v>
      </c>
      <c r="D1163" s="15" t="s">
        <v>65</v>
      </c>
      <c r="E1163" s="15">
        <v>0.21</v>
      </c>
      <c r="F1163" s="131">
        <v>11348.559808891994</v>
      </c>
      <c r="G1163" s="17" t="e">
        <f t="shared" si="18"/>
        <v>#VALUE!</v>
      </c>
      <c r="H1163" s="141">
        <v>1574</v>
      </c>
      <c r="I1163" s="141">
        <v>0</v>
      </c>
      <c r="J1163" s="149">
        <v>12</v>
      </c>
      <c r="K1163" s="150">
        <v>120</v>
      </c>
    </row>
    <row r="1164" spans="1:11" ht="30" customHeight="1">
      <c r="A1164" s="30">
        <v>40136</v>
      </c>
      <c r="B1164" s="16" t="s">
        <v>1853</v>
      </c>
      <c r="C1164" s="15" t="s">
        <v>1947</v>
      </c>
      <c r="D1164" s="15" t="s">
        <v>387</v>
      </c>
      <c r="E1164" s="15">
        <v>0.21</v>
      </c>
      <c r="F1164" s="131">
        <v>15551.776369426259</v>
      </c>
      <c r="G1164" s="17" t="e">
        <f t="shared" si="18"/>
        <v>#VALUE!</v>
      </c>
      <c r="H1164" s="141">
        <v>1374</v>
      </c>
      <c r="I1164" s="141">
        <v>0</v>
      </c>
      <c r="J1164" s="149">
        <v>12</v>
      </c>
      <c r="K1164" s="150">
        <v>120</v>
      </c>
    </row>
    <row r="1165" spans="1:11" ht="30" customHeight="1">
      <c r="A1165" s="30">
        <v>40144</v>
      </c>
      <c r="B1165" s="16" t="s">
        <v>1853</v>
      </c>
      <c r="C1165" s="15" t="s">
        <v>1948</v>
      </c>
      <c r="D1165" s="15" t="s">
        <v>1854</v>
      </c>
      <c r="E1165" s="15">
        <v>0.21</v>
      </c>
      <c r="F1165" s="131">
        <v>7881.3567306955219</v>
      </c>
      <c r="G1165" s="17" t="e">
        <f t="shared" si="18"/>
        <v>#VALUE!</v>
      </c>
      <c r="H1165" s="141">
        <v>733</v>
      </c>
      <c r="I1165" s="141">
        <v>0</v>
      </c>
      <c r="J1165" s="149">
        <v>12</v>
      </c>
      <c r="K1165" s="150">
        <v>72</v>
      </c>
    </row>
    <row r="1166" spans="1:11" ht="30" customHeight="1">
      <c r="A1166" s="30">
        <v>40145</v>
      </c>
      <c r="B1166" s="16" t="s">
        <v>1853</v>
      </c>
      <c r="C1166" s="15" t="s">
        <v>1948</v>
      </c>
      <c r="D1166" s="15" t="s">
        <v>1855</v>
      </c>
      <c r="E1166" s="15">
        <v>0.21</v>
      </c>
      <c r="F1166" s="131">
        <v>16689.931900296389</v>
      </c>
      <c r="G1166" s="17" t="e">
        <f t="shared" si="18"/>
        <v>#VALUE!</v>
      </c>
      <c r="H1166" s="141">
        <v>786</v>
      </c>
      <c r="I1166" s="141">
        <v>0</v>
      </c>
      <c r="J1166" s="149">
        <v>8</v>
      </c>
      <c r="K1166" s="150">
        <v>48</v>
      </c>
    </row>
    <row r="1167" spans="1:11" ht="30" customHeight="1">
      <c r="A1167" s="30">
        <v>40054</v>
      </c>
      <c r="B1167" s="16" t="s">
        <v>1853</v>
      </c>
      <c r="C1167" s="15" t="s">
        <v>795</v>
      </c>
      <c r="D1167" s="15" t="s">
        <v>369</v>
      </c>
      <c r="E1167" s="15">
        <v>0.21</v>
      </c>
      <c r="F1167" s="131">
        <v>8946.460004167604</v>
      </c>
      <c r="G1167" s="17" t="e">
        <f t="shared" si="18"/>
        <v>#VALUE!</v>
      </c>
      <c r="H1167" s="141">
        <v>1652</v>
      </c>
      <c r="I1167" s="141">
        <v>150</v>
      </c>
      <c r="J1167" s="149">
        <v>0</v>
      </c>
      <c r="K1167" s="150">
        <v>50</v>
      </c>
    </row>
    <row r="1168" spans="1:11" ht="30" customHeight="1">
      <c r="A1168" s="30">
        <v>40057</v>
      </c>
      <c r="B1168" s="16" t="s">
        <v>1853</v>
      </c>
      <c r="C1168" s="15" t="s">
        <v>795</v>
      </c>
      <c r="D1168" s="15" t="s">
        <v>369</v>
      </c>
      <c r="E1168" s="15">
        <v>0.21</v>
      </c>
      <c r="F1168" s="131">
        <v>9466.5810823862703</v>
      </c>
      <c r="G1168" s="17" t="e">
        <f t="shared" si="18"/>
        <v>#VALUE!</v>
      </c>
      <c r="H1168" s="141">
        <v>664</v>
      </c>
      <c r="I1168" s="141">
        <v>150</v>
      </c>
      <c r="J1168" s="149">
        <v>0</v>
      </c>
      <c r="K1168" s="150">
        <v>50</v>
      </c>
    </row>
    <row r="1169" spans="1:11" ht="30" customHeight="1">
      <c r="A1169" s="30">
        <v>40059</v>
      </c>
      <c r="B1169" s="16" t="s">
        <v>1853</v>
      </c>
      <c r="C1169" s="15" t="s">
        <v>829</v>
      </c>
      <c r="D1169" s="15" t="s">
        <v>369</v>
      </c>
      <c r="E1169" s="15">
        <v>0.21</v>
      </c>
      <c r="F1169" s="131">
        <v>5721.503432590117</v>
      </c>
      <c r="G1169" s="17" t="e">
        <f t="shared" si="18"/>
        <v>#VALUE!</v>
      </c>
      <c r="H1169" s="141">
        <v>322</v>
      </c>
      <c r="I1169" s="141">
        <v>0</v>
      </c>
      <c r="J1169" s="149">
        <v>0</v>
      </c>
      <c r="K1169" s="150">
        <v>50</v>
      </c>
    </row>
    <row r="1170" spans="1:11" ht="30" customHeight="1">
      <c r="A1170" s="30">
        <v>40070</v>
      </c>
      <c r="B1170" s="16" t="s">
        <v>1853</v>
      </c>
      <c r="C1170" s="15" t="s">
        <v>796</v>
      </c>
      <c r="D1170" s="15" t="s">
        <v>369</v>
      </c>
      <c r="E1170" s="15">
        <v>0.21</v>
      </c>
      <c r="F1170" s="131">
        <v>4057.1674539458277</v>
      </c>
      <c r="G1170" s="17" t="e">
        <f t="shared" si="18"/>
        <v>#VALUE!</v>
      </c>
      <c r="H1170" s="141">
        <v>366</v>
      </c>
      <c r="I1170" s="141">
        <v>0</v>
      </c>
      <c r="J1170" s="149">
        <v>0</v>
      </c>
      <c r="K1170" s="150">
        <v>100</v>
      </c>
    </row>
    <row r="1171" spans="1:11" ht="30" customHeight="1">
      <c r="A1171" s="31">
        <v>40071</v>
      </c>
      <c r="B1171" s="16" t="s">
        <v>1853</v>
      </c>
      <c r="C1171" s="15" t="s">
        <v>796</v>
      </c>
      <c r="D1171" s="15" t="s">
        <v>1824</v>
      </c>
      <c r="E1171" s="15">
        <v>0.21</v>
      </c>
      <c r="F1171" s="131">
        <v>4687.9333960098029</v>
      </c>
      <c r="G1171" s="17" t="e">
        <f t="shared" si="18"/>
        <v>#VALUE!</v>
      </c>
      <c r="H1171" s="141">
        <v>463</v>
      </c>
      <c r="I1171" s="141">
        <v>0</v>
      </c>
      <c r="J1171" s="149">
        <v>0</v>
      </c>
      <c r="K1171" s="150">
        <v>100</v>
      </c>
    </row>
    <row r="1172" spans="1:11" ht="30" customHeight="1">
      <c r="A1172" s="30">
        <v>40073</v>
      </c>
      <c r="B1172" s="16" t="s">
        <v>1853</v>
      </c>
      <c r="C1172" s="15" t="s">
        <v>796</v>
      </c>
      <c r="D1172" s="15" t="s">
        <v>369</v>
      </c>
      <c r="E1172" s="15">
        <v>0.21</v>
      </c>
      <c r="F1172" s="131">
        <v>5201.3823543714516</v>
      </c>
      <c r="G1172" s="17" t="e">
        <f t="shared" si="18"/>
        <v>#VALUE!</v>
      </c>
      <c r="H1172" s="141">
        <v>1446</v>
      </c>
      <c r="I1172" s="141">
        <v>0</v>
      </c>
      <c r="J1172" s="149">
        <v>0</v>
      </c>
      <c r="K1172" s="150">
        <v>100</v>
      </c>
    </row>
    <row r="1173" spans="1:11" ht="30" customHeight="1">
      <c r="A1173" s="30">
        <v>40075</v>
      </c>
      <c r="B1173" s="16" t="s">
        <v>1853</v>
      </c>
      <c r="C1173" s="15" t="s">
        <v>795</v>
      </c>
      <c r="D1173" s="15" t="s">
        <v>2977</v>
      </c>
      <c r="E1173" s="15">
        <v>0.21</v>
      </c>
      <c r="F1173" s="131">
        <v>10402.850494835304</v>
      </c>
      <c r="G1173" s="17" t="e">
        <f t="shared" si="18"/>
        <v>#VALUE!</v>
      </c>
      <c r="H1173" s="141">
        <v>1070</v>
      </c>
      <c r="I1173" s="141">
        <v>0</v>
      </c>
      <c r="J1173" s="149">
        <v>0</v>
      </c>
      <c r="K1173" s="150">
        <v>50</v>
      </c>
    </row>
    <row r="1174" spans="1:11" ht="30" customHeight="1">
      <c r="A1174" s="30">
        <v>40077</v>
      </c>
      <c r="B1174" s="16" t="s">
        <v>1853</v>
      </c>
      <c r="C1174" s="15" t="s">
        <v>795</v>
      </c>
      <c r="D1174" s="15" t="s">
        <v>2978</v>
      </c>
      <c r="E1174" s="15">
        <v>0.21</v>
      </c>
      <c r="F1174" s="131">
        <v>12056.31794902973</v>
      </c>
      <c r="G1174" s="17" t="e">
        <f t="shared" si="18"/>
        <v>#VALUE!</v>
      </c>
      <c r="H1174" s="141">
        <v>1014</v>
      </c>
      <c r="I1174" s="141">
        <v>0</v>
      </c>
      <c r="J1174" s="149">
        <v>0</v>
      </c>
      <c r="K1174" s="150">
        <v>50</v>
      </c>
    </row>
    <row r="1175" spans="1:11" ht="30" customHeight="1">
      <c r="A1175" s="30">
        <v>40079</v>
      </c>
      <c r="B1175" s="16" t="s">
        <v>1853</v>
      </c>
      <c r="C1175" s="15" t="s">
        <v>829</v>
      </c>
      <c r="D1175" s="15" t="s">
        <v>17</v>
      </c>
      <c r="E1175" s="15">
        <v>0.21</v>
      </c>
      <c r="F1175" s="131">
        <v>4681.347062245186</v>
      </c>
      <c r="G1175" s="17" t="e">
        <f t="shared" si="18"/>
        <v>#VALUE!</v>
      </c>
      <c r="H1175" s="141">
        <v>234</v>
      </c>
      <c r="I1175" s="141">
        <v>0</v>
      </c>
      <c r="J1175" s="149">
        <v>0</v>
      </c>
      <c r="K1175" s="150">
        <v>50</v>
      </c>
    </row>
    <row r="1176" spans="1:11" ht="30" customHeight="1">
      <c r="A1176" s="30">
        <v>40081</v>
      </c>
      <c r="B1176" s="16" t="s">
        <v>1853</v>
      </c>
      <c r="C1176" s="15" t="s">
        <v>796</v>
      </c>
      <c r="D1176" s="15" t="s">
        <v>2977</v>
      </c>
      <c r="E1176" s="15">
        <v>0.21</v>
      </c>
      <c r="F1176" s="131">
        <v>6137.7375529128867</v>
      </c>
      <c r="G1176" s="17" t="e">
        <f t="shared" si="18"/>
        <v>#VALUE!</v>
      </c>
      <c r="H1176" s="141">
        <v>701</v>
      </c>
      <c r="I1176" s="141">
        <v>0</v>
      </c>
      <c r="J1176" s="149">
        <v>0</v>
      </c>
      <c r="K1176" s="150">
        <v>50</v>
      </c>
    </row>
    <row r="1177" spans="1:11" ht="30" customHeight="1">
      <c r="A1177" s="30">
        <v>40083</v>
      </c>
      <c r="B1177" s="16" t="s">
        <v>1853</v>
      </c>
      <c r="C1177" s="15" t="s">
        <v>796</v>
      </c>
      <c r="D1177" s="15" t="s">
        <v>2978</v>
      </c>
      <c r="E1177" s="15">
        <v>0.21</v>
      </c>
      <c r="F1177" s="131">
        <v>6969.9484352812315</v>
      </c>
      <c r="G1177" s="17" t="e">
        <f t="shared" si="18"/>
        <v>#VALUE!</v>
      </c>
      <c r="H1177" s="141">
        <v>899</v>
      </c>
      <c r="I1177" s="141">
        <v>0</v>
      </c>
      <c r="J1177" s="149">
        <v>0</v>
      </c>
      <c r="K1177" s="150">
        <v>50</v>
      </c>
    </row>
    <row r="1178" spans="1:11" ht="30" customHeight="1">
      <c r="A1178" s="30">
        <v>40090</v>
      </c>
      <c r="B1178" s="16" t="s">
        <v>1853</v>
      </c>
      <c r="C1178" s="15" t="s">
        <v>795</v>
      </c>
      <c r="D1178" s="15" t="s">
        <v>45</v>
      </c>
      <c r="E1178" s="15">
        <v>0.21</v>
      </c>
      <c r="F1178" s="131">
        <v>4265.1129419224153</v>
      </c>
      <c r="G1178" s="17" t="e">
        <f t="shared" si="18"/>
        <v>#VALUE!</v>
      </c>
      <c r="H1178" s="141">
        <v>263</v>
      </c>
      <c r="I1178" s="141">
        <v>0</v>
      </c>
      <c r="J1178" s="149">
        <v>25</v>
      </c>
      <c r="K1178" s="150">
        <v>100</v>
      </c>
    </row>
    <row r="1179" spans="1:11" ht="30" customHeight="1">
      <c r="A1179" s="30">
        <v>40091</v>
      </c>
      <c r="B1179" s="16" t="s">
        <v>1853</v>
      </c>
      <c r="C1179" s="15" t="s">
        <v>795</v>
      </c>
      <c r="D1179" s="15" t="s">
        <v>45</v>
      </c>
      <c r="E1179" s="15">
        <v>0.21</v>
      </c>
      <c r="F1179" s="131">
        <v>4361.6774000000005</v>
      </c>
      <c r="G1179" s="17" t="e">
        <f t="shared" si="18"/>
        <v>#VALUE!</v>
      </c>
      <c r="H1179" s="141">
        <v>322</v>
      </c>
      <c r="I1179" s="141">
        <v>0</v>
      </c>
      <c r="J1179" s="149">
        <v>25</v>
      </c>
      <c r="K1179" s="150">
        <v>100</v>
      </c>
    </row>
    <row r="1180" spans="1:11" ht="30" customHeight="1">
      <c r="A1180" s="30">
        <v>40092</v>
      </c>
      <c r="B1180" s="16" t="s">
        <v>1853</v>
      </c>
      <c r="C1180" s="15" t="s">
        <v>796</v>
      </c>
      <c r="D1180" s="15" t="s">
        <v>45</v>
      </c>
      <c r="E1180" s="15">
        <v>0.21</v>
      </c>
      <c r="F1180" s="131">
        <v>1248.2734305063168</v>
      </c>
      <c r="G1180" s="17" t="e">
        <f t="shared" si="18"/>
        <v>#VALUE!</v>
      </c>
      <c r="H1180" s="141">
        <v>2525</v>
      </c>
      <c r="I1180" s="141">
        <v>0</v>
      </c>
      <c r="J1180" s="149">
        <v>50</v>
      </c>
      <c r="K1180" s="150">
        <v>500</v>
      </c>
    </row>
    <row r="1181" spans="1:11" ht="30" customHeight="1">
      <c r="A1181" s="30">
        <v>40093</v>
      </c>
      <c r="B1181" s="16" t="s">
        <v>1853</v>
      </c>
      <c r="C1181" s="15" t="s">
        <v>796</v>
      </c>
      <c r="D1181" s="15" t="s">
        <v>45</v>
      </c>
      <c r="E1181" s="15">
        <v>0.21</v>
      </c>
      <c r="F1181" s="131">
        <v>1352.3319605870097</v>
      </c>
      <c r="G1181" s="17" t="e">
        <f t="shared" si="18"/>
        <v>#VALUE!</v>
      </c>
      <c r="H1181" s="141">
        <v>2692</v>
      </c>
      <c r="I1181" s="141">
        <v>0</v>
      </c>
      <c r="J1181" s="149">
        <v>50</v>
      </c>
      <c r="K1181" s="150">
        <v>500</v>
      </c>
    </row>
    <row r="1182" spans="1:11" ht="30" customHeight="1">
      <c r="A1182" s="30">
        <v>40058</v>
      </c>
      <c r="B1182" s="16" t="s">
        <v>1853</v>
      </c>
      <c r="C1182" s="15" t="s">
        <v>829</v>
      </c>
      <c r="D1182" s="15" t="s">
        <v>387</v>
      </c>
      <c r="E1182" s="15">
        <v>0.21</v>
      </c>
      <c r="F1182" s="131">
        <v>5124.9728000000005</v>
      </c>
      <c r="G1182" s="17" t="e">
        <f t="shared" si="18"/>
        <v>#VALUE!</v>
      </c>
      <c r="H1182" s="141">
        <v>439</v>
      </c>
      <c r="I1182" s="141">
        <v>0</v>
      </c>
      <c r="J1182" s="149">
        <v>25</v>
      </c>
      <c r="K1182" s="150">
        <v>100</v>
      </c>
    </row>
    <row r="1183" spans="1:11" ht="30" customHeight="1">
      <c r="A1183" s="30">
        <v>40068</v>
      </c>
      <c r="B1183" s="16" t="s">
        <v>1853</v>
      </c>
      <c r="C1183" s="15" t="s">
        <v>796</v>
      </c>
      <c r="D1183" s="15" t="s">
        <v>387</v>
      </c>
      <c r="E1183" s="15">
        <v>0.21</v>
      </c>
      <c r="F1183" s="131">
        <v>2726.0550000000003</v>
      </c>
      <c r="G1183" s="17" t="e">
        <f t="shared" si="18"/>
        <v>#VALUE!</v>
      </c>
      <c r="H1183" s="141">
        <v>728</v>
      </c>
      <c r="I1183" s="141">
        <v>0</v>
      </c>
      <c r="J1183" s="149">
        <v>50</v>
      </c>
      <c r="K1183" s="150">
        <v>200</v>
      </c>
    </row>
    <row r="1184" spans="1:11" ht="30" customHeight="1">
      <c r="A1184" s="30">
        <v>40110</v>
      </c>
      <c r="B1184" s="16" t="s">
        <v>1853</v>
      </c>
      <c r="C1184" s="15" t="s">
        <v>1951</v>
      </c>
      <c r="D1184" s="15" t="s">
        <v>797</v>
      </c>
      <c r="E1184" s="15">
        <v>0.21</v>
      </c>
      <c r="F1184" s="131">
        <v>12067.358045664394</v>
      </c>
      <c r="G1184" s="17" t="e">
        <f t="shared" si="18"/>
        <v>#VALUE!</v>
      </c>
      <c r="H1184" s="141">
        <v>287</v>
      </c>
      <c r="I1184" s="141">
        <v>0</v>
      </c>
      <c r="J1184" s="149">
        <v>0</v>
      </c>
      <c r="K1184" s="150">
        <v>24</v>
      </c>
    </row>
    <row r="1185" spans="1:11" ht="30" customHeight="1">
      <c r="A1185" s="30">
        <v>40111</v>
      </c>
      <c r="B1185" s="16" t="s">
        <v>1853</v>
      </c>
      <c r="C1185" s="15" t="s">
        <v>1951</v>
      </c>
      <c r="D1185" s="15" t="s">
        <v>597</v>
      </c>
      <c r="E1185" s="15">
        <v>0.21</v>
      </c>
      <c r="F1185" s="131">
        <v>16644.560791736494</v>
      </c>
      <c r="G1185" s="17" t="e">
        <f t="shared" si="18"/>
        <v>#VALUE!</v>
      </c>
      <c r="H1185" s="141">
        <v>342</v>
      </c>
      <c r="I1185" s="141">
        <v>48</v>
      </c>
      <c r="J1185" s="149">
        <v>0</v>
      </c>
      <c r="K1185" s="150">
        <v>24</v>
      </c>
    </row>
    <row r="1186" spans="1:11" ht="30" customHeight="1">
      <c r="A1186" s="30">
        <v>40112</v>
      </c>
      <c r="B1186" s="16" t="s">
        <v>1853</v>
      </c>
      <c r="C1186" s="15" t="s">
        <v>798</v>
      </c>
      <c r="D1186" s="15"/>
      <c r="E1186" s="15">
        <v>0.21</v>
      </c>
      <c r="F1186" s="131">
        <v>872.33760000000007</v>
      </c>
      <c r="G1186" s="17" t="e">
        <f t="shared" si="18"/>
        <v>#VALUE!</v>
      </c>
      <c r="H1186" s="141">
        <v>249</v>
      </c>
      <c r="I1186" s="141">
        <v>96</v>
      </c>
      <c r="J1186" s="149">
        <v>0</v>
      </c>
      <c r="K1186" s="150">
        <v>96</v>
      </c>
    </row>
    <row r="1187" spans="1:11" ht="30" customHeight="1">
      <c r="A1187" s="30">
        <v>40096</v>
      </c>
      <c r="B1187" s="16" t="s">
        <v>1853</v>
      </c>
      <c r="C1187" s="15" t="s">
        <v>1949</v>
      </c>
      <c r="D1187" s="15" t="s">
        <v>799</v>
      </c>
      <c r="E1187" s="15">
        <v>0.21</v>
      </c>
      <c r="F1187" s="131">
        <v>5929.6204927515028</v>
      </c>
      <c r="G1187" s="17" t="e">
        <f t="shared" si="18"/>
        <v>#VALUE!</v>
      </c>
      <c r="H1187" s="141">
        <v>363</v>
      </c>
      <c r="I1187" s="141">
        <v>50</v>
      </c>
      <c r="J1187" s="149">
        <v>0</v>
      </c>
      <c r="K1187" s="150">
        <v>50</v>
      </c>
    </row>
    <row r="1188" spans="1:11" ht="30" customHeight="1">
      <c r="A1188" s="31">
        <v>40088</v>
      </c>
      <c r="B1188" s="16" t="s">
        <v>1853</v>
      </c>
      <c r="C1188" s="15" t="s">
        <v>3229</v>
      </c>
      <c r="D1188" s="15" t="s">
        <v>2685</v>
      </c>
      <c r="E1188" s="15">
        <v>0.21</v>
      </c>
      <c r="F1188" s="131">
        <v>17412.324042322129</v>
      </c>
      <c r="G1188" s="17" t="e">
        <f t="shared" si="18"/>
        <v>#VALUE!</v>
      </c>
      <c r="H1188" s="141">
        <v>92</v>
      </c>
      <c r="I1188" s="141">
        <v>24</v>
      </c>
      <c r="J1188" s="149">
        <v>0</v>
      </c>
      <c r="K1188" s="150">
        <v>12</v>
      </c>
    </row>
    <row r="1189" spans="1:11" ht="30" customHeight="1">
      <c r="A1189" s="132">
        <v>40116</v>
      </c>
      <c r="B1189" s="133" t="s">
        <v>1853</v>
      </c>
      <c r="C1189" s="134" t="s">
        <v>4214</v>
      </c>
      <c r="D1189" s="134" t="s">
        <v>2703</v>
      </c>
      <c r="E1189" s="15">
        <v>0.21</v>
      </c>
      <c r="F1189" s="135">
        <v>0</v>
      </c>
      <c r="G1189" s="17" t="e">
        <f t="shared" si="18"/>
        <v>#VALUE!</v>
      </c>
      <c r="H1189" s="141">
        <v>180</v>
      </c>
      <c r="I1189" s="141">
        <v>0</v>
      </c>
      <c r="J1189" s="149" t="e">
        <v>#N/A</v>
      </c>
      <c r="K1189" s="150" t="e">
        <v>#N/A</v>
      </c>
    </row>
    <row r="1190" spans="1:11" ht="30" customHeight="1">
      <c r="A1190" s="132">
        <v>40119</v>
      </c>
      <c r="B1190" s="133" t="s">
        <v>1853</v>
      </c>
      <c r="C1190" s="134" t="s">
        <v>4214</v>
      </c>
      <c r="D1190" s="134" t="s">
        <v>4215</v>
      </c>
      <c r="E1190" s="15">
        <v>0.21</v>
      </c>
      <c r="F1190" s="135">
        <v>0</v>
      </c>
      <c r="G1190" s="17" t="e">
        <f t="shared" si="18"/>
        <v>#VALUE!</v>
      </c>
      <c r="H1190" s="141">
        <v>90</v>
      </c>
      <c r="I1190" s="141">
        <v>0</v>
      </c>
      <c r="J1190" s="149" t="e">
        <v>#N/A</v>
      </c>
      <c r="K1190" s="150" t="e">
        <v>#N/A</v>
      </c>
    </row>
    <row r="1191" spans="1:11" ht="30" customHeight="1">
      <c r="A1191" s="30">
        <v>40098</v>
      </c>
      <c r="B1191" s="16" t="s">
        <v>1853</v>
      </c>
      <c r="C1191" s="15" t="s">
        <v>1950</v>
      </c>
      <c r="D1191" s="15" t="s">
        <v>800</v>
      </c>
      <c r="E1191" s="15">
        <v>0.21</v>
      </c>
      <c r="F1191" s="131">
        <v>7110.1362263508645</v>
      </c>
      <c r="G1191" s="17" t="e">
        <f t="shared" si="18"/>
        <v>#VALUE!</v>
      </c>
      <c r="H1191" s="141">
        <v>968</v>
      </c>
      <c r="I1191" s="141">
        <v>80</v>
      </c>
      <c r="J1191" s="149">
        <v>0</v>
      </c>
      <c r="K1191" s="150">
        <v>40</v>
      </c>
    </row>
    <row r="1192" spans="1:11" ht="30" customHeight="1">
      <c r="A1192" s="30">
        <v>40099</v>
      </c>
      <c r="B1192" s="16" t="s">
        <v>1853</v>
      </c>
      <c r="C1192" s="15" t="s">
        <v>1950</v>
      </c>
      <c r="D1192" s="15" t="s">
        <v>801</v>
      </c>
      <c r="E1192" s="15">
        <v>0.21</v>
      </c>
      <c r="F1192" s="131">
        <v>12171.330789652682</v>
      </c>
      <c r="G1192" s="17" t="e">
        <f t="shared" si="18"/>
        <v>#VALUE!</v>
      </c>
      <c r="H1192" s="141">
        <v>396</v>
      </c>
      <c r="I1192" s="141">
        <v>20</v>
      </c>
      <c r="J1192" s="149">
        <v>0</v>
      </c>
      <c r="K1192" s="150">
        <v>20</v>
      </c>
    </row>
    <row r="1193" spans="1:11" ht="30" customHeight="1">
      <c r="A1193" s="30">
        <v>40101</v>
      </c>
      <c r="B1193" s="16" t="s">
        <v>1853</v>
      </c>
      <c r="C1193" s="15" t="s">
        <v>802</v>
      </c>
      <c r="D1193" s="15" t="s">
        <v>803</v>
      </c>
      <c r="E1193" s="15">
        <v>0.21</v>
      </c>
      <c r="F1193" s="131">
        <v>10510.636160692582</v>
      </c>
      <c r="G1193" s="17" t="e">
        <f t="shared" si="18"/>
        <v>#VALUE!</v>
      </c>
      <c r="H1193" s="141">
        <v>550</v>
      </c>
      <c r="I1193" s="141">
        <v>40</v>
      </c>
      <c r="J1193" s="149">
        <v>0</v>
      </c>
      <c r="K1193" s="150">
        <v>40</v>
      </c>
    </row>
    <row r="1194" spans="1:11" ht="30" customHeight="1">
      <c r="A1194" s="30">
        <v>40102</v>
      </c>
      <c r="B1194" s="16" t="s">
        <v>1853</v>
      </c>
      <c r="C1194" s="15" t="s">
        <v>802</v>
      </c>
      <c r="D1194" s="15" t="s">
        <v>801</v>
      </c>
      <c r="E1194" s="15">
        <v>0.21</v>
      </c>
      <c r="F1194" s="131">
        <v>14323.317905257545</v>
      </c>
      <c r="G1194" s="17" t="e">
        <f t="shared" si="18"/>
        <v>#VALUE!</v>
      </c>
      <c r="H1194" s="141">
        <v>367</v>
      </c>
      <c r="I1194" s="141">
        <v>0</v>
      </c>
      <c r="J1194" s="149">
        <v>0</v>
      </c>
      <c r="K1194" s="150">
        <v>20</v>
      </c>
    </row>
    <row r="1195" spans="1:11" ht="30" customHeight="1">
      <c r="A1195" s="31">
        <v>40104</v>
      </c>
      <c r="B1195" s="16" t="s">
        <v>1853</v>
      </c>
      <c r="C1195" s="15" t="s">
        <v>2686</v>
      </c>
      <c r="D1195" s="15" t="s">
        <v>2687</v>
      </c>
      <c r="E1195" s="15">
        <v>0.21</v>
      </c>
      <c r="F1195" s="131">
        <v>33967.425977945306</v>
      </c>
      <c r="G1195" s="17" t="e">
        <f t="shared" si="18"/>
        <v>#VALUE!</v>
      </c>
      <c r="H1195" s="141">
        <v>35</v>
      </c>
      <c r="I1195" s="141">
        <v>0</v>
      </c>
      <c r="J1195" s="149">
        <v>0</v>
      </c>
      <c r="K1195" s="150">
        <v>12</v>
      </c>
    </row>
    <row r="1196" spans="1:11" ht="30" customHeight="1">
      <c r="A1196" s="31">
        <v>40105</v>
      </c>
      <c r="B1196" s="16" t="s">
        <v>1853</v>
      </c>
      <c r="C1196" s="15" t="s">
        <v>802</v>
      </c>
      <c r="D1196" s="15" t="s">
        <v>803</v>
      </c>
      <c r="E1196" s="15">
        <v>0.21</v>
      </c>
      <c r="F1196" s="131">
        <v>10215.516248936852</v>
      </c>
      <c r="G1196" s="17" t="e">
        <f t="shared" si="18"/>
        <v>#VALUE!</v>
      </c>
      <c r="H1196" s="141">
        <v>142</v>
      </c>
      <c r="I1196" s="141">
        <v>0</v>
      </c>
      <c r="J1196" s="149" t="e">
        <v>#N/A</v>
      </c>
      <c r="K1196" s="150" t="e">
        <v>#N/A</v>
      </c>
    </row>
    <row r="1197" spans="1:11" ht="30" customHeight="1">
      <c r="A1197" s="31">
        <v>40106</v>
      </c>
      <c r="B1197" s="16" t="s">
        <v>1853</v>
      </c>
      <c r="C1197" s="15" t="s">
        <v>802</v>
      </c>
      <c r="D1197" s="15" t="s">
        <v>801</v>
      </c>
      <c r="E1197" s="15">
        <v>0.21</v>
      </c>
      <c r="F1197" s="131">
        <v>12625.918959360159</v>
      </c>
      <c r="G1197" s="17" t="e">
        <f t="shared" si="18"/>
        <v>#VALUE!</v>
      </c>
      <c r="H1197" s="141">
        <v>51</v>
      </c>
      <c r="I1197" s="141">
        <v>20</v>
      </c>
      <c r="J1197" s="149" t="e">
        <v>#N/A</v>
      </c>
      <c r="K1197" s="150" t="e">
        <v>#N/A</v>
      </c>
    </row>
    <row r="1198" spans="1:11" ht="30" customHeight="1">
      <c r="A1198" s="30">
        <v>41008</v>
      </c>
      <c r="B1198" s="16" t="s">
        <v>1853</v>
      </c>
      <c r="C1198" s="15" t="s">
        <v>804</v>
      </c>
      <c r="D1198" s="15" t="s">
        <v>805</v>
      </c>
      <c r="E1198" s="15">
        <v>0.21</v>
      </c>
      <c r="F1198" s="131">
        <v>6285.7726059043916</v>
      </c>
      <c r="G1198" s="17" t="e">
        <f t="shared" si="18"/>
        <v>#VALUE!</v>
      </c>
      <c r="H1198" s="141">
        <v>359</v>
      </c>
      <c r="I1198" s="141">
        <v>0</v>
      </c>
      <c r="J1198" s="149">
        <v>12</v>
      </c>
      <c r="K1198" s="150">
        <v>72</v>
      </c>
    </row>
    <row r="1199" spans="1:11" ht="30" customHeight="1">
      <c r="A1199" s="30">
        <v>41000</v>
      </c>
      <c r="B1199" s="16" t="s">
        <v>1853</v>
      </c>
      <c r="C1199" s="15" t="s">
        <v>804</v>
      </c>
      <c r="D1199" s="15" t="s">
        <v>47</v>
      </c>
      <c r="E1199" s="15">
        <v>0.21</v>
      </c>
      <c r="F1199" s="131">
        <v>6697.9544161276272</v>
      </c>
      <c r="G1199" s="17" t="e">
        <f t="shared" si="18"/>
        <v>#VALUE!</v>
      </c>
      <c r="H1199" s="141">
        <v>463</v>
      </c>
      <c r="I1199" s="141">
        <v>0</v>
      </c>
      <c r="J1199" s="149">
        <v>12</v>
      </c>
      <c r="K1199" s="150">
        <v>72</v>
      </c>
    </row>
    <row r="1200" spans="1:11" ht="30" customHeight="1">
      <c r="A1200" s="30">
        <v>41001</v>
      </c>
      <c r="B1200" s="16" t="s">
        <v>1853</v>
      </c>
      <c r="C1200" s="15" t="s">
        <v>804</v>
      </c>
      <c r="D1200" s="15" t="s">
        <v>806</v>
      </c>
      <c r="E1200" s="15">
        <v>0.21</v>
      </c>
      <c r="F1200" s="131">
        <v>8964.954372355438</v>
      </c>
      <c r="G1200" s="17" t="e">
        <f t="shared" si="18"/>
        <v>#VALUE!</v>
      </c>
      <c r="H1200" s="141">
        <v>961</v>
      </c>
      <c r="I1200" s="141">
        <v>96</v>
      </c>
      <c r="J1200" s="149">
        <v>12</v>
      </c>
      <c r="K1200" s="150">
        <v>48</v>
      </c>
    </row>
    <row r="1201" spans="1:11" ht="30" customHeight="1">
      <c r="A1201" s="30">
        <v>41002</v>
      </c>
      <c r="B1201" s="16" t="s">
        <v>1853</v>
      </c>
      <c r="C1201" s="15" t="s">
        <v>804</v>
      </c>
      <c r="D1201" s="15" t="s">
        <v>12</v>
      </c>
      <c r="E1201" s="15">
        <v>0.21</v>
      </c>
      <c r="F1201" s="131">
        <v>9583.2270876902967</v>
      </c>
      <c r="G1201" s="17" t="e">
        <f t="shared" si="18"/>
        <v>#VALUE!</v>
      </c>
      <c r="H1201" s="141">
        <v>490</v>
      </c>
      <c r="I1201" s="141">
        <v>0</v>
      </c>
      <c r="J1201" s="149">
        <v>12</v>
      </c>
      <c r="K1201" s="150">
        <v>48</v>
      </c>
    </row>
    <row r="1202" spans="1:11" ht="30" customHeight="1">
      <c r="A1202" s="30">
        <v>41050</v>
      </c>
      <c r="B1202" s="16" t="s">
        <v>1853</v>
      </c>
      <c r="C1202" s="15" t="s">
        <v>804</v>
      </c>
      <c r="D1202" s="15" t="s">
        <v>805</v>
      </c>
      <c r="E1202" s="15">
        <v>0.21</v>
      </c>
      <c r="F1202" s="131">
        <v>7316.2271314624859</v>
      </c>
      <c r="G1202" s="17" t="e">
        <f t="shared" si="18"/>
        <v>#VALUE!</v>
      </c>
      <c r="H1202" s="141">
        <v>120</v>
      </c>
      <c r="I1202" s="141">
        <v>0</v>
      </c>
      <c r="J1202" s="149">
        <v>12</v>
      </c>
      <c r="K1202" s="150">
        <v>72</v>
      </c>
    </row>
    <row r="1203" spans="1:11" ht="30" customHeight="1">
      <c r="A1203" s="30">
        <v>41051</v>
      </c>
      <c r="B1203" s="16" t="s">
        <v>1853</v>
      </c>
      <c r="C1203" s="15" t="s">
        <v>804</v>
      </c>
      <c r="D1203" s="15" t="s">
        <v>47</v>
      </c>
      <c r="E1203" s="15">
        <v>0.21</v>
      </c>
      <c r="F1203" s="131">
        <v>7934.4998467973464</v>
      </c>
      <c r="G1203" s="17" t="e">
        <f t="shared" si="18"/>
        <v>#VALUE!</v>
      </c>
      <c r="H1203" s="141">
        <v>230</v>
      </c>
      <c r="I1203" s="141">
        <v>0</v>
      </c>
      <c r="J1203" s="149">
        <v>12</v>
      </c>
      <c r="K1203" s="150">
        <v>72</v>
      </c>
    </row>
    <row r="1204" spans="1:11" ht="30" customHeight="1">
      <c r="A1204" s="30">
        <v>41052</v>
      </c>
      <c r="B1204" s="16" t="s">
        <v>1853</v>
      </c>
      <c r="C1204" s="15" t="s">
        <v>804</v>
      </c>
      <c r="D1204" s="15" t="s">
        <v>806</v>
      </c>
      <c r="E1204" s="15">
        <v>0.21</v>
      </c>
      <c r="F1204" s="131">
        <v>9789.3179928019181</v>
      </c>
      <c r="G1204" s="17" t="e">
        <f t="shared" si="18"/>
        <v>#VALUE!</v>
      </c>
      <c r="H1204" s="141">
        <v>590</v>
      </c>
      <c r="I1204" s="141">
        <v>48</v>
      </c>
      <c r="J1204" s="149">
        <v>12</v>
      </c>
      <c r="K1204" s="150">
        <v>48</v>
      </c>
    </row>
    <row r="1205" spans="1:11" ht="30" customHeight="1">
      <c r="A1205" s="30">
        <v>41053</v>
      </c>
      <c r="B1205" s="16" t="s">
        <v>1853</v>
      </c>
      <c r="C1205" s="15" t="s">
        <v>804</v>
      </c>
      <c r="D1205" s="15" t="s">
        <v>12</v>
      </c>
      <c r="E1205" s="15">
        <v>0.21</v>
      </c>
      <c r="F1205" s="131">
        <v>10506.909024915994</v>
      </c>
      <c r="G1205" s="17" t="e">
        <f t="shared" si="18"/>
        <v>#VALUE!</v>
      </c>
      <c r="H1205" s="141">
        <v>305</v>
      </c>
      <c r="I1205" s="141">
        <v>0</v>
      </c>
      <c r="J1205" s="149">
        <v>12</v>
      </c>
      <c r="K1205" s="150">
        <v>48</v>
      </c>
    </row>
    <row r="1206" spans="1:11" ht="30" customHeight="1">
      <c r="A1206" s="31">
        <v>41061</v>
      </c>
      <c r="B1206" s="16" t="s">
        <v>1853</v>
      </c>
      <c r="C1206" s="15" t="s">
        <v>804</v>
      </c>
      <c r="D1206" s="15" t="s">
        <v>10</v>
      </c>
      <c r="E1206" s="15">
        <v>0.21</v>
      </c>
      <c r="F1206" s="131">
        <v>8618.4022992773262</v>
      </c>
      <c r="G1206" s="17" t="e">
        <f t="shared" si="18"/>
        <v>#VALUE!</v>
      </c>
      <c r="H1206" s="141">
        <v>216</v>
      </c>
      <c r="I1206" s="141">
        <v>0</v>
      </c>
      <c r="J1206" s="149">
        <v>12</v>
      </c>
      <c r="K1206" s="150">
        <v>72</v>
      </c>
    </row>
    <row r="1207" spans="1:11" ht="30" customHeight="1">
      <c r="A1207" s="31">
        <v>41062</v>
      </c>
      <c r="B1207" s="16" t="s">
        <v>1853</v>
      </c>
      <c r="C1207" s="15" t="s">
        <v>804</v>
      </c>
      <c r="D1207" s="15" t="s">
        <v>11</v>
      </c>
      <c r="E1207" s="15">
        <v>0.21</v>
      </c>
      <c r="F1207" s="131">
        <v>9953.6477259259227</v>
      </c>
      <c r="G1207" s="17" t="e">
        <f t="shared" si="18"/>
        <v>#VALUE!</v>
      </c>
      <c r="H1207" s="141">
        <v>118</v>
      </c>
      <c r="I1207" s="141">
        <v>0</v>
      </c>
      <c r="J1207" s="149">
        <v>12</v>
      </c>
      <c r="K1207" s="150">
        <v>48</v>
      </c>
    </row>
    <row r="1208" spans="1:11" ht="30" customHeight="1">
      <c r="A1208" s="31">
        <v>41063</v>
      </c>
      <c r="B1208" s="16" t="s">
        <v>1853</v>
      </c>
      <c r="C1208" s="15" t="s">
        <v>804</v>
      </c>
      <c r="D1208" s="15" t="s">
        <v>12</v>
      </c>
      <c r="E1208" s="15">
        <v>0.21</v>
      </c>
      <c r="F1208" s="131">
        <v>10560.577465311653</v>
      </c>
      <c r="G1208" s="17" t="e">
        <f t="shared" si="18"/>
        <v>#VALUE!</v>
      </c>
      <c r="H1208" s="141">
        <v>139</v>
      </c>
      <c r="I1208" s="141">
        <v>0</v>
      </c>
      <c r="J1208" s="149">
        <v>12</v>
      </c>
      <c r="K1208" s="150">
        <v>48</v>
      </c>
    </row>
    <row r="1209" spans="1:11" ht="30" customHeight="1">
      <c r="A1209" s="31">
        <v>41064</v>
      </c>
      <c r="B1209" s="16" t="s">
        <v>1853</v>
      </c>
      <c r="C1209" s="15" t="s">
        <v>804</v>
      </c>
      <c r="D1209" s="15" t="s">
        <v>44</v>
      </c>
      <c r="E1209" s="15">
        <v>0.21</v>
      </c>
      <c r="F1209" s="131">
        <v>11774.436944083105</v>
      </c>
      <c r="G1209" s="17" t="e">
        <f t="shared" si="18"/>
        <v>#VALUE!</v>
      </c>
      <c r="H1209" s="141">
        <v>142</v>
      </c>
      <c r="I1209" s="141">
        <v>0</v>
      </c>
      <c r="J1209" s="149">
        <v>12</v>
      </c>
      <c r="K1209" s="150">
        <v>48</v>
      </c>
    </row>
    <row r="1210" spans="1:11" ht="30" customHeight="1">
      <c r="A1210" s="30">
        <v>41003</v>
      </c>
      <c r="B1210" s="16" t="s">
        <v>1853</v>
      </c>
      <c r="C1210" s="15" t="s">
        <v>804</v>
      </c>
      <c r="D1210" s="15" t="s">
        <v>47</v>
      </c>
      <c r="E1210" s="15">
        <v>0.21</v>
      </c>
      <c r="F1210" s="131">
        <v>8322.2803958682471</v>
      </c>
      <c r="G1210" s="17" t="e">
        <f t="shared" si="18"/>
        <v>#VALUE!</v>
      </c>
      <c r="H1210" s="141">
        <v>325</v>
      </c>
      <c r="I1210" s="141">
        <v>0</v>
      </c>
      <c r="J1210" s="149">
        <v>12</v>
      </c>
      <c r="K1210" s="150">
        <v>72</v>
      </c>
    </row>
    <row r="1211" spans="1:11" ht="30" customHeight="1">
      <c r="A1211" s="30">
        <v>41004</v>
      </c>
      <c r="B1211" s="16" t="s">
        <v>1853</v>
      </c>
      <c r="C1211" s="15" t="s">
        <v>804</v>
      </c>
      <c r="D1211" s="15" t="s">
        <v>806</v>
      </c>
      <c r="E1211" s="15">
        <v>0.21</v>
      </c>
      <c r="F1211" s="131">
        <v>9480.181635134486</v>
      </c>
      <c r="G1211" s="17" t="e">
        <f t="shared" si="18"/>
        <v>#VALUE!</v>
      </c>
      <c r="H1211" s="141">
        <v>144</v>
      </c>
      <c r="I1211" s="141">
        <v>0</v>
      </c>
      <c r="J1211" s="149">
        <v>12</v>
      </c>
      <c r="K1211" s="150">
        <v>48</v>
      </c>
    </row>
    <row r="1212" spans="1:11" ht="30" customHeight="1">
      <c r="A1212" s="30">
        <v>41005</v>
      </c>
      <c r="B1212" s="16" t="s">
        <v>1853</v>
      </c>
      <c r="C1212" s="15" t="s">
        <v>804</v>
      </c>
      <c r="D1212" s="15" t="s">
        <v>12</v>
      </c>
      <c r="E1212" s="15">
        <v>0.21</v>
      </c>
      <c r="F1212" s="131">
        <v>9892.363445357727</v>
      </c>
      <c r="G1212" s="17" t="e">
        <f t="shared" si="18"/>
        <v>#VALUE!</v>
      </c>
      <c r="H1212" s="141">
        <v>224</v>
      </c>
      <c r="I1212" s="141">
        <v>0</v>
      </c>
      <c r="J1212" s="149">
        <v>12</v>
      </c>
      <c r="K1212" s="150">
        <v>48</v>
      </c>
    </row>
    <row r="1213" spans="1:11" ht="30" customHeight="1">
      <c r="A1213" s="30">
        <v>41055</v>
      </c>
      <c r="B1213" s="16" t="s">
        <v>1853</v>
      </c>
      <c r="C1213" s="15" t="s">
        <v>804</v>
      </c>
      <c r="D1213" s="15" t="s">
        <v>807</v>
      </c>
      <c r="E1213" s="15">
        <v>0.21</v>
      </c>
      <c r="F1213" s="131">
        <v>8758.8634672438184</v>
      </c>
      <c r="G1213" s="17" t="e">
        <f t="shared" si="18"/>
        <v>#VALUE!</v>
      </c>
      <c r="H1213" s="141">
        <v>207</v>
      </c>
      <c r="I1213" s="141">
        <v>0</v>
      </c>
      <c r="J1213" s="149">
        <v>12</v>
      </c>
      <c r="K1213" s="150">
        <v>72</v>
      </c>
    </row>
    <row r="1214" spans="1:11" ht="30" customHeight="1">
      <c r="A1214" s="30">
        <v>41056</v>
      </c>
      <c r="B1214" s="16" t="s">
        <v>1853</v>
      </c>
      <c r="C1214" s="15" t="s">
        <v>804</v>
      </c>
      <c r="D1214" s="15" t="s">
        <v>808</v>
      </c>
      <c r="E1214" s="15">
        <v>0.21</v>
      </c>
      <c r="F1214" s="131">
        <v>9274.0907300228664</v>
      </c>
      <c r="G1214" s="17" t="e">
        <f t="shared" si="18"/>
        <v>#VALUE!</v>
      </c>
      <c r="H1214" s="141">
        <v>154</v>
      </c>
      <c r="I1214" s="141">
        <v>0</v>
      </c>
      <c r="J1214" s="149">
        <v>12</v>
      </c>
      <c r="K1214" s="150">
        <v>72</v>
      </c>
    </row>
    <row r="1215" spans="1:11" ht="30" customHeight="1">
      <c r="A1215" s="30">
        <v>41057</v>
      </c>
      <c r="B1215" s="16" t="s">
        <v>1853</v>
      </c>
      <c r="C1215" s="15" t="s">
        <v>804</v>
      </c>
      <c r="D1215" s="15" t="s">
        <v>809</v>
      </c>
      <c r="E1215" s="15">
        <v>0.21</v>
      </c>
      <c r="F1215" s="131">
        <v>10407.590708136775</v>
      </c>
      <c r="G1215" s="17" t="e">
        <f t="shared" si="18"/>
        <v>#VALUE!</v>
      </c>
      <c r="H1215" s="141">
        <v>59</v>
      </c>
      <c r="I1215" s="141">
        <v>0</v>
      </c>
      <c r="J1215" s="149">
        <v>12</v>
      </c>
      <c r="K1215" s="150">
        <v>48</v>
      </c>
    </row>
    <row r="1216" spans="1:11" ht="30" customHeight="1">
      <c r="A1216" s="30">
        <v>41058</v>
      </c>
      <c r="B1216" s="16" t="s">
        <v>1853</v>
      </c>
      <c r="C1216" s="15" t="s">
        <v>804</v>
      </c>
      <c r="D1216" s="15" t="s">
        <v>810</v>
      </c>
      <c r="E1216" s="15">
        <v>0.21</v>
      </c>
      <c r="F1216" s="131">
        <v>10922.817970915828</v>
      </c>
      <c r="G1216" s="17" t="e">
        <f t="shared" si="18"/>
        <v>#VALUE!</v>
      </c>
      <c r="H1216" s="141">
        <v>87</v>
      </c>
      <c r="I1216" s="141">
        <v>0</v>
      </c>
      <c r="J1216" s="149">
        <v>12</v>
      </c>
      <c r="K1216" s="150">
        <v>48</v>
      </c>
    </row>
    <row r="1217" spans="1:11" ht="30" customHeight="1">
      <c r="A1217" s="30">
        <v>41012</v>
      </c>
      <c r="B1217" s="16" t="s">
        <v>1853</v>
      </c>
      <c r="C1217" s="15" t="s">
        <v>811</v>
      </c>
      <c r="D1217" s="15" t="s">
        <v>812</v>
      </c>
      <c r="E1217" s="15">
        <v>0.21</v>
      </c>
      <c r="F1217" s="131">
        <v>17517.726934487637</v>
      </c>
      <c r="G1217" s="17" t="e">
        <f t="shared" si="18"/>
        <v>#VALUE!</v>
      </c>
      <c r="H1217" s="141">
        <v>815</v>
      </c>
      <c r="I1217" s="141">
        <v>0</v>
      </c>
      <c r="J1217" s="149">
        <v>12</v>
      </c>
      <c r="K1217" s="150">
        <v>48</v>
      </c>
    </row>
    <row r="1218" spans="1:11" ht="30" customHeight="1">
      <c r="A1218" s="30">
        <v>41013</v>
      </c>
      <c r="B1218" s="16" t="s">
        <v>1853</v>
      </c>
      <c r="C1218" s="15" t="s">
        <v>813</v>
      </c>
      <c r="D1218" s="15" t="s">
        <v>812</v>
      </c>
      <c r="E1218" s="15">
        <v>0.21</v>
      </c>
      <c r="F1218" s="131">
        <v>17723.817839599255</v>
      </c>
      <c r="G1218" s="17" t="e">
        <f t="shared" si="18"/>
        <v>#VALUE!</v>
      </c>
      <c r="H1218" s="141">
        <v>421</v>
      </c>
      <c r="I1218" s="141">
        <v>0</v>
      </c>
      <c r="J1218" s="149">
        <v>12</v>
      </c>
      <c r="K1218" s="150">
        <v>48</v>
      </c>
    </row>
    <row r="1219" spans="1:11" ht="30" customHeight="1">
      <c r="A1219" s="30">
        <v>41016</v>
      </c>
      <c r="B1219" s="16" t="s">
        <v>1853</v>
      </c>
      <c r="C1219" s="15" t="s">
        <v>1952</v>
      </c>
      <c r="D1219" s="15" t="s">
        <v>812</v>
      </c>
      <c r="E1219" s="15">
        <v>0.21</v>
      </c>
      <c r="F1219" s="131">
        <v>22257.817752054896</v>
      </c>
      <c r="G1219" s="17" t="e">
        <f t="shared" si="18"/>
        <v>#VALUE!</v>
      </c>
      <c r="H1219" s="141">
        <v>604</v>
      </c>
      <c r="I1219" s="141">
        <v>0</v>
      </c>
      <c r="J1219" s="149">
        <v>12</v>
      </c>
      <c r="K1219" s="150">
        <v>48</v>
      </c>
    </row>
    <row r="1220" spans="1:11" ht="30" customHeight="1">
      <c r="A1220" s="30">
        <v>41017</v>
      </c>
      <c r="B1220" s="16" t="s">
        <v>1853</v>
      </c>
      <c r="C1220" s="15" t="s">
        <v>1953</v>
      </c>
      <c r="D1220" s="15" t="s">
        <v>812</v>
      </c>
      <c r="E1220" s="15">
        <v>0.21</v>
      </c>
      <c r="F1220" s="131">
        <v>22360.863204610694</v>
      </c>
      <c r="G1220" s="17" t="e">
        <f t="shared" si="18"/>
        <v>#VALUE!</v>
      </c>
      <c r="H1220" s="141">
        <v>121</v>
      </c>
      <c r="I1220" s="141">
        <v>0</v>
      </c>
      <c r="J1220" s="149">
        <v>12</v>
      </c>
      <c r="K1220" s="150">
        <v>48</v>
      </c>
    </row>
    <row r="1221" spans="1:11" ht="30" customHeight="1">
      <c r="A1221" s="30">
        <v>41019</v>
      </c>
      <c r="B1221" s="16" t="s">
        <v>1853</v>
      </c>
      <c r="C1221" s="15" t="s">
        <v>1954</v>
      </c>
      <c r="D1221" s="15" t="s">
        <v>814</v>
      </c>
      <c r="E1221" s="15">
        <v>0.21</v>
      </c>
      <c r="F1221" s="131">
        <v>10098.454350469343</v>
      </c>
      <c r="G1221" s="17" t="e">
        <f t="shared" si="18"/>
        <v>#VALUE!</v>
      </c>
      <c r="H1221" s="141">
        <v>288</v>
      </c>
      <c r="I1221" s="141">
        <v>0</v>
      </c>
      <c r="J1221" s="149">
        <v>12</v>
      </c>
      <c r="K1221" s="150">
        <v>48</v>
      </c>
    </row>
    <row r="1222" spans="1:11" ht="30" customHeight="1">
      <c r="A1222" s="30">
        <v>41022</v>
      </c>
      <c r="B1222" s="16" t="s">
        <v>1853</v>
      </c>
      <c r="C1222" s="15" t="s">
        <v>1954</v>
      </c>
      <c r="D1222" s="15" t="s">
        <v>815</v>
      </c>
      <c r="E1222" s="15">
        <v>0.21</v>
      </c>
      <c r="F1222" s="131">
        <v>18754.272365157361</v>
      </c>
      <c r="G1222" s="17" t="e">
        <f t="shared" si="18"/>
        <v>#VALUE!</v>
      </c>
      <c r="H1222" s="141">
        <v>244</v>
      </c>
      <c r="I1222" s="141">
        <v>0</v>
      </c>
      <c r="J1222" s="149">
        <v>12</v>
      </c>
      <c r="K1222" s="150">
        <v>48</v>
      </c>
    </row>
    <row r="1223" spans="1:11" ht="30" customHeight="1">
      <c r="A1223" s="30">
        <v>41018</v>
      </c>
      <c r="B1223" s="16" t="s">
        <v>1853</v>
      </c>
      <c r="C1223" s="15" t="s">
        <v>1954</v>
      </c>
      <c r="D1223" s="15" t="s">
        <v>816</v>
      </c>
      <c r="E1223" s="15">
        <v>0.21</v>
      </c>
      <c r="F1223" s="131">
        <v>17991.931200000003</v>
      </c>
      <c r="G1223" s="17" t="e">
        <f t="shared" si="18"/>
        <v>#VALUE!</v>
      </c>
      <c r="H1223" s="141">
        <v>114</v>
      </c>
      <c r="I1223" s="141">
        <v>0</v>
      </c>
      <c r="J1223" s="149">
        <v>6</v>
      </c>
      <c r="K1223" s="150">
        <v>48</v>
      </c>
    </row>
    <row r="1224" spans="1:11" ht="30" customHeight="1">
      <c r="A1224" s="31">
        <v>41080</v>
      </c>
      <c r="B1224" s="16" t="s">
        <v>1853</v>
      </c>
      <c r="C1224" s="15" t="s">
        <v>2688</v>
      </c>
      <c r="D1224" s="15" t="s">
        <v>2689</v>
      </c>
      <c r="E1224" s="15">
        <v>0.21</v>
      </c>
      <c r="F1224" s="131">
        <v>38599.317937831474</v>
      </c>
      <c r="G1224" s="17" t="e">
        <f t="shared" si="18"/>
        <v>#VALUE!</v>
      </c>
      <c r="H1224" s="141">
        <v>26</v>
      </c>
      <c r="I1224" s="141">
        <v>0</v>
      </c>
      <c r="J1224" s="149">
        <v>0</v>
      </c>
      <c r="K1224" s="150">
        <v>10</v>
      </c>
    </row>
    <row r="1225" spans="1:11" ht="30" customHeight="1">
      <c r="A1225" s="31">
        <v>41081</v>
      </c>
      <c r="B1225" s="16" t="s">
        <v>1853</v>
      </c>
      <c r="C1225" s="15" t="s">
        <v>2688</v>
      </c>
      <c r="D1225" s="15" t="s">
        <v>2690</v>
      </c>
      <c r="E1225" s="15">
        <v>0.21</v>
      </c>
      <c r="F1225" s="131">
        <v>56281.687049016829</v>
      </c>
      <c r="G1225" s="17" t="e">
        <f t="shared" si="18"/>
        <v>#VALUE!</v>
      </c>
      <c r="H1225" s="141">
        <v>39</v>
      </c>
      <c r="I1225" s="141">
        <v>0</v>
      </c>
      <c r="J1225" s="149">
        <v>0</v>
      </c>
      <c r="K1225" s="150">
        <v>10</v>
      </c>
    </row>
    <row r="1226" spans="1:11" ht="30" customHeight="1">
      <c r="A1226" s="31">
        <v>41082</v>
      </c>
      <c r="B1226" s="16" t="s">
        <v>1853</v>
      </c>
      <c r="C1226" s="15" t="s">
        <v>2688</v>
      </c>
      <c r="D1226" s="15" t="s">
        <v>2691</v>
      </c>
      <c r="E1226" s="15">
        <v>0.21</v>
      </c>
      <c r="F1226" s="131">
        <v>69220.005910859778</v>
      </c>
      <c r="G1226" s="17" t="e">
        <f t="shared" si="18"/>
        <v>#VALUE!</v>
      </c>
      <c r="H1226" s="141">
        <v>24</v>
      </c>
      <c r="I1226" s="141">
        <v>0</v>
      </c>
      <c r="J1226" s="149">
        <v>0</v>
      </c>
      <c r="K1226" s="150">
        <v>10</v>
      </c>
    </row>
    <row r="1227" spans="1:11" ht="30" customHeight="1">
      <c r="A1227" s="31">
        <v>41083</v>
      </c>
      <c r="B1227" s="16" t="s">
        <v>1853</v>
      </c>
      <c r="C1227" s="15" t="s">
        <v>2688</v>
      </c>
      <c r="D1227" s="15" t="s">
        <v>2692</v>
      </c>
      <c r="E1227" s="15">
        <v>0.21</v>
      </c>
      <c r="F1227" s="131">
        <v>91107.328652144119</v>
      </c>
      <c r="G1227" s="17" t="e">
        <f t="shared" ref="G1227:G1291" si="19">(F1227*$G$6)</f>
        <v>#VALUE!</v>
      </c>
      <c r="H1227" s="141">
        <v>34</v>
      </c>
      <c r="I1227" s="141">
        <v>0</v>
      </c>
      <c r="J1227" s="149">
        <v>0</v>
      </c>
      <c r="K1227" s="150">
        <v>10</v>
      </c>
    </row>
    <row r="1228" spans="1:11" ht="30" customHeight="1">
      <c r="A1228" s="31">
        <v>41084</v>
      </c>
      <c r="B1228" s="16" t="s">
        <v>1853</v>
      </c>
      <c r="C1228" s="15" t="s">
        <v>2688</v>
      </c>
      <c r="D1228" s="15" t="s">
        <v>2693</v>
      </c>
      <c r="E1228" s="15">
        <v>0.21</v>
      </c>
      <c r="F1228" s="131">
        <v>108681.87843948082</v>
      </c>
      <c r="G1228" s="17" t="e">
        <f t="shared" si="19"/>
        <v>#VALUE!</v>
      </c>
      <c r="H1228" s="141">
        <v>39</v>
      </c>
      <c r="I1228" s="141">
        <v>0</v>
      </c>
      <c r="J1228" s="149">
        <v>0</v>
      </c>
      <c r="K1228" s="150">
        <v>10</v>
      </c>
    </row>
    <row r="1229" spans="1:11" ht="30" customHeight="1">
      <c r="A1229" s="30">
        <v>41030</v>
      </c>
      <c r="B1229" s="16" t="s">
        <v>1853</v>
      </c>
      <c r="C1229" s="15" t="s">
        <v>817</v>
      </c>
      <c r="D1229" s="15" t="s">
        <v>818</v>
      </c>
      <c r="E1229" s="15">
        <v>0.21</v>
      </c>
      <c r="F1229" s="131">
        <v>6594.9089635718192</v>
      </c>
      <c r="G1229" s="17" t="e">
        <f t="shared" si="19"/>
        <v>#VALUE!</v>
      </c>
      <c r="H1229" s="141">
        <v>3272</v>
      </c>
      <c r="I1229" s="141">
        <v>0</v>
      </c>
      <c r="J1229" s="149">
        <v>12</v>
      </c>
      <c r="K1229" s="150">
        <v>240</v>
      </c>
    </row>
    <row r="1230" spans="1:11" ht="30" customHeight="1">
      <c r="A1230" s="30">
        <v>41031</v>
      </c>
      <c r="B1230" s="16" t="s">
        <v>1853</v>
      </c>
      <c r="C1230" s="15" t="s">
        <v>819</v>
      </c>
      <c r="D1230" s="15" t="s">
        <v>820</v>
      </c>
      <c r="E1230" s="15">
        <v>0.21</v>
      </c>
      <c r="F1230" s="131">
        <v>8552.7725621322043</v>
      </c>
      <c r="G1230" s="17" t="e">
        <f t="shared" si="19"/>
        <v>#VALUE!</v>
      </c>
      <c r="H1230" s="141">
        <v>1093</v>
      </c>
      <c r="I1230" s="141">
        <v>0</v>
      </c>
      <c r="J1230" s="149">
        <v>12</v>
      </c>
      <c r="K1230" s="150">
        <v>240</v>
      </c>
    </row>
    <row r="1231" spans="1:11" ht="30" customHeight="1">
      <c r="A1231" s="31">
        <v>41029</v>
      </c>
      <c r="B1231" s="16" t="s">
        <v>1853</v>
      </c>
      <c r="C1231" s="15" t="s">
        <v>817</v>
      </c>
      <c r="D1231" s="15" t="s">
        <v>2694</v>
      </c>
      <c r="E1231" s="15">
        <v>0.21</v>
      </c>
      <c r="F1231" s="131">
        <v>10938.511257356207</v>
      </c>
      <c r="G1231" s="17" t="e">
        <f t="shared" si="19"/>
        <v>#VALUE!</v>
      </c>
      <c r="H1231" s="141">
        <v>308</v>
      </c>
      <c r="I1231" s="141">
        <v>120</v>
      </c>
      <c r="J1231" s="149">
        <v>6</v>
      </c>
      <c r="K1231" s="150">
        <v>120</v>
      </c>
    </row>
    <row r="1232" spans="1:11" ht="30" customHeight="1">
      <c r="A1232" s="30">
        <v>41033</v>
      </c>
      <c r="B1232" s="16" t="s">
        <v>1853</v>
      </c>
      <c r="C1232" s="15" t="s">
        <v>1955</v>
      </c>
      <c r="D1232" s="15" t="s">
        <v>832</v>
      </c>
      <c r="E1232" s="15">
        <v>0.21</v>
      </c>
      <c r="F1232" s="131">
        <v>70586.135000729628</v>
      </c>
      <c r="G1232" s="17" t="e">
        <f t="shared" si="19"/>
        <v>#VALUE!</v>
      </c>
      <c r="H1232" s="141">
        <v>105</v>
      </c>
      <c r="I1232" s="141">
        <v>0</v>
      </c>
      <c r="J1232" s="149">
        <v>0</v>
      </c>
      <c r="K1232" s="150">
        <v>10</v>
      </c>
    </row>
    <row r="1233" spans="1:11" ht="30" customHeight="1">
      <c r="A1233" s="30">
        <v>41032</v>
      </c>
      <c r="B1233" s="16" t="s">
        <v>1853</v>
      </c>
      <c r="C1233" s="15" t="s">
        <v>1955</v>
      </c>
      <c r="D1233" s="15" t="s">
        <v>830</v>
      </c>
      <c r="E1233" s="15">
        <v>0.21</v>
      </c>
      <c r="F1233" s="131">
        <v>140760.08819123599</v>
      </c>
      <c r="G1233" s="17" t="e">
        <f t="shared" si="19"/>
        <v>#VALUE!</v>
      </c>
      <c r="H1233" s="141">
        <v>84</v>
      </c>
      <c r="I1233" s="141">
        <v>20</v>
      </c>
      <c r="J1233" s="149">
        <v>0</v>
      </c>
      <c r="K1233" s="150">
        <v>4</v>
      </c>
    </row>
    <row r="1234" spans="1:11" ht="30" customHeight="1">
      <c r="A1234" s="31">
        <v>41036</v>
      </c>
      <c r="B1234" s="16" t="s">
        <v>1853</v>
      </c>
      <c r="C1234" s="15" t="s">
        <v>3230</v>
      </c>
      <c r="D1234" s="15" t="s">
        <v>2695</v>
      </c>
      <c r="E1234" s="15">
        <v>0.21</v>
      </c>
      <c r="F1234" s="131">
        <v>638786.73393724044</v>
      </c>
      <c r="G1234" s="17" t="e">
        <f t="shared" si="19"/>
        <v>#VALUE!</v>
      </c>
      <c r="H1234" s="141">
        <v>26</v>
      </c>
      <c r="I1234" s="141">
        <v>0</v>
      </c>
      <c r="J1234" s="149">
        <v>0</v>
      </c>
      <c r="K1234" s="150">
        <v>2</v>
      </c>
    </row>
    <row r="1235" spans="1:11" ht="30" customHeight="1">
      <c r="A1235" s="31">
        <v>41046</v>
      </c>
      <c r="B1235" s="16" t="s">
        <v>1853</v>
      </c>
      <c r="C1235" s="15" t="s">
        <v>3577</v>
      </c>
      <c r="D1235" s="15" t="s">
        <v>3578</v>
      </c>
      <c r="E1235" s="15">
        <v>0.21</v>
      </c>
      <c r="F1235" s="131">
        <v>28430.228200000001</v>
      </c>
      <c r="G1235" s="17" t="e">
        <f t="shared" si="19"/>
        <v>#VALUE!</v>
      </c>
      <c r="H1235" s="141">
        <v>81</v>
      </c>
      <c r="I1235" s="141">
        <v>0</v>
      </c>
      <c r="J1235" s="149" t="e">
        <v>#N/A</v>
      </c>
      <c r="K1235" s="150" t="e">
        <v>#N/A</v>
      </c>
    </row>
    <row r="1236" spans="1:11" ht="30" customHeight="1">
      <c r="A1236" s="132">
        <v>41105</v>
      </c>
      <c r="B1236" s="133" t="s">
        <v>1853</v>
      </c>
      <c r="C1236" s="134" t="s">
        <v>4216</v>
      </c>
      <c r="D1236" s="134" t="s">
        <v>836</v>
      </c>
      <c r="E1236" s="15">
        <v>0.21</v>
      </c>
      <c r="F1236" s="135">
        <v>0</v>
      </c>
      <c r="G1236" s="17" t="e">
        <f t="shared" si="19"/>
        <v>#VALUE!</v>
      </c>
      <c r="H1236" s="141">
        <v>160</v>
      </c>
      <c r="I1236" s="141">
        <v>40</v>
      </c>
      <c r="J1236" s="149" t="e">
        <v>#N/A</v>
      </c>
      <c r="K1236" s="150" t="e">
        <v>#N/A</v>
      </c>
    </row>
    <row r="1237" spans="1:11" ht="30" customHeight="1">
      <c r="A1237" s="31">
        <v>41047</v>
      </c>
      <c r="B1237" s="16" t="s">
        <v>1853</v>
      </c>
      <c r="C1237" s="15" t="s">
        <v>3231</v>
      </c>
      <c r="D1237" s="15" t="s">
        <v>4217</v>
      </c>
      <c r="E1237" s="15">
        <v>0.21</v>
      </c>
      <c r="F1237" s="131">
        <v>10603.658871926935</v>
      </c>
      <c r="G1237" s="17" t="e">
        <f t="shared" si="19"/>
        <v>#VALUE!</v>
      </c>
      <c r="H1237" s="141">
        <v>241</v>
      </c>
      <c r="I1237" s="141">
        <v>0</v>
      </c>
      <c r="J1237" s="149">
        <v>10</v>
      </c>
      <c r="K1237" s="150">
        <v>60</v>
      </c>
    </row>
    <row r="1238" spans="1:11" ht="30" customHeight="1">
      <c r="A1238" s="31">
        <v>41090</v>
      </c>
      <c r="B1238" s="16" t="s">
        <v>1853</v>
      </c>
      <c r="C1238" s="15" t="s">
        <v>3579</v>
      </c>
      <c r="D1238" s="15" t="s">
        <v>3580</v>
      </c>
      <c r="E1238" s="15">
        <v>0.21</v>
      </c>
      <c r="F1238" s="131">
        <v>480198.52814573405</v>
      </c>
      <c r="G1238" s="17" t="e">
        <f t="shared" si="19"/>
        <v>#VALUE!</v>
      </c>
      <c r="H1238" s="141">
        <v>4</v>
      </c>
      <c r="I1238" s="141">
        <v>4</v>
      </c>
      <c r="J1238" s="149" t="e">
        <v>#N/A</v>
      </c>
      <c r="K1238" s="150" t="e">
        <v>#N/A</v>
      </c>
    </row>
    <row r="1239" spans="1:11" ht="30" customHeight="1">
      <c r="A1239" s="31">
        <v>41093</v>
      </c>
      <c r="B1239" s="16" t="s">
        <v>1853</v>
      </c>
      <c r="C1239" s="15" t="s">
        <v>3581</v>
      </c>
      <c r="D1239" s="15" t="s">
        <v>3582</v>
      </c>
      <c r="E1239" s="15">
        <v>0.21</v>
      </c>
      <c r="F1239" s="131">
        <v>770663.92865671928</v>
      </c>
      <c r="G1239" s="17" t="e">
        <f t="shared" si="19"/>
        <v>#VALUE!</v>
      </c>
      <c r="H1239" s="141">
        <v>12</v>
      </c>
      <c r="I1239" s="141">
        <v>3</v>
      </c>
      <c r="J1239" s="149" t="e">
        <v>#N/A</v>
      </c>
      <c r="K1239" s="150" t="e">
        <v>#N/A</v>
      </c>
    </row>
    <row r="1240" spans="1:11" ht="30" customHeight="1">
      <c r="A1240" s="31">
        <v>41094</v>
      </c>
      <c r="B1240" s="16" t="s">
        <v>1853</v>
      </c>
      <c r="C1240" s="15" t="s">
        <v>3583</v>
      </c>
      <c r="D1240" s="15" t="s">
        <v>3584</v>
      </c>
      <c r="E1240" s="15">
        <v>0.21</v>
      </c>
      <c r="F1240" s="131">
        <v>1142459.6413107808</v>
      </c>
      <c r="G1240" s="17" t="e">
        <f t="shared" si="19"/>
        <v>#VALUE!</v>
      </c>
      <c r="H1240" s="141">
        <v>3</v>
      </c>
      <c r="I1240" s="141">
        <v>3</v>
      </c>
      <c r="J1240" s="149" t="e">
        <v>#N/A</v>
      </c>
      <c r="K1240" s="150" t="e">
        <v>#N/A</v>
      </c>
    </row>
    <row r="1241" spans="1:11" ht="30" customHeight="1">
      <c r="A1241" s="30">
        <v>41035</v>
      </c>
      <c r="B1241" s="16" t="s">
        <v>1853</v>
      </c>
      <c r="C1241" s="15" t="s">
        <v>1956</v>
      </c>
      <c r="D1241" s="15" t="s">
        <v>830</v>
      </c>
      <c r="E1241" s="15">
        <v>0.21</v>
      </c>
      <c r="F1241" s="131">
        <v>282663.72638738278</v>
      </c>
      <c r="G1241" s="17" t="e">
        <f t="shared" si="19"/>
        <v>#VALUE!</v>
      </c>
      <c r="H1241" s="141">
        <v>32</v>
      </c>
      <c r="I1241" s="141">
        <v>0</v>
      </c>
      <c r="J1241" s="149">
        <v>0</v>
      </c>
      <c r="K1241" s="150">
        <v>2</v>
      </c>
    </row>
    <row r="1242" spans="1:11" ht="30" customHeight="1">
      <c r="A1242" s="30">
        <v>41034</v>
      </c>
      <c r="B1242" s="16" t="s">
        <v>1853</v>
      </c>
      <c r="C1242" s="15" t="s">
        <v>1956</v>
      </c>
      <c r="D1242" s="15" t="s">
        <v>821</v>
      </c>
      <c r="E1242" s="15">
        <v>0.21</v>
      </c>
      <c r="F1242" s="131">
        <v>368524.45480000001</v>
      </c>
      <c r="G1242" s="17" t="e">
        <f t="shared" si="19"/>
        <v>#VALUE!</v>
      </c>
      <c r="H1242" s="141">
        <v>37</v>
      </c>
      <c r="I1242" s="141">
        <v>0</v>
      </c>
      <c r="J1242" s="149">
        <v>0</v>
      </c>
      <c r="K1242" s="150">
        <v>2</v>
      </c>
    </row>
    <row r="1243" spans="1:11" ht="30" customHeight="1">
      <c r="A1243" s="30">
        <v>41037</v>
      </c>
      <c r="B1243" s="16" t="s">
        <v>1853</v>
      </c>
      <c r="C1243" s="15" t="s">
        <v>1957</v>
      </c>
      <c r="D1243" s="15" t="s">
        <v>831</v>
      </c>
      <c r="E1243" s="15">
        <v>0.21</v>
      </c>
      <c r="F1243" s="131">
        <v>5752.9062000000004</v>
      </c>
      <c r="G1243" s="17" t="e">
        <f t="shared" si="19"/>
        <v>#VALUE!</v>
      </c>
      <c r="H1243" s="141">
        <v>274</v>
      </c>
      <c r="I1243" s="141">
        <v>0</v>
      </c>
      <c r="J1243" s="149">
        <v>20</v>
      </c>
      <c r="K1243" s="150">
        <v>200</v>
      </c>
    </row>
    <row r="1244" spans="1:11" ht="30" customHeight="1">
      <c r="A1244" s="30">
        <v>41038</v>
      </c>
      <c r="B1244" s="16" t="s">
        <v>1853</v>
      </c>
      <c r="C1244" s="15" t="s">
        <v>822</v>
      </c>
      <c r="D1244" s="15" t="s">
        <v>823</v>
      </c>
      <c r="E1244" s="15">
        <v>0.21</v>
      </c>
      <c r="F1244" s="131">
        <v>24273.297396022266</v>
      </c>
      <c r="G1244" s="17" t="e">
        <f t="shared" si="19"/>
        <v>#VALUE!</v>
      </c>
      <c r="H1244" s="141">
        <v>90</v>
      </c>
      <c r="I1244" s="141">
        <v>0</v>
      </c>
      <c r="J1244" s="149">
        <v>0</v>
      </c>
      <c r="K1244" s="150">
        <v>50</v>
      </c>
    </row>
    <row r="1245" spans="1:11" ht="30" customHeight="1">
      <c r="A1245" s="31">
        <v>41039</v>
      </c>
      <c r="B1245" s="16" t="s">
        <v>1853</v>
      </c>
      <c r="C1245" s="15" t="s">
        <v>3232</v>
      </c>
      <c r="D1245" s="15" t="s">
        <v>2696</v>
      </c>
      <c r="E1245" s="15">
        <v>0.21</v>
      </c>
      <c r="F1245" s="131">
        <v>10580.231428454346</v>
      </c>
      <c r="G1245" s="17" t="e">
        <f t="shared" si="19"/>
        <v>#VALUE!</v>
      </c>
      <c r="H1245" s="141">
        <v>526</v>
      </c>
      <c r="I1245" s="141">
        <v>0</v>
      </c>
      <c r="J1245" s="149">
        <v>20</v>
      </c>
      <c r="K1245" s="150">
        <v>200</v>
      </c>
    </row>
    <row r="1246" spans="1:11" ht="30" customHeight="1">
      <c r="A1246" s="31">
        <v>41040</v>
      </c>
      <c r="B1246" s="16" t="s">
        <v>1853</v>
      </c>
      <c r="C1246" s="15" t="s">
        <v>2979</v>
      </c>
      <c r="D1246" s="15" t="s">
        <v>2980</v>
      </c>
      <c r="E1246" s="15">
        <v>0.21</v>
      </c>
      <c r="F1246" s="131">
        <v>26553.180199999999</v>
      </c>
      <c r="G1246" s="17" t="e">
        <f t="shared" si="19"/>
        <v>#VALUE!</v>
      </c>
      <c r="H1246" s="141">
        <v>160</v>
      </c>
      <c r="I1246" s="141">
        <v>0</v>
      </c>
      <c r="J1246" s="149">
        <v>0</v>
      </c>
      <c r="K1246" s="150">
        <v>50</v>
      </c>
    </row>
    <row r="1247" spans="1:11" ht="30" customHeight="1">
      <c r="A1247" s="31">
        <v>41045</v>
      </c>
      <c r="B1247" s="16" t="s">
        <v>1853</v>
      </c>
      <c r="C1247" s="15" t="s">
        <v>3233</v>
      </c>
      <c r="D1247" s="15" t="s">
        <v>2697</v>
      </c>
      <c r="E1247" s="15">
        <v>0.105</v>
      </c>
      <c r="F1247" s="131">
        <v>50227.857814390758</v>
      </c>
      <c r="G1247" s="17" t="e">
        <f t="shared" si="19"/>
        <v>#VALUE!</v>
      </c>
      <c r="H1247" s="141">
        <v>109</v>
      </c>
      <c r="I1247" s="141">
        <v>50</v>
      </c>
      <c r="J1247" s="149">
        <v>0</v>
      </c>
      <c r="K1247" s="150">
        <v>50</v>
      </c>
    </row>
    <row r="1248" spans="1:11" ht="30" customHeight="1">
      <c r="A1248" s="31">
        <v>42000</v>
      </c>
      <c r="B1248" s="16" t="s">
        <v>1853</v>
      </c>
      <c r="C1248" s="15" t="s">
        <v>2698</v>
      </c>
      <c r="D1248" s="15" t="s">
        <v>2699</v>
      </c>
      <c r="E1248" s="15">
        <v>0.21</v>
      </c>
      <c r="F1248" s="131">
        <v>32815.533772068622</v>
      </c>
      <c r="G1248" s="17" t="e">
        <f t="shared" si="19"/>
        <v>#VALUE!</v>
      </c>
      <c r="H1248" s="141">
        <v>86</v>
      </c>
      <c r="I1248" s="141">
        <v>24</v>
      </c>
      <c r="J1248" s="149">
        <v>0</v>
      </c>
      <c r="K1248" s="150">
        <v>24</v>
      </c>
    </row>
    <row r="1249" spans="1:11" ht="30" customHeight="1">
      <c r="A1249" s="31">
        <v>42001</v>
      </c>
      <c r="B1249" s="16" t="s">
        <v>1853</v>
      </c>
      <c r="C1249" s="15" t="s">
        <v>3356</v>
      </c>
      <c r="D1249" s="15" t="s">
        <v>3357</v>
      </c>
      <c r="E1249" s="15">
        <v>0.21</v>
      </c>
      <c r="F1249" s="131">
        <v>129492.54680000001</v>
      </c>
      <c r="G1249" s="17" t="e">
        <f t="shared" si="19"/>
        <v>#VALUE!</v>
      </c>
      <c r="H1249" s="141">
        <v>34</v>
      </c>
      <c r="I1249" s="141">
        <v>0</v>
      </c>
      <c r="J1249" s="149">
        <v>0</v>
      </c>
      <c r="K1249" s="150">
        <v>6</v>
      </c>
    </row>
    <row r="1250" spans="1:11" ht="30" customHeight="1">
      <c r="A1250" s="31">
        <v>42002</v>
      </c>
      <c r="B1250" s="16" t="s">
        <v>1853</v>
      </c>
      <c r="C1250" s="15" t="s">
        <v>3234</v>
      </c>
      <c r="D1250" s="15" t="s">
        <v>2700</v>
      </c>
      <c r="E1250" s="15">
        <v>0.21</v>
      </c>
      <c r="F1250" s="131">
        <v>30694.801997683233</v>
      </c>
      <c r="G1250" s="17" t="e">
        <f t="shared" si="19"/>
        <v>#VALUE!</v>
      </c>
      <c r="H1250" s="141">
        <v>142</v>
      </c>
      <c r="I1250" s="141">
        <v>0</v>
      </c>
      <c r="J1250" s="149">
        <v>10</v>
      </c>
      <c r="K1250" s="150">
        <v>40</v>
      </c>
    </row>
    <row r="1251" spans="1:11" ht="30" customHeight="1">
      <c r="A1251" s="31">
        <v>42003</v>
      </c>
      <c r="B1251" s="16" t="s">
        <v>1853</v>
      </c>
      <c r="C1251" s="15" t="s">
        <v>2701</v>
      </c>
      <c r="D1251" s="15" t="s">
        <v>2702</v>
      </c>
      <c r="E1251" s="15">
        <v>0.21</v>
      </c>
      <c r="F1251" s="131">
        <v>20537.612972995325</v>
      </c>
      <c r="G1251" s="17" t="e">
        <f t="shared" si="19"/>
        <v>#VALUE!</v>
      </c>
      <c r="H1251" s="141">
        <v>150</v>
      </c>
      <c r="I1251" s="141">
        <v>40</v>
      </c>
      <c r="J1251" s="149">
        <v>10</v>
      </c>
      <c r="K1251" s="150">
        <v>40</v>
      </c>
    </row>
    <row r="1252" spans="1:11" ht="30" customHeight="1">
      <c r="A1252" s="31">
        <v>42008</v>
      </c>
      <c r="B1252" s="16" t="s">
        <v>1853</v>
      </c>
      <c r="C1252" s="15" t="s">
        <v>3235</v>
      </c>
      <c r="D1252" s="15" t="s">
        <v>2703</v>
      </c>
      <c r="E1252" s="15">
        <v>0.21</v>
      </c>
      <c r="F1252" s="131">
        <v>10380.42394830742</v>
      </c>
      <c r="G1252" s="17" t="e">
        <f t="shared" si="19"/>
        <v>#VALUE!</v>
      </c>
      <c r="H1252" s="141">
        <v>460</v>
      </c>
      <c r="I1252" s="141">
        <v>0</v>
      </c>
      <c r="J1252" s="149">
        <v>20</v>
      </c>
      <c r="K1252" s="150">
        <v>120</v>
      </c>
    </row>
    <row r="1253" spans="1:11" ht="30" customHeight="1">
      <c r="A1253" s="30">
        <v>43046</v>
      </c>
      <c r="B1253" s="16" t="s">
        <v>1853</v>
      </c>
      <c r="C1253" s="15" t="s">
        <v>370</v>
      </c>
      <c r="D1253" s="15" t="s">
        <v>77</v>
      </c>
      <c r="E1253" s="15">
        <v>0.105</v>
      </c>
      <c r="F1253" s="131">
        <v>34295.307631079479</v>
      </c>
      <c r="G1253" s="17" t="e">
        <f t="shared" si="19"/>
        <v>#VALUE!</v>
      </c>
      <c r="H1253" s="141">
        <v>1173</v>
      </c>
      <c r="I1253" s="141">
        <v>300</v>
      </c>
      <c r="J1253" s="149">
        <v>6</v>
      </c>
      <c r="K1253" s="150">
        <v>12</v>
      </c>
    </row>
    <row r="1254" spans="1:11" ht="30" customHeight="1">
      <c r="A1254" s="31">
        <v>43060</v>
      </c>
      <c r="B1254" s="16" t="s">
        <v>1853</v>
      </c>
      <c r="C1254" s="15" t="s">
        <v>2708</v>
      </c>
      <c r="D1254" s="15"/>
      <c r="E1254" s="15">
        <v>0.105</v>
      </c>
      <c r="F1254" s="131">
        <v>36085.302314125765</v>
      </c>
      <c r="G1254" s="17" t="e">
        <f t="shared" si="19"/>
        <v>#VALUE!</v>
      </c>
      <c r="H1254" s="141">
        <v>51</v>
      </c>
      <c r="I1254" s="141">
        <v>0</v>
      </c>
      <c r="J1254" s="149">
        <v>0</v>
      </c>
      <c r="K1254" s="150">
        <v>20</v>
      </c>
    </row>
    <row r="1255" spans="1:11" ht="30" customHeight="1">
      <c r="A1255" s="31">
        <v>43062</v>
      </c>
      <c r="B1255" s="16" t="s">
        <v>1853</v>
      </c>
      <c r="C1255" s="15" t="s">
        <v>3054</v>
      </c>
      <c r="D1255" s="15"/>
      <c r="E1255" s="15">
        <v>0.105</v>
      </c>
      <c r="F1255" s="131">
        <v>53088.192000000003</v>
      </c>
      <c r="G1255" s="17" t="e">
        <f t="shared" si="19"/>
        <v>#VALUE!</v>
      </c>
      <c r="H1255" s="141">
        <v>49</v>
      </c>
      <c r="I1255" s="141">
        <v>0</v>
      </c>
      <c r="J1255" s="149">
        <v>0</v>
      </c>
      <c r="K1255" s="150">
        <v>20</v>
      </c>
    </row>
    <row r="1256" spans="1:11" ht="30" customHeight="1">
      <c r="A1256" s="30">
        <v>43041</v>
      </c>
      <c r="B1256" s="16" t="s">
        <v>1853</v>
      </c>
      <c r="C1256" s="15" t="s">
        <v>368</v>
      </c>
      <c r="D1256" s="15" t="s">
        <v>369</v>
      </c>
      <c r="E1256" s="15">
        <v>0.105</v>
      </c>
      <c r="F1256" s="131">
        <v>10522.41353533216</v>
      </c>
      <c r="G1256" s="17" t="e">
        <f t="shared" si="19"/>
        <v>#VALUE!</v>
      </c>
      <c r="H1256" s="141">
        <v>1698</v>
      </c>
      <c r="I1256" s="141">
        <v>480</v>
      </c>
      <c r="J1256" s="149">
        <v>6</v>
      </c>
      <c r="K1256" s="150">
        <v>24</v>
      </c>
    </row>
    <row r="1257" spans="1:11" ht="30" customHeight="1">
      <c r="A1257" s="30">
        <v>43042</v>
      </c>
      <c r="B1257" s="16" t="s">
        <v>1853</v>
      </c>
      <c r="C1257" s="15" t="s">
        <v>368</v>
      </c>
      <c r="D1257" s="15" t="s">
        <v>369</v>
      </c>
      <c r="E1257" s="15">
        <v>0.105</v>
      </c>
      <c r="F1257" s="131">
        <v>8580.08231590389</v>
      </c>
      <c r="G1257" s="17" t="e">
        <f t="shared" si="19"/>
        <v>#VALUE!</v>
      </c>
      <c r="H1257" s="141">
        <v>3978</v>
      </c>
      <c r="I1257" s="141">
        <v>1800</v>
      </c>
      <c r="J1257" s="149">
        <v>6</v>
      </c>
      <c r="K1257" s="150">
        <v>24</v>
      </c>
    </row>
    <row r="1258" spans="1:11" ht="30" customHeight="1">
      <c r="A1258" s="30">
        <v>43043</v>
      </c>
      <c r="B1258" s="16" t="s">
        <v>1853</v>
      </c>
      <c r="C1258" s="15" t="s">
        <v>1959</v>
      </c>
      <c r="D1258" s="15" t="s">
        <v>1856</v>
      </c>
      <c r="E1258" s="15">
        <v>0.105</v>
      </c>
      <c r="F1258" s="131">
        <v>16453.569617556881</v>
      </c>
      <c r="G1258" s="17" t="e">
        <f t="shared" si="19"/>
        <v>#VALUE!</v>
      </c>
      <c r="H1258" s="141">
        <v>734</v>
      </c>
      <c r="I1258" s="141">
        <v>120</v>
      </c>
      <c r="J1258" s="149">
        <v>6</v>
      </c>
      <c r="K1258" s="150">
        <v>24</v>
      </c>
    </row>
    <row r="1259" spans="1:11" ht="30" customHeight="1">
      <c r="A1259" s="30">
        <v>43049</v>
      </c>
      <c r="B1259" s="16" t="s">
        <v>1853</v>
      </c>
      <c r="C1259" s="15" t="s">
        <v>371</v>
      </c>
      <c r="D1259" s="15" t="s">
        <v>369</v>
      </c>
      <c r="E1259" s="15">
        <v>0.105</v>
      </c>
      <c r="F1259" s="131">
        <v>21096.908282634271</v>
      </c>
      <c r="G1259" s="17" t="e">
        <f t="shared" si="19"/>
        <v>#VALUE!</v>
      </c>
      <c r="H1259" s="141">
        <v>1038</v>
      </c>
      <c r="I1259" s="141">
        <v>120</v>
      </c>
      <c r="J1259" s="149">
        <v>6</v>
      </c>
      <c r="K1259" s="150">
        <v>24</v>
      </c>
    </row>
    <row r="1260" spans="1:11" ht="30" customHeight="1">
      <c r="A1260" s="30">
        <v>43050</v>
      </c>
      <c r="B1260" s="16" t="s">
        <v>1853</v>
      </c>
      <c r="C1260" s="15" t="s">
        <v>368</v>
      </c>
      <c r="D1260" s="15" t="s">
        <v>1857</v>
      </c>
      <c r="E1260" s="15">
        <v>0.105</v>
      </c>
      <c r="F1260" s="131">
        <v>14838.495299269074</v>
      </c>
      <c r="G1260" s="17" t="e">
        <f t="shared" si="19"/>
        <v>#VALUE!</v>
      </c>
      <c r="H1260" s="141">
        <v>688</v>
      </c>
      <c r="I1260" s="141">
        <v>120</v>
      </c>
      <c r="J1260" s="149">
        <v>6</v>
      </c>
      <c r="K1260" s="150">
        <v>24</v>
      </c>
    </row>
    <row r="1261" spans="1:11" ht="30" customHeight="1">
      <c r="A1261" s="30">
        <v>43052</v>
      </c>
      <c r="B1261" s="16" t="s">
        <v>1853</v>
      </c>
      <c r="C1261" s="15" t="s">
        <v>1961</v>
      </c>
      <c r="D1261" s="15" t="s">
        <v>1858</v>
      </c>
      <c r="E1261" s="15">
        <v>0.105</v>
      </c>
      <c r="F1261" s="131">
        <v>23068.88518465083</v>
      </c>
      <c r="G1261" s="17" t="e">
        <f t="shared" si="19"/>
        <v>#VALUE!</v>
      </c>
      <c r="H1261" s="141">
        <v>680</v>
      </c>
      <c r="I1261" s="141">
        <v>120</v>
      </c>
      <c r="J1261" s="149">
        <v>12</v>
      </c>
      <c r="K1261" s="150">
        <v>24</v>
      </c>
    </row>
    <row r="1262" spans="1:11" ht="30" customHeight="1">
      <c r="A1262" s="30">
        <v>43044</v>
      </c>
      <c r="B1262" s="16" t="s">
        <v>1853</v>
      </c>
      <c r="C1262" s="15" t="s">
        <v>370</v>
      </c>
      <c r="D1262" s="15" t="s">
        <v>369</v>
      </c>
      <c r="E1262" s="15">
        <v>0.105</v>
      </c>
      <c r="F1262" s="131">
        <v>28661.00694401277</v>
      </c>
      <c r="G1262" s="17" t="e">
        <f t="shared" si="19"/>
        <v>#VALUE!</v>
      </c>
      <c r="H1262" s="141">
        <v>509</v>
      </c>
      <c r="I1262" s="141">
        <v>84</v>
      </c>
      <c r="J1262" s="149">
        <v>6</v>
      </c>
      <c r="K1262" s="150">
        <v>12</v>
      </c>
    </row>
    <row r="1263" spans="1:11" ht="30" customHeight="1">
      <c r="A1263" s="30">
        <v>43048</v>
      </c>
      <c r="B1263" s="16" t="s">
        <v>1853</v>
      </c>
      <c r="C1263" s="15" t="s">
        <v>1960</v>
      </c>
      <c r="D1263" s="15" t="s">
        <v>4218</v>
      </c>
      <c r="E1263" s="15">
        <v>0.21</v>
      </c>
      <c r="F1263" s="131">
        <v>3215.2961531469141</v>
      </c>
      <c r="G1263" s="17" t="e">
        <f t="shared" si="19"/>
        <v>#VALUE!</v>
      </c>
      <c r="H1263" s="141">
        <v>267</v>
      </c>
      <c r="I1263" s="141">
        <v>0</v>
      </c>
      <c r="J1263" s="149">
        <v>0</v>
      </c>
      <c r="K1263" s="150">
        <v>40</v>
      </c>
    </row>
    <row r="1264" spans="1:11" ht="30" customHeight="1">
      <c r="A1264" s="31">
        <v>50190</v>
      </c>
      <c r="B1264" s="16" t="s">
        <v>1853</v>
      </c>
      <c r="C1264" s="15" t="s">
        <v>3236</v>
      </c>
      <c r="D1264" s="15" t="s">
        <v>2707</v>
      </c>
      <c r="E1264" s="15">
        <v>0.21</v>
      </c>
      <c r="F1264" s="131">
        <v>8265.8058034799578</v>
      </c>
      <c r="G1264" s="17" t="e">
        <f t="shared" si="19"/>
        <v>#VALUE!</v>
      </c>
      <c r="H1264" s="141">
        <v>179</v>
      </c>
      <c r="I1264" s="141">
        <v>0</v>
      </c>
      <c r="J1264" s="149">
        <v>24</v>
      </c>
      <c r="K1264" s="150">
        <v>72</v>
      </c>
    </row>
    <row r="1265" spans="1:11" ht="30" customHeight="1">
      <c r="A1265" s="31">
        <v>42013</v>
      </c>
      <c r="B1265" s="16" t="s">
        <v>1853</v>
      </c>
      <c r="C1265" s="15" t="s">
        <v>1958</v>
      </c>
      <c r="D1265" s="15" t="s">
        <v>824</v>
      </c>
      <c r="E1265" s="15">
        <v>0.21</v>
      </c>
      <c r="F1265" s="131">
        <v>17127.982579626616</v>
      </c>
      <c r="G1265" s="17" t="e">
        <f t="shared" si="19"/>
        <v>#VALUE!</v>
      </c>
      <c r="H1265" s="141">
        <v>1014</v>
      </c>
      <c r="I1265" s="141">
        <v>240</v>
      </c>
      <c r="J1265" s="149">
        <v>12</v>
      </c>
      <c r="K1265" s="150">
        <v>48</v>
      </c>
    </row>
    <row r="1266" spans="1:11" ht="30" customHeight="1">
      <c r="A1266" s="31">
        <v>42017</v>
      </c>
      <c r="B1266" s="16" t="s">
        <v>1853</v>
      </c>
      <c r="C1266" s="15" t="s">
        <v>2704</v>
      </c>
      <c r="D1266" s="15" t="s">
        <v>2705</v>
      </c>
      <c r="E1266" s="15">
        <v>0.21</v>
      </c>
      <c r="F1266" s="131">
        <v>5357.6381668683453</v>
      </c>
      <c r="G1266" s="17" t="e">
        <f t="shared" si="19"/>
        <v>#VALUE!</v>
      </c>
      <c r="H1266" s="141">
        <v>103</v>
      </c>
      <c r="I1266" s="141">
        <v>0</v>
      </c>
      <c r="J1266" s="149">
        <v>12</v>
      </c>
      <c r="K1266" s="150">
        <v>60</v>
      </c>
    </row>
    <row r="1267" spans="1:11" ht="30" customHeight="1">
      <c r="A1267" s="31">
        <v>42018</v>
      </c>
      <c r="B1267" s="16" t="s">
        <v>1853</v>
      </c>
      <c r="C1267" s="15" t="s">
        <v>2704</v>
      </c>
      <c r="D1267" s="15" t="s">
        <v>2706</v>
      </c>
      <c r="E1267" s="15">
        <v>0.21</v>
      </c>
      <c r="F1267" s="131">
        <v>5357.6381668683453</v>
      </c>
      <c r="G1267" s="17" t="e">
        <f t="shared" si="19"/>
        <v>#VALUE!</v>
      </c>
      <c r="H1267" s="141">
        <v>315</v>
      </c>
      <c r="I1267" s="141">
        <v>60</v>
      </c>
      <c r="J1267" s="149">
        <v>12</v>
      </c>
      <c r="K1267" s="150">
        <v>60</v>
      </c>
    </row>
    <row r="1268" spans="1:11" ht="30" customHeight="1">
      <c r="A1268" s="31">
        <v>42019</v>
      </c>
      <c r="B1268" s="16" t="s">
        <v>1853</v>
      </c>
      <c r="C1268" s="15" t="s">
        <v>2704</v>
      </c>
      <c r="D1268" s="15" t="s">
        <v>2981</v>
      </c>
      <c r="E1268" s="15">
        <v>0.21</v>
      </c>
      <c r="F1268" s="131">
        <v>4612.6642000000002</v>
      </c>
      <c r="G1268" s="17" t="e">
        <f t="shared" si="19"/>
        <v>#VALUE!</v>
      </c>
      <c r="H1268" s="141">
        <v>155</v>
      </c>
      <c r="I1268" s="141">
        <v>0</v>
      </c>
      <c r="J1268" s="149">
        <v>12</v>
      </c>
      <c r="K1268" s="150">
        <v>60</v>
      </c>
    </row>
    <row r="1269" spans="1:11" ht="30" customHeight="1">
      <c r="A1269" s="30">
        <v>42021</v>
      </c>
      <c r="B1269" s="16" t="s">
        <v>1853</v>
      </c>
      <c r="C1269" s="15" t="s">
        <v>825</v>
      </c>
      <c r="D1269" s="15" t="s">
        <v>826</v>
      </c>
      <c r="E1269" s="15">
        <v>0.21</v>
      </c>
      <c r="F1269" s="131">
        <v>6697.9544161276272</v>
      </c>
      <c r="G1269" s="17" t="e">
        <f t="shared" si="19"/>
        <v>#VALUE!</v>
      </c>
      <c r="H1269" s="141">
        <v>2131</v>
      </c>
      <c r="I1269" s="141">
        <v>360</v>
      </c>
      <c r="J1269" s="149">
        <v>12</v>
      </c>
      <c r="K1269" s="150">
        <v>72</v>
      </c>
    </row>
    <row r="1270" spans="1:11" ht="30" customHeight="1">
      <c r="A1270" s="30">
        <v>42022</v>
      </c>
      <c r="B1270" s="16" t="s">
        <v>1853</v>
      </c>
      <c r="C1270" s="15" t="s">
        <v>827</v>
      </c>
      <c r="D1270" s="15" t="s">
        <v>828</v>
      </c>
      <c r="E1270" s="15">
        <v>0.21</v>
      </c>
      <c r="F1270" s="131">
        <v>7419.2725840182993</v>
      </c>
      <c r="G1270" s="17" t="e">
        <f t="shared" si="19"/>
        <v>#VALUE!</v>
      </c>
      <c r="H1270" s="141">
        <v>462</v>
      </c>
      <c r="I1270" s="141">
        <v>0</v>
      </c>
      <c r="J1270" s="149">
        <v>12</v>
      </c>
      <c r="K1270" s="150">
        <v>72</v>
      </c>
    </row>
    <row r="1271" spans="1:11" ht="30" customHeight="1">
      <c r="A1271" s="31">
        <v>41070</v>
      </c>
      <c r="B1271" s="16" t="s">
        <v>1853</v>
      </c>
      <c r="C1271" s="15" t="s">
        <v>3358</v>
      </c>
      <c r="D1271" s="15" t="s">
        <v>3359</v>
      </c>
      <c r="E1271" s="15">
        <v>0.21</v>
      </c>
      <c r="F1271" s="131">
        <v>7919.8960000000006</v>
      </c>
      <c r="G1271" s="17" t="e">
        <f t="shared" si="19"/>
        <v>#VALUE!</v>
      </c>
      <c r="H1271" s="141">
        <v>1130</v>
      </c>
      <c r="I1271" s="141">
        <v>0</v>
      </c>
      <c r="J1271" s="149">
        <v>12</v>
      </c>
      <c r="K1271" s="150">
        <v>96</v>
      </c>
    </row>
    <row r="1272" spans="1:11" ht="30" customHeight="1">
      <c r="A1272" s="30">
        <v>65000</v>
      </c>
      <c r="B1272" s="16" t="s">
        <v>383</v>
      </c>
      <c r="C1272" s="15" t="s">
        <v>592</v>
      </c>
      <c r="D1272" s="15" t="s">
        <v>65</v>
      </c>
      <c r="E1272" s="15">
        <v>0.21</v>
      </c>
      <c r="F1272" s="131">
        <v>12140.627864757218</v>
      </c>
      <c r="G1272" s="17" t="e">
        <f t="shared" si="19"/>
        <v>#VALUE!</v>
      </c>
      <c r="H1272" s="141">
        <v>140</v>
      </c>
      <c r="I1272" s="141">
        <v>20</v>
      </c>
      <c r="J1272" s="149">
        <v>0</v>
      </c>
      <c r="K1272" s="150">
        <v>20</v>
      </c>
    </row>
    <row r="1273" spans="1:11" ht="30" customHeight="1">
      <c r="A1273" s="30">
        <v>65001</v>
      </c>
      <c r="B1273" s="16" t="s">
        <v>383</v>
      </c>
      <c r="C1273" s="15" t="s">
        <v>592</v>
      </c>
      <c r="D1273" s="15" t="s">
        <v>387</v>
      </c>
      <c r="E1273" s="15">
        <v>0.21</v>
      </c>
      <c r="F1273" s="131">
        <v>17907.426100516885</v>
      </c>
      <c r="G1273" s="17" t="e">
        <f t="shared" si="19"/>
        <v>#VALUE!</v>
      </c>
      <c r="H1273" s="141">
        <v>122</v>
      </c>
      <c r="I1273" s="141">
        <v>20</v>
      </c>
      <c r="J1273" s="149">
        <v>0</v>
      </c>
      <c r="K1273" s="150">
        <v>20</v>
      </c>
    </row>
    <row r="1274" spans="1:11" ht="30" customHeight="1">
      <c r="A1274" s="30">
        <v>65002</v>
      </c>
      <c r="B1274" s="16" t="s">
        <v>383</v>
      </c>
      <c r="C1274" s="15" t="s">
        <v>592</v>
      </c>
      <c r="D1274" s="15" t="s">
        <v>388</v>
      </c>
      <c r="E1274" s="15">
        <v>0.21</v>
      </c>
      <c r="F1274" s="131">
        <v>27518.75649344967</v>
      </c>
      <c r="G1274" s="17" t="e">
        <f t="shared" si="19"/>
        <v>#VALUE!</v>
      </c>
      <c r="H1274" s="141">
        <v>63</v>
      </c>
      <c r="I1274" s="141">
        <v>24</v>
      </c>
      <c r="J1274" s="149">
        <v>0</v>
      </c>
      <c r="K1274" s="150">
        <v>12</v>
      </c>
    </row>
    <row r="1275" spans="1:11" ht="30" customHeight="1">
      <c r="A1275" s="30">
        <v>65003</v>
      </c>
      <c r="B1275" s="16" t="s">
        <v>383</v>
      </c>
      <c r="C1275" s="15" t="s">
        <v>592</v>
      </c>
      <c r="D1275" s="15" t="s">
        <v>389</v>
      </c>
      <c r="E1275" s="15">
        <v>0.21</v>
      </c>
      <c r="F1275" s="131">
        <v>43605.088414252969</v>
      </c>
      <c r="G1275" s="17" t="e">
        <f t="shared" si="19"/>
        <v>#VALUE!</v>
      </c>
      <c r="H1275" s="141">
        <v>58</v>
      </c>
      <c r="I1275" s="141">
        <v>12</v>
      </c>
      <c r="J1275" s="149">
        <v>0</v>
      </c>
      <c r="K1275" s="150">
        <v>6</v>
      </c>
    </row>
    <row r="1276" spans="1:11" ht="30" customHeight="1">
      <c r="A1276" s="30">
        <v>65010</v>
      </c>
      <c r="B1276" s="16" t="s">
        <v>383</v>
      </c>
      <c r="C1276" s="15" t="s">
        <v>593</v>
      </c>
      <c r="D1276" s="15" t="s">
        <v>65</v>
      </c>
      <c r="E1276" s="15">
        <v>0.21</v>
      </c>
      <c r="F1276" s="131">
        <v>15378.128628692464</v>
      </c>
      <c r="G1276" s="17" t="e">
        <f t="shared" si="19"/>
        <v>#VALUE!</v>
      </c>
      <c r="H1276" s="141">
        <v>171</v>
      </c>
      <c r="I1276" s="141">
        <v>40</v>
      </c>
      <c r="J1276" s="149">
        <v>0</v>
      </c>
      <c r="K1276" s="150">
        <v>20</v>
      </c>
    </row>
    <row r="1277" spans="1:11" ht="30" customHeight="1">
      <c r="A1277" s="30">
        <v>65011</v>
      </c>
      <c r="B1277" s="16" t="s">
        <v>383</v>
      </c>
      <c r="C1277" s="15" t="s">
        <v>593</v>
      </c>
      <c r="D1277" s="15" t="s">
        <v>387</v>
      </c>
      <c r="E1277" s="15">
        <v>0.21</v>
      </c>
      <c r="F1277" s="131">
        <v>23067.192943038695</v>
      </c>
      <c r="G1277" s="17" t="e">
        <f t="shared" si="19"/>
        <v>#VALUE!</v>
      </c>
      <c r="H1277" s="141">
        <v>228</v>
      </c>
      <c r="I1277" s="141">
        <v>20</v>
      </c>
      <c r="J1277" s="149">
        <v>0</v>
      </c>
      <c r="K1277" s="150">
        <v>20</v>
      </c>
    </row>
    <row r="1278" spans="1:11" ht="30" customHeight="1">
      <c r="A1278" s="30">
        <v>65012</v>
      </c>
      <c r="B1278" s="16" t="s">
        <v>383</v>
      </c>
      <c r="C1278" s="15" t="s">
        <v>593</v>
      </c>
      <c r="D1278" s="15" t="s">
        <v>388</v>
      </c>
      <c r="E1278" s="15">
        <v>0.21</v>
      </c>
      <c r="F1278" s="131">
        <v>35410.164605541861</v>
      </c>
      <c r="G1278" s="17" t="e">
        <f t="shared" si="19"/>
        <v>#VALUE!</v>
      </c>
      <c r="H1278" s="141">
        <v>173</v>
      </c>
      <c r="I1278" s="141">
        <v>12</v>
      </c>
      <c r="J1278" s="149">
        <v>0</v>
      </c>
      <c r="K1278" s="150">
        <v>12</v>
      </c>
    </row>
    <row r="1279" spans="1:11" ht="30" customHeight="1">
      <c r="A1279" s="30">
        <v>65013</v>
      </c>
      <c r="B1279" s="16" t="s">
        <v>383</v>
      </c>
      <c r="C1279" s="15" t="s">
        <v>593</v>
      </c>
      <c r="D1279" s="15" t="s">
        <v>389</v>
      </c>
      <c r="E1279" s="15">
        <v>0.21</v>
      </c>
      <c r="F1279" s="131">
        <v>57667.982357596731</v>
      </c>
      <c r="G1279" s="17" t="e">
        <f t="shared" si="19"/>
        <v>#VALUE!</v>
      </c>
      <c r="H1279" s="141">
        <v>90</v>
      </c>
      <c r="I1279" s="141">
        <v>30</v>
      </c>
      <c r="J1279" s="149">
        <v>0</v>
      </c>
      <c r="K1279" s="150">
        <v>6</v>
      </c>
    </row>
    <row r="1280" spans="1:11" ht="30" customHeight="1">
      <c r="A1280" s="30">
        <v>65020</v>
      </c>
      <c r="B1280" s="16" t="s">
        <v>383</v>
      </c>
      <c r="C1280" s="15" t="s">
        <v>386</v>
      </c>
      <c r="D1280" s="15" t="s">
        <v>65</v>
      </c>
      <c r="E1280" s="15">
        <v>0.21</v>
      </c>
      <c r="F1280" s="131">
        <v>29339.850673163251</v>
      </c>
      <c r="G1280" s="17" t="e">
        <f t="shared" si="19"/>
        <v>#VALUE!</v>
      </c>
      <c r="H1280" s="141">
        <v>141</v>
      </c>
      <c r="I1280" s="141">
        <v>0</v>
      </c>
      <c r="J1280" s="149">
        <v>0</v>
      </c>
      <c r="K1280" s="150">
        <v>20</v>
      </c>
    </row>
    <row r="1281" spans="1:11" ht="30" customHeight="1">
      <c r="A1281" s="30">
        <v>65021</v>
      </c>
      <c r="B1281" s="16" t="s">
        <v>383</v>
      </c>
      <c r="C1281" s="15" t="s">
        <v>386</v>
      </c>
      <c r="D1281" s="15" t="s">
        <v>387</v>
      </c>
      <c r="E1281" s="15">
        <v>0.21</v>
      </c>
      <c r="F1281" s="131">
        <v>35612.508403287822</v>
      </c>
      <c r="G1281" s="17" t="e">
        <f t="shared" si="19"/>
        <v>#VALUE!</v>
      </c>
      <c r="H1281" s="141">
        <v>74</v>
      </c>
      <c r="I1281" s="141">
        <v>0</v>
      </c>
      <c r="J1281" s="149">
        <v>0</v>
      </c>
      <c r="K1281" s="150">
        <v>16</v>
      </c>
    </row>
    <row r="1282" spans="1:11" ht="30" customHeight="1">
      <c r="A1282" s="30">
        <v>65022</v>
      </c>
      <c r="B1282" s="16" t="s">
        <v>383</v>
      </c>
      <c r="C1282" s="15" t="s">
        <v>386</v>
      </c>
      <c r="D1282" s="15" t="s">
        <v>388</v>
      </c>
      <c r="E1282" s="15">
        <v>0.21</v>
      </c>
      <c r="F1282" s="131">
        <v>63940.640087721324</v>
      </c>
      <c r="G1282" s="17" t="e">
        <f t="shared" si="19"/>
        <v>#VALUE!</v>
      </c>
      <c r="H1282" s="141">
        <v>57</v>
      </c>
      <c r="I1282" s="141">
        <v>0</v>
      </c>
      <c r="J1282" s="149">
        <v>0</v>
      </c>
      <c r="K1282" s="150">
        <v>8</v>
      </c>
    </row>
    <row r="1283" spans="1:11" ht="30" customHeight="1">
      <c r="A1283" s="30">
        <v>65023</v>
      </c>
      <c r="B1283" s="16" t="s">
        <v>383</v>
      </c>
      <c r="C1283" s="15" t="s">
        <v>386</v>
      </c>
      <c r="D1283" s="15" t="s">
        <v>389</v>
      </c>
      <c r="E1283" s="15">
        <v>0.21</v>
      </c>
      <c r="F1283" s="131">
        <v>121203.9348498261</v>
      </c>
      <c r="G1283" s="17" t="e">
        <f t="shared" si="19"/>
        <v>#VALUE!</v>
      </c>
      <c r="H1283" s="141">
        <v>33</v>
      </c>
      <c r="I1283" s="141">
        <v>0</v>
      </c>
      <c r="J1283" s="149">
        <v>0</v>
      </c>
      <c r="K1283" s="150">
        <v>4</v>
      </c>
    </row>
    <row r="1284" spans="1:11" ht="30" customHeight="1">
      <c r="A1284" s="30">
        <v>65030</v>
      </c>
      <c r="B1284" s="16" t="s">
        <v>383</v>
      </c>
      <c r="C1284" s="15" t="s">
        <v>390</v>
      </c>
      <c r="D1284" s="15" t="s">
        <v>65</v>
      </c>
      <c r="E1284" s="15">
        <v>0.21</v>
      </c>
      <c r="F1284" s="131">
        <v>37635.946380747351</v>
      </c>
      <c r="G1284" s="17" t="e">
        <f t="shared" si="19"/>
        <v>#VALUE!</v>
      </c>
      <c r="H1284" s="141">
        <v>95</v>
      </c>
      <c r="I1284" s="141">
        <v>0</v>
      </c>
      <c r="J1284" s="149">
        <v>0</v>
      </c>
      <c r="K1284" s="150">
        <v>20</v>
      </c>
    </row>
    <row r="1285" spans="1:11" ht="30" customHeight="1">
      <c r="A1285" s="30">
        <v>65031</v>
      </c>
      <c r="B1285" s="16" t="s">
        <v>383</v>
      </c>
      <c r="C1285" s="15" t="s">
        <v>390</v>
      </c>
      <c r="D1285" s="15" t="s">
        <v>387</v>
      </c>
      <c r="E1285" s="15">
        <v>0.21</v>
      </c>
      <c r="F1285" s="131">
        <v>55341.028683518263</v>
      </c>
      <c r="G1285" s="17" t="e">
        <f t="shared" si="19"/>
        <v>#VALUE!</v>
      </c>
      <c r="H1285" s="141">
        <v>72</v>
      </c>
      <c r="I1285" s="141">
        <v>0</v>
      </c>
      <c r="J1285" s="149">
        <v>0</v>
      </c>
      <c r="K1285" s="150">
        <v>16</v>
      </c>
    </row>
    <row r="1286" spans="1:11" ht="30" customHeight="1">
      <c r="A1286" s="30">
        <v>65032</v>
      </c>
      <c r="B1286" s="16" t="s">
        <v>383</v>
      </c>
      <c r="C1286" s="15" t="s">
        <v>390</v>
      </c>
      <c r="D1286" s="15" t="s">
        <v>388</v>
      </c>
      <c r="E1286" s="15">
        <v>0.21</v>
      </c>
      <c r="F1286" s="131">
        <v>97125.022918057744</v>
      </c>
      <c r="G1286" s="17" t="e">
        <f t="shared" si="19"/>
        <v>#VALUE!</v>
      </c>
      <c r="H1286" s="141">
        <v>51</v>
      </c>
      <c r="I1286" s="141">
        <v>16</v>
      </c>
      <c r="J1286" s="149">
        <v>0</v>
      </c>
      <c r="K1286" s="150">
        <v>8</v>
      </c>
    </row>
    <row r="1287" spans="1:11" ht="30" customHeight="1">
      <c r="A1287" s="30">
        <v>65033</v>
      </c>
      <c r="B1287" s="16" t="s">
        <v>383</v>
      </c>
      <c r="C1287" s="15" t="s">
        <v>390</v>
      </c>
      <c r="D1287" s="15" t="s">
        <v>389</v>
      </c>
      <c r="E1287" s="15">
        <v>0.21</v>
      </c>
      <c r="F1287" s="131">
        <v>157726.99034297076</v>
      </c>
      <c r="G1287" s="17" t="e">
        <f t="shared" si="19"/>
        <v>#VALUE!</v>
      </c>
      <c r="H1287" s="141">
        <v>39</v>
      </c>
      <c r="I1287" s="141">
        <v>20</v>
      </c>
      <c r="J1287" s="149">
        <v>0</v>
      </c>
      <c r="K1287" s="150">
        <v>4</v>
      </c>
    </row>
    <row r="1288" spans="1:11" ht="30" customHeight="1">
      <c r="A1288" s="31">
        <v>65040</v>
      </c>
      <c r="B1288" s="16" t="s">
        <v>383</v>
      </c>
      <c r="C1288" s="15" t="s">
        <v>3055</v>
      </c>
      <c r="D1288" s="15" t="s">
        <v>3056</v>
      </c>
      <c r="E1288" s="15">
        <v>0.21</v>
      </c>
      <c r="F1288" s="131">
        <v>46868.463208120047</v>
      </c>
      <c r="G1288" s="17" t="e">
        <f t="shared" si="19"/>
        <v>#VALUE!</v>
      </c>
      <c r="H1288" s="141">
        <v>35</v>
      </c>
      <c r="I1288" s="141">
        <v>16</v>
      </c>
      <c r="J1288" s="149">
        <v>0</v>
      </c>
      <c r="K1288" s="150">
        <v>16</v>
      </c>
    </row>
    <row r="1289" spans="1:11" ht="30" customHeight="1">
      <c r="A1289" s="31">
        <v>65041</v>
      </c>
      <c r="B1289" s="16" t="s">
        <v>383</v>
      </c>
      <c r="C1289" s="15" t="s">
        <v>3055</v>
      </c>
      <c r="D1289" s="15" t="s">
        <v>3057</v>
      </c>
      <c r="E1289" s="15">
        <v>0.21</v>
      </c>
      <c r="F1289" s="131">
        <v>60131.001957659995</v>
      </c>
      <c r="G1289" s="17" t="e">
        <f t="shared" si="19"/>
        <v>#VALUE!</v>
      </c>
      <c r="H1289" s="141">
        <v>30</v>
      </c>
      <c r="I1289" s="141">
        <v>12</v>
      </c>
      <c r="J1289" s="149">
        <v>0</v>
      </c>
      <c r="K1289" s="150">
        <v>12</v>
      </c>
    </row>
    <row r="1290" spans="1:11" ht="30" customHeight="1">
      <c r="A1290" s="31">
        <v>65042</v>
      </c>
      <c r="B1290" s="16" t="s">
        <v>383</v>
      </c>
      <c r="C1290" s="15" t="s">
        <v>3055</v>
      </c>
      <c r="D1290" s="15" t="s">
        <v>3058</v>
      </c>
      <c r="E1290" s="15">
        <v>0.21</v>
      </c>
      <c r="F1290" s="131">
        <v>97333.547094081441</v>
      </c>
      <c r="G1290" s="17" t="e">
        <f t="shared" si="19"/>
        <v>#VALUE!</v>
      </c>
      <c r="H1290" s="141">
        <v>19</v>
      </c>
      <c r="I1290" s="141">
        <v>0</v>
      </c>
      <c r="J1290" s="149">
        <v>0</v>
      </c>
      <c r="K1290" s="150">
        <v>6</v>
      </c>
    </row>
    <row r="1291" spans="1:11" ht="30" customHeight="1">
      <c r="A1291" s="31">
        <v>65043</v>
      </c>
      <c r="B1291" s="16" t="s">
        <v>383</v>
      </c>
      <c r="C1291" s="15" t="s">
        <v>3055</v>
      </c>
      <c r="D1291" s="15" t="s">
        <v>3059</v>
      </c>
      <c r="E1291" s="15">
        <v>0.21</v>
      </c>
      <c r="F1291" s="131">
        <v>118014.11420000001</v>
      </c>
      <c r="G1291" s="17" t="e">
        <f t="shared" si="19"/>
        <v>#VALUE!</v>
      </c>
      <c r="H1291" s="141">
        <v>15</v>
      </c>
      <c r="I1291" s="141">
        <v>0</v>
      </c>
      <c r="J1291" s="149">
        <v>0</v>
      </c>
      <c r="K1291" s="150">
        <v>4</v>
      </c>
    </row>
    <row r="1292" spans="1:11" ht="30" customHeight="1">
      <c r="A1292" s="31">
        <v>65110</v>
      </c>
      <c r="B1292" s="16" t="s">
        <v>383</v>
      </c>
      <c r="C1292" s="15" t="s">
        <v>2396</v>
      </c>
      <c r="D1292" s="15" t="s">
        <v>2397</v>
      </c>
      <c r="E1292" s="15">
        <v>0.21</v>
      </c>
      <c r="F1292" s="131">
        <v>28447.938065739476</v>
      </c>
      <c r="G1292" s="17" t="e">
        <f t="shared" ref="G1292:G1355" si="20">(F1292*$G$6)</f>
        <v>#VALUE!</v>
      </c>
      <c r="H1292" s="141">
        <v>227</v>
      </c>
      <c r="I1292" s="141">
        <v>0</v>
      </c>
      <c r="J1292" s="149">
        <v>6</v>
      </c>
      <c r="K1292" s="150">
        <v>24</v>
      </c>
    </row>
    <row r="1293" spans="1:11" ht="30" customHeight="1">
      <c r="A1293" s="30">
        <v>65200</v>
      </c>
      <c r="B1293" s="16" t="s">
        <v>383</v>
      </c>
      <c r="C1293" s="15" t="s">
        <v>391</v>
      </c>
      <c r="D1293" s="15" t="s">
        <v>392</v>
      </c>
      <c r="E1293" s="15">
        <v>0.105</v>
      </c>
      <c r="F1293" s="131">
        <v>51832.521326587448</v>
      </c>
      <c r="G1293" s="17" t="e">
        <f t="shared" si="20"/>
        <v>#VALUE!</v>
      </c>
      <c r="H1293" s="141">
        <v>167</v>
      </c>
      <c r="I1293" s="141">
        <v>0</v>
      </c>
      <c r="J1293" s="149">
        <v>0</v>
      </c>
      <c r="K1293" s="150">
        <v>12</v>
      </c>
    </row>
    <row r="1294" spans="1:11" ht="30" customHeight="1">
      <c r="A1294" s="30">
        <v>65202</v>
      </c>
      <c r="B1294" s="16" t="s">
        <v>383</v>
      </c>
      <c r="C1294" s="15" t="s">
        <v>1885</v>
      </c>
      <c r="D1294" s="15" t="s">
        <v>393</v>
      </c>
      <c r="E1294" s="15">
        <v>0.21</v>
      </c>
      <c r="F1294" s="131">
        <v>4505.6889999999994</v>
      </c>
      <c r="G1294" s="17" t="e">
        <f t="shared" si="20"/>
        <v>#VALUE!</v>
      </c>
      <c r="H1294" s="141">
        <v>317</v>
      </c>
      <c r="I1294" s="141">
        <v>0</v>
      </c>
      <c r="J1294" s="149">
        <v>25</v>
      </c>
      <c r="K1294" s="150">
        <v>100</v>
      </c>
    </row>
    <row r="1295" spans="1:11" ht="30" customHeight="1">
      <c r="A1295" s="30">
        <v>65210</v>
      </c>
      <c r="B1295" s="16" t="s">
        <v>383</v>
      </c>
      <c r="C1295" s="15" t="s">
        <v>394</v>
      </c>
      <c r="D1295" s="15" t="s">
        <v>395</v>
      </c>
      <c r="E1295" s="15">
        <v>0.21</v>
      </c>
      <c r="F1295" s="131">
        <v>220227.44890710289</v>
      </c>
      <c r="G1295" s="17" t="e">
        <f t="shared" si="20"/>
        <v>#VALUE!</v>
      </c>
      <c r="H1295" s="141">
        <v>7</v>
      </c>
      <c r="I1295" s="141">
        <v>0</v>
      </c>
      <c r="J1295" s="149" t="e">
        <v>#N/A</v>
      </c>
      <c r="K1295" s="150" t="e">
        <v>#N/A</v>
      </c>
    </row>
    <row r="1296" spans="1:11" ht="30" customHeight="1">
      <c r="A1296" s="31">
        <v>65215</v>
      </c>
      <c r="B1296" s="16" t="s">
        <v>383</v>
      </c>
      <c r="C1296" s="15" t="s">
        <v>3237</v>
      </c>
      <c r="D1296" s="15" t="s">
        <v>2709</v>
      </c>
      <c r="E1296" s="15">
        <v>0.21</v>
      </c>
      <c r="F1296" s="131">
        <v>9750.9014637003875</v>
      </c>
      <c r="G1296" s="17" t="e">
        <f t="shared" si="20"/>
        <v>#VALUE!</v>
      </c>
      <c r="H1296" s="141">
        <v>293</v>
      </c>
      <c r="I1296" s="141">
        <v>0</v>
      </c>
      <c r="J1296" s="149">
        <v>10</v>
      </c>
      <c r="K1296" s="150">
        <v>120</v>
      </c>
    </row>
    <row r="1297" spans="1:11" ht="30" customHeight="1">
      <c r="A1297" s="30">
        <v>65223</v>
      </c>
      <c r="B1297" s="16" t="s">
        <v>383</v>
      </c>
      <c r="C1297" s="15" t="s">
        <v>3238</v>
      </c>
      <c r="D1297" s="15" t="s">
        <v>396</v>
      </c>
      <c r="E1297" s="15">
        <v>0.105</v>
      </c>
      <c r="F1297" s="131">
        <v>23269.536740784653</v>
      </c>
      <c r="G1297" s="17" t="e">
        <f t="shared" si="20"/>
        <v>#VALUE!</v>
      </c>
      <c r="H1297" s="141">
        <v>339</v>
      </c>
      <c r="I1297" s="141">
        <v>0</v>
      </c>
      <c r="J1297" s="149" t="e">
        <v>#N/A</v>
      </c>
      <c r="K1297" s="150" t="e">
        <v>#N/A</v>
      </c>
    </row>
    <row r="1298" spans="1:11" ht="30" customHeight="1">
      <c r="A1298" s="31">
        <v>65216</v>
      </c>
      <c r="B1298" s="16" t="s">
        <v>383</v>
      </c>
      <c r="C1298" s="15" t="s">
        <v>3239</v>
      </c>
      <c r="D1298" s="15" t="s">
        <v>396</v>
      </c>
      <c r="E1298" s="15">
        <v>0.21</v>
      </c>
      <c r="F1298" s="131">
        <v>15322.845157243466</v>
      </c>
      <c r="G1298" s="17" t="e">
        <f t="shared" si="20"/>
        <v>#VALUE!</v>
      </c>
      <c r="H1298" s="141">
        <v>116</v>
      </c>
      <c r="I1298" s="141">
        <v>60</v>
      </c>
      <c r="J1298" s="149">
        <v>10</v>
      </c>
      <c r="K1298" s="150">
        <v>60</v>
      </c>
    </row>
    <row r="1299" spans="1:11" ht="30" customHeight="1">
      <c r="A1299" s="30">
        <v>65225</v>
      </c>
      <c r="B1299" s="16" t="s">
        <v>383</v>
      </c>
      <c r="C1299" s="15" t="s">
        <v>3240</v>
      </c>
      <c r="D1299" s="15" t="s">
        <v>397</v>
      </c>
      <c r="E1299" s="15">
        <v>0.21</v>
      </c>
      <c r="F1299" s="131">
        <v>25798.834212609076</v>
      </c>
      <c r="G1299" s="17" t="e">
        <f t="shared" si="20"/>
        <v>#VALUE!</v>
      </c>
      <c r="H1299" s="141">
        <v>171</v>
      </c>
      <c r="I1299" s="141">
        <v>0</v>
      </c>
      <c r="J1299" s="149" t="e">
        <v>#N/A</v>
      </c>
      <c r="K1299" s="150" t="e">
        <v>#N/A</v>
      </c>
    </row>
    <row r="1300" spans="1:11" ht="30" customHeight="1">
      <c r="A1300" s="31">
        <v>65221</v>
      </c>
      <c r="B1300" s="16" t="s">
        <v>383</v>
      </c>
      <c r="C1300" s="15" t="s">
        <v>3241</v>
      </c>
      <c r="D1300" s="15" t="s">
        <v>397</v>
      </c>
      <c r="E1300" s="15">
        <v>0.21</v>
      </c>
      <c r="F1300" s="131">
        <v>28716.940574414333</v>
      </c>
      <c r="G1300" s="17" t="e">
        <f t="shared" si="20"/>
        <v>#VALUE!</v>
      </c>
      <c r="H1300" s="141">
        <v>158</v>
      </c>
      <c r="I1300" s="141">
        <v>0</v>
      </c>
      <c r="J1300" s="149">
        <v>0</v>
      </c>
      <c r="K1300" s="150">
        <v>48</v>
      </c>
    </row>
    <row r="1301" spans="1:11" ht="30" customHeight="1">
      <c r="A1301" s="30">
        <v>65501</v>
      </c>
      <c r="B1301" s="16" t="s">
        <v>383</v>
      </c>
      <c r="C1301" s="15" t="s">
        <v>1886</v>
      </c>
      <c r="D1301" s="15" t="s">
        <v>405</v>
      </c>
      <c r="E1301" s="15">
        <v>0.21</v>
      </c>
      <c r="F1301" s="131">
        <v>20789.950893344736</v>
      </c>
      <c r="G1301" s="17" t="e">
        <f t="shared" si="20"/>
        <v>#VALUE!</v>
      </c>
      <c r="H1301" s="141">
        <v>15</v>
      </c>
      <c r="I1301" s="141">
        <v>0</v>
      </c>
      <c r="J1301" s="149" t="e">
        <v>#N/A</v>
      </c>
      <c r="K1301" s="150" t="e">
        <v>#N/A</v>
      </c>
    </row>
    <row r="1302" spans="1:11" ht="30" customHeight="1">
      <c r="A1302" s="31">
        <v>65503</v>
      </c>
      <c r="B1302" s="16" t="s">
        <v>383</v>
      </c>
      <c r="C1302" s="15" t="s">
        <v>3242</v>
      </c>
      <c r="D1302" s="15" t="s">
        <v>2710</v>
      </c>
      <c r="E1302" s="15">
        <v>0.21</v>
      </c>
      <c r="F1302" s="131">
        <v>37503.467168078416</v>
      </c>
      <c r="G1302" s="17" t="e">
        <f t="shared" si="20"/>
        <v>#VALUE!</v>
      </c>
      <c r="H1302" s="141">
        <v>331</v>
      </c>
      <c r="I1302" s="141">
        <v>0</v>
      </c>
      <c r="J1302" s="149">
        <v>5</v>
      </c>
      <c r="K1302" s="150">
        <v>10</v>
      </c>
    </row>
    <row r="1303" spans="1:11" ht="30" customHeight="1">
      <c r="A1303" s="31">
        <v>65516</v>
      </c>
      <c r="B1303" s="16" t="s">
        <v>383</v>
      </c>
      <c r="C1303" s="15" t="s">
        <v>2982</v>
      </c>
      <c r="D1303" s="15" t="s">
        <v>2983</v>
      </c>
      <c r="E1303" s="15">
        <v>0.105</v>
      </c>
      <c r="F1303" s="131">
        <v>209733.03100000002</v>
      </c>
      <c r="G1303" s="17" t="e">
        <f t="shared" si="20"/>
        <v>#VALUE!</v>
      </c>
      <c r="H1303" s="141">
        <v>57</v>
      </c>
      <c r="I1303" s="141">
        <v>0</v>
      </c>
      <c r="J1303" s="149">
        <v>0</v>
      </c>
      <c r="K1303" s="150">
        <v>6</v>
      </c>
    </row>
    <row r="1304" spans="1:11" ht="30" customHeight="1">
      <c r="A1304" s="31">
        <v>65505</v>
      </c>
      <c r="B1304" s="16" t="s">
        <v>383</v>
      </c>
      <c r="C1304" s="15" t="s">
        <v>3243</v>
      </c>
      <c r="D1304" s="15" t="s">
        <v>2711</v>
      </c>
      <c r="E1304" s="15">
        <v>0.21</v>
      </c>
      <c r="F1304" s="131">
        <v>45218.46612836884</v>
      </c>
      <c r="G1304" s="17" t="e">
        <f t="shared" si="20"/>
        <v>#VALUE!</v>
      </c>
      <c r="H1304" s="141">
        <v>102</v>
      </c>
      <c r="I1304" s="141">
        <v>40</v>
      </c>
      <c r="J1304" s="149">
        <v>0</v>
      </c>
      <c r="K1304" s="150">
        <v>10</v>
      </c>
    </row>
    <row r="1305" spans="1:11" ht="30" customHeight="1">
      <c r="A1305" s="31">
        <v>65510</v>
      </c>
      <c r="B1305" s="16" t="s">
        <v>383</v>
      </c>
      <c r="C1305" s="15" t="s">
        <v>3244</v>
      </c>
      <c r="D1305" s="15" t="s">
        <v>2711</v>
      </c>
      <c r="E1305" s="15">
        <v>0.21</v>
      </c>
      <c r="F1305" s="131">
        <v>65256.032872456446</v>
      </c>
      <c r="G1305" s="17" t="e">
        <f t="shared" si="20"/>
        <v>#VALUE!</v>
      </c>
      <c r="H1305" s="141">
        <v>46</v>
      </c>
      <c r="I1305" s="141">
        <v>0</v>
      </c>
      <c r="J1305" s="149">
        <v>0</v>
      </c>
      <c r="K1305" s="150">
        <v>10</v>
      </c>
    </row>
    <row r="1306" spans="1:11" ht="30" customHeight="1">
      <c r="A1306" s="30">
        <v>62442</v>
      </c>
      <c r="B1306" s="16" t="s">
        <v>383</v>
      </c>
      <c r="C1306" s="15" t="s">
        <v>384</v>
      </c>
      <c r="D1306" s="15" t="s">
        <v>385</v>
      </c>
      <c r="E1306" s="15">
        <v>0.105</v>
      </c>
      <c r="F1306" s="131">
        <v>79788.333786077332</v>
      </c>
      <c r="G1306" s="17" t="e">
        <f t="shared" si="20"/>
        <v>#VALUE!</v>
      </c>
      <c r="H1306" s="141">
        <v>142</v>
      </c>
      <c r="I1306" s="141">
        <v>12</v>
      </c>
      <c r="J1306" s="149">
        <v>0</v>
      </c>
      <c r="K1306" s="150">
        <v>6</v>
      </c>
    </row>
    <row r="1307" spans="1:11" ht="30" customHeight="1">
      <c r="A1307" s="31">
        <v>62451</v>
      </c>
      <c r="B1307" s="16" t="s">
        <v>383</v>
      </c>
      <c r="C1307" s="15" t="s">
        <v>3245</v>
      </c>
      <c r="D1307" s="15" t="s">
        <v>2393</v>
      </c>
      <c r="E1307" s="15">
        <v>0.105</v>
      </c>
      <c r="F1307" s="131">
        <v>86363.829664508317</v>
      </c>
      <c r="G1307" s="17" t="e">
        <f t="shared" si="20"/>
        <v>#VALUE!</v>
      </c>
      <c r="H1307" s="141">
        <v>184</v>
      </c>
      <c r="I1307" s="141">
        <v>0</v>
      </c>
      <c r="J1307" s="149">
        <v>0</v>
      </c>
      <c r="K1307" s="150">
        <v>6</v>
      </c>
    </row>
    <row r="1308" spans="1:11" ht="30" customHeight="1">
      <c r="A1308" s="31">
        <v>62452</v>
      </c>
      <c r="B1308" s="16" t="s">
        <v>383</v>
      </c>
      <c r="C1308" s="15" t="s">
        <v>3245</v>
      </c>
      <c r="D1308" s="15" t="s">
        <v>2394</v>
      </c>
      <c r="E1308" s="15">
        <v>0.105</v>
      </c>
      <c r="F1308" s="131">
        <v>113772.70973767566</v>
      </c>
      <c r="G1308" s="17" t="e">
        <f t="shared" si="20"/>
        <v>#VALUE!</v>
      </c>
      <c r="H1308" s="141">
        <v>41</v>
      </c>
      <c r="I1308" s="141">
        <v>0</v>
      </c>
      <c r="J1308" s="149">
        <v>0</v>
      </c>
      <c r="K1308" s="150">
        <v>6</v>
      </c>
    </row>
    <row r="1309" spans="1:11" ht="30" customHeight="1">
      <c r="A1309" s="31">
        <v>62453</v>
      </c>
      <c r="B1309" s="16" t="s">
        <v>383</v>
      </c>
      <c r="C1309" s="15" t="s">
        <v>3245</v>
      </c>
      <c r="D1309" s="15" t="s">
        <v>2395</v>
      </c>
      <c r="E1309" s="15">
        <v>0.105</v>
      </c>
      <c r="F1309" s="131">
        <v>157213.19891024273</v>
      </c>
      <c r="G1309" s="17" t="e">
        <f t="shared" si="20"/>
        <v>#VALUE!</v>
      </c>
      <c r="H1309" s="141">
        <v>89</v>
      </c>
      <c r="I1309" s="141">
        <v>0</v>
      </c>
      <c r="J1309" s="149">
        <v>0</v>
      </c>
      <c r="K1309" s="150">
        <v>4</v>
      </c>
    </row>
    <row r="1310" spans="1:11" ht="30" customHeight="1">
      <c r="A1310" s="31">
        <v>62401</v>
      </c>
      <c r="B1310" s="16" t="s">
        <v>383</v>
      </c>
      <c r="C1310" s="15" t="s">
        <v>2388</v>
      </c>
      <c r="D1310" s="15" t="s">
        <v>2389</v>
      </c>
      <c r="E1310" s="15">
        <v>0.21</v>
      </c>
      <c r="F1310" s="131">
        <v>373328.78425173141</v>
      </c>
      <c r="G1310" s="17" t="e">
        <f t="shared" si="20"/>
        <v>#VALUE!</v>
      </c>
      <c r="H1310" s="141">
        <v>23</v>
      </c>
      <c r="I1310" s="141">
        <v>0</v>
      </c>
      <c r="J1310" s="149">
        <v>0</v>
      </c>
      <c r="K1310" s="150">
        <v>1</v>
      </c>
    </row>
    <row r="1311" spans="1:11" ht="30" customHeight="1">
      <c r="A1311" s="31">
        <v>62402</v>
      </c>
      <c r="B1311" s="16" t="s">
        <v>383</v>
      </c>
      <c r="C1311" s="15" t="s">
        <v>2388</v>
      </c>
      <c r="D1311" s="15" t="s">
        <v>2390</v>
      </c>
      <c r="E1311" s="15">
        <v>0.21</v>
      </c>
      <c r="F1311" s="131">
        <v>518985.14807408373</v>
      </c>
      <c r="G1311" s="17" t="e">
        <f t="shared" si="20"/>
        <v>#VALUE!</v>
      </c>
      <c r="H1311" s="141">
        <v>11</v>
      </c>
      <c r="I1311" s="141">
        <v>0</v>
      </c>
      <c r="J1311" s="149">
        <v>0</v>
      </c>
      <c r="K1311" s="150">
        <v>1</v>
      </c>
    </row>
    <row r="1312" spans="1:11" ht="30" customHeight="1">
      <c r="A1312" s="31">
        <v>62403</v>
      </c>
      <c r="B1312" s="16" t="s">
        <v>383</v>
      </c>
      <c r="C1312" s="15" t="s">
        <v>2388</v>
      </c>
      <c r="D1312" s="15" t="s">
        <v>2391</v>
      </c>
      <c r="E1312" s="15">
        <v>0.21</v>
      </c>
      <c r="F1312" s="131">
        <v>664641.5118964361</v>
      </c>
      <c r="G1312" s="17" t="e">
        <f t="shared" si="20"/>
        <v>#VALUE!</v>
      </c>
      <c r="H1312" s="141">
        <v>7</v>
      </c>
      <c r="I1312" s="141">
        <v>0</v>
      </c>
      <c r="J1312" s="149">
        <v>0</v>
      </c>
      <c r="K1312" s="150">
        <v>1</v>
      </c>
    </row>
    <row r="1313" spans="1:11" ht="30" customHeight="1">
      <c r="A1313" s="31">
        <v>62404</v>
      </c>
      <c r="B1313" s="16" t="s">
        <v>383</v>
      </c>
      <c r="C1313" s="15" t="s">
        <v>2388</v>
      </c>
      <c r="D1313" s="15" t="s">
        <v>2392</v>
      </c>
      <c r="E1313" s="15">
        <v>0.21</v>
      </c>
      <c r="F1313" s="131">
        <v>920760.00765534083</v>
      </c>
      <c r="G1313" s="17" t="e">
        <f t="shared" si="20"/>
        <v>#VALUE!</v>
      </c>
      <c r="H1313" s="141">
        <v>21</v>
      </c>
      <c r="I1313" s="141">
        <v>0</v>
      </c>
      <c r="J1313" s="149">
        <v>0</v>
      </c>
      <c r="K1313" s="150">
        <v>1</v>
      </c>
    </row>
    <row r="1314" spans="1:11" ht="30" customHeight="1">
      <c r="A1314" s="31">
        <v>62411</v>
      </c>
      <c r="B1314" s="16" t="s">
        <v>383</v>
      </c>
      <c r="C1314" s="15" t="s">
        <v>2715</v>
      </c>
      <c r="D1314" s="15" t="s">
        <v>2716</v>
      </c>
      <c r="E1314" s="15">
        <v>0.21</v>
      </c>
      <c r="F1314" s="131">
        <v>269055.2844</v>
      </c>
      <c r="G1314" s="17" t="e">
        <f t="shared" si="20"/>
        <v>#VALUE!</v>
      </c>
      <c r="H1314" s="141">
        <v>23</v>
      </c>
      <c r="I1314" s="141">
        <v>15</v>
      </c>
      <c r="J1314" s="149">
        <v>0</v>
      </c>
      <c r="K1314" s="150">
        <v>1</v>
      </c>
    </row>
    <row r="1315" spans="1:11" ht="30" customHeight="1">
      <c r="A1315" s="31">
        <v>62412</v>
      </c>
      <c r="B1315" s="16" t="s">
        <v>383</v>
      </c>
      <c r="C1315" s="15" t="s">
        <v>2715</v>
      </c>
      <c r="D1315" s="15" t="s">
        <v>2717</v>
      </c>
      <c r="E1315" s="15">
        <v>0.21</v>
      </c>
      <c r="F1315" s="131">
        <v>326611.74419638567</v>
      </c>
      <c r="G1315" s="17" t="e">
        <f t="shared" si="20"/>
        <v>#VALUE!</v>
      </c>
      <c r="H1315" s="141">
        <v>10</v>
      </c>
      <c r="I1315" s="141">
        <v>5</v>
      </c>
      <c r="J1315" s="149">
        <v>0</v>
      </c>
      <c r="K1315" s="150">
        <v>1</v>
      </c>
    </row>
    <row r="1316" spans="1:11" ht="30" customHeight="1">
      <c r="A1316" s="31">
        <v>62413</v>
      </c>
      <c r="B1316" s="16" t="s">
        <v>383</v>
      </c>
      <c r="C1316" s="15" t="s">
        <v>2715</v>
      </c>
      <c r="D1316" s="15" t="s">
        <v>2718</v>
      </c>
      <c r="E1316" s="15">
        <v>0.21</v>
      </c>
      <c r="F1316" s="131">
        <v>512823.81733718229</v>
      </c>
      <c r="G1316" s="17" t="e">
        <f t="shared" si="20"/>
        <v>#VALUE!</v>
      </c>
      <c r="H1316" s="141">
        <v>13</v>
      </c>
      <c r="I1316" s="141">
        <v>3</v>
      </c>
      <c r="J1316" s="149">
        <v>0</v>
      </c>
      <c r="K1316" s="150">
        <v>1</v>
      </c>
    </row>
    <row r="1317" spans="1:11" ht="30" customHeight="1">
      <c r="A1317" s="31">
        <v>62414</v>
      </c>
      <c r="B1317" s="16" t="s">
        <v>383</v>
      </c>
      <c r="C1317" s="15" t="s">
        <v>2715</v>
      </c>
      <c r="D1317" s="15" t="s">
        <v>2719</v>
      </c>
      <c r="E1317" s="15">
        <v>0.21</v>
      </c>
      <c r="F1317" s="131">
        <v>715223.64456351381</v>
      </c>
      <c r="G1317" s="17" t="e">
        <f t="shared" si="20"/>
        <v>#VALUE!</v>
      </c>
      <c r="H1317" s="141">
        <v>7</v>
      </c>
      <c r="I1317" s="141">
        <v>0</v>
      </c>
      <c r="J1317" s="149">
        <v>0</v>
      </c>
      <c r="K1317" s="150">
        <v>1</v>
      </c>
    </row>
    <row r="1318" spans="1:11" ht="30" customHeight="1">
      <c r="A1318" s="31">
        <v>65390</v>
      </c>
      <c r="B1318" s="16" t="s">
        <v>383</v>
      </c>
      <c r="C1318" s="15" t="s">
        <v>4219</v>
      </c>
      <c r="D1318" s="15" t="s">
        <v>2984</v>
      </c>
      <c r="E1318" s="15">
        <v>0.21</v>
      </c>
      <c r="F1318" s="131">
        <v>84339.0484</v>
      </c>
      <c r="G1318" s="17" t="e">
        <f t="shared" si="20"/>
        <v>#VALUE!</v>
      </c>
      <c r="H1318" s="141">
        <v>45</v>
      </c>
      <c r="I1318" s="141">
        <v>0</v>
      </c>
      <c r="J1318" s="149" t="e">
        <v>#N/A</v>
      </c>
      <c r="K1318" s="150" t="e">
        <v>#N/A</v>
      </c>
    </row>
    <row r="1319" spans="1:11" ht="30" customHeight="1">
      <c r="A1319" s="30">
        <v>65402</v>
      </c>
      <c r="B1319" s="16" t="s">
        <v>383</v>
      </c>
      <c r="C1319" s="15" t="s">
        <v>4220</v>
      </c>
      <c r="D1319" s="15" t="s">
        <v>400</v>
      </c>
      <c r="E1319" s="15">
        <v>0.21</v>
      </c>
      <c r="F1319" s="131">
        <v>81874.295939797827</v>
      </c>
      <c r="G1319" s="17" t="e">
        <f t="shared" si="20"/>
        <v>#VALUE!</v>
      </c>
      <c r="H1319" s="141">
        <v>2</v>
      </c>
      <c r="I1319" s="141">
        <v>0</v>
      </c>
      <c r="J1319" s="149" t="e">
        <v>#N/A</v>
      </c>
      <c r="K1319" s="150" t="e">
        <v>#N/A</v>
      </c>
    </row>
    <row r="1320" spans="1:11" ht="30" customHeight="1">
      <c r="A1320" s="30">
        <v>65404</v>
      </c>
      <c r="B1320" s="16" t="s">
        <v>383</v>
      </c>
      <c r="C1320" s="15" t="s">
        <v>4219</v>
      </c>
      <c r="D1320" s="15" t="s">
        <v>2985</v>
      </c>
      <c r="E1320" s="15">
        <v>0.21</v>
      </c>
      <c r="F1320" s="131">
        <v>102713.56590342213</v>
      </c>
      <c r="G1320" s="17" t="e">
        <f t="shared" si="20"/>
        <v>#VALUE!</v>
      </c>
      <c r="H1320" s="141">
        <v>20</v>
      </c>
      <c r="I1320" s="141">
        <v>0</v>
      </c>
      <c r="J1320" s="149" t="e">
        <v>#N/A</v>
      </c>
      <c r="K1320" s="150" t="e">
        <v>#N/A</v>
      </c>
    </row>
    <row r="1321" spans="1:11" ht="30" customHeight="1">
      <c r="A1321" s="31">
        <v>65392</v>
      </c>
      <c r="B1321" s="16" t="s">
        <v>383</v>
      </c>
      <c r="C1321" s="15" t="s">
        <v>4219</v>
      </c>
      <c r="D1321" s="15" t="s">
        <v>2985</v>
      </c>
      <c r="E1321" s="15">
        <v>0.21</v>
      </c>
      <c r="F1321" s="131">
        <v>98494.691200000016</v>
      </c>
      <c r="G1321" s="17" t="e">
        <f t="shared" si="20"/>
        <v>#VALUE!</v>
      </c>
      <c r="H1321" s="141">
        <v>22</v>
      </c>
      <c r="I1321" s="141">
        <v>0</v>
      </c>
      <c r="J1321" s="149" t="e">
        <v>#N/A</v>
      </c>
      <c r="K1321" s="150" t="e">
        <v>#N/A</v>
      </c>
    </row>
    <row r="1322" spans="1:11" ht="30" customHeight="1">
      <c r="A1322" s="30">
        <v>65406</v>
      </c>
      <c r="B1322" s="16" t="s">
        <v>383</v>
      </c>
      <c r="C1322" s="15" t="s">
        <v>4221</v>
      </c>
      <c r="D1322" s="15" t="s">
        <v>401</v>
      </c>
      <c r="E1322" s="15">
        <v>0.21</v>
      </c>
      <c r="F1322" s="131">
        <v>116781.27755623597</v>
      </c>
      <c r="G1322" s="17" t="e">
        <f t="shared" si="20"/>
        <v>#VALUE!</v>
      </c>
      <c r="H1322" s="141">
        <v>5</v>
      </c>
      <c r="I1322" s="141">
        <v>0</v>
      </c>
      <c r="J1322" s="149" t="e">
        <v>#N/A</v>
      </c>
      <c r="K1322" s="150" t="e">
        <v>#N/A</v>
      </c>
    </row>
    <row r="1323" spans="1:11" ht="30" customHeight="1">
      <c r="A1323" s="31">
        <v>65393</v>
      </c>
      <c r="B1323" s="16" t="s">
        <v>383</v>
      </c>
      <c r="C1323" s="15" t="s">
        <v>4219</v>
      </c>
      <c r="D1323" s="15" t="s">
        <v>2986</v>
      </c>
      <c r="E1323" s="15">
        <v>0.21</v>
      </c>
      <c r="F1323" s="131">
        <v>118954.9384</v>
      </c>
      <c r="G1323" s="17" t="e">
        <f>(F1323*$G$6)</f>
        <v>#VALUE!</v>
      </c>
      <c r="H1323" s="141">
        <v>111</v>
      </c>
      <c r="I1323" s="141">
        <v>0</v>
      </c>
      <c r="J1323" s="149" t="e">
        <v>#N/A</v>
      </c>
      <c r="K1323" s="150" t="e">
        <v>#N/A</v>
      </c>
    </row>
    <row r="1324" spans="1:11" ht="30" customHeight="1">
      <c r="A1324" s="30">
        <v>65410</v>
      </c>
      <c r="B1324" s="16" t="s">
        <v>383</v>
      </c>
      <c r="C1324" s="15" t="s">
        <v>4219</v>
      </c>
      <c r="D1324" s="15" t="s">
        <v>2987</v>
      </c>
      <c r="E1324" s="15">
        <v>0.21</v>
      </c>
      <c r="F1324" s="131">
        <v>145976.59694529502</v>
      </c>
      <c r="G1324" s="17" t="e">
        <f>(F1324*$G$6)</f>
        <v>#VALUE!</v>
      </c>
      <c r="H1324" s="141">
        <v>3</v>
      </c>
      <c r="I1324" s="141">
        <v>0</v>
      </c>
      <c r="J1324" s="149" t="e">
        <v>#N/A</v>
      </c>
      <c r="K1324" s="150" t="e">
        <v>#N/A</v>
      </c>
    </row>
    <row r="1325" spans="1:11" ht="30" customHeight="1">
      <c r="A1325" s="31">
        <v>65395</v>
      </c>
      <c r="B1325" s="16" t="s">
        <v>383</v>
      </c>
      <c r="C1325" s="15" t="s">
        <v>4222</v>
      </c>
      <c r="D1325" s="15" t="s">
        <v>2987</v>
      </c>
      <c r="E1325" s="15">
        <v>0.105</v>
      </c>
      <c r="F1325" s="131">
        <v>147236.6606</v>
      </c>
      <c r="G1325" s="17" t="e">
        <f>(F1325*$G$6)</f>
        <v>#VALUE!</v>
      </c>
      <c r="H1325" s="141">
        <v>31</v>
      </c>
      <c r="I1325" s="141">
        <v>0</v>
      </c>
      <c r="J1325" s="149">
        <v>0</v>
      </c>
      <c r="K1325" s="150">
        <v>4</v>
      </c>
    </row>
    <row r="1326" spans="1:11" ht="30" customHeight="1">
      <c r="A1326" s="31">
        <v>65397</v>
      </c>
      <c r="B1326" s="16" t="s">
        <v>383</v>
      </c>
      <c r="C1326" s="15" t="s">
        <v>4219</v>
      </c>
      <c r="D1326" s="15" t="s">
        <v>2989</v>
      </c>
      <c r="E1326" s="15">
        <v>0.21</v>
      </c>
      <c r="F1326" s="131">
        <v>234341.22780000002</v>
      </c>
      <c r="G1326" s="17" t="e">
        <f t="shared" si="20"/>
        <v>#VALUE!</v>
      </c>
      <c r="H1326" s="141">
        <v>0</v>
      </c>
      <c r="I1326" s="141">
        <v>0</v>
      </c>
      <c r="J1326" s="149" t="e">
        <v>#N/A</v>
      </c>
      <c r="K1326" s="150" t="e">
        <v>#N/A</v>
      </c>
    </row>
    <row r="1327" spans="1:11" ht="30" customHeight="1">
      <c r="A1327" s="31">
        <v>65399</v>
      </c>
      <c r="B1327" s="16" t="s">
        <v>383</v>
      </c>
      <c r="C1327" s="15" t="s">
        <v>4223</v>
      </c>
      <c r="D1327" s="15" t="s">
        <v>3585</v>
      </c>
      <c r="E1327" s="15">
        <v>0.21</v>
      </c>
      <c r="F1327" s="131">
        <v>603458.40280000004</v>
      </c>
      <c r="G1327" s="17" t="e">
        <f t="shared" si="20"/>
        <v>#VALUE!</v>
      </c>
      <c r="H1327" s="141">
        <v>3</v>
      </c>
      <c r="I1327" s="141">
        <v>0</v>
      </c>
      <c r="J1327" s="149" t="e">
        <v>#N/A</v>
      </c>
      <c r="K1327" s="150" t="e">
        <v>#N/A</v>
      </c>
    </row>
    <row r="1328" spans="1:11" ht="30" customHeight="1">
      <c r="A1328" s="30">
        <v>65420</v>
      </c>
      <c r="B1328" s="16" t="s">
        <v>383</v>
      </c>
      <c r="C1328" s="15" t="s">
        <v>4219</v>
      </c>
      <c r="D1328" s="15" t="s">
        <v>2989</v>
      </c>
      <c r="E1328" s="15">
        <v>0.21</v>
      </c>
      <c r="F1328" s="131">
        <v>226432.34509666235</v>
      </c>
      <c r="G1328" s="17" t="e">
        <f t="shared" si="20"/>
        <v>#VALUE!</v>
      </c>
      <c r="H1328" s="141">
        <v>3</v>
      </c>
      <c r="I1328" s="141">
        <v>0</v>
      </c>
      <c r="J1328" s="149">
        <v>0</v>
      </c>
      <c r="K1328" s="150">
        <v>2</v>
      </c>
    </row>
    <row r="1329" spans="1:11" ht="30" customHeight="1">
      <c r="A1329" s="31">
        <v>65421</v>
      </c>
      <c r="B1329" s="16" t="s">
        <v>383</v>
      </c>
      <c r="C1329" s="15" t="s">
        <v>4219</v>
      </c>
      <c r="D1329" s="15" t="s">
        <v>3586</v>
      </c>
      <c r="E1329" s="15">
        <v>0.21</v>
      </c>
      <c r="F1329" s="131">
        <v>499010.41886211769</v>
      </c>
      <c r="G1329" s="17" t="e">
        <f t="shared" si="20"/>
        <v>#VALUE!</v>
      </c>
      <c r="H1329" s="141">
        <v>0</v>
      </c>
      <c r="I1329" s="141">
        <v>0</v>
      </c>
      <c r="J1329" s="149">
        <v>0</v>
      </c>
      <c r="K1329" s="150">
        <v>1</v>
      </c>
    </row>
    <row r="1330" spans="1:11" ht="30" customHeight="1">
      <c r="A1330" s="31">
        <v>65422</v>
      </c>
      <c r="B1330" s="16" t="s">
        <v>383</v>
      </c>
      <c r="C1330" s="15" t="s">
        <v>4219</v>
      </c>
      <c r="D1330" s="15" t="s">
        <v>3587</v>
      </c>
      <c r="E1330" s="15">
        <v>0.21</v>
      </c>
      <c r="F1330" s="131">
        <v>661561.16084490344</v>
      </c>
      <c r="G1330" s="17" t="e">
        <f t="shared" si="20"/>
        <v>#VALUE!</v>
      </c>
      <c r="H1330" s="141">
        <v>0</v>
      </c>
      <c r="I1330" s="141">
        <v>0</v>
      </c>
      <c r="J1330" s="149" t="e">
        <v>#N/A</v>
      </c>
      <c r="K1330" s="150" t="e">
        <v>#N/A</v>
      </c>
    </row>
    <row r="1331" spans="1:11" ht="30" customHeight="1">
      <c r="A1331" s="31">
        <v>65425</v>
      </c>
      <c r="B1331" s="16" t="s">
        <v>383</v>
      </c>
      <c r="C1331" s="15" t="s">
        <v>4224</v>
      </c>
      <c r="D1331" s="15" t="s">
        <v>2984</v>
      </c>
      <c r="E1331" s="15">
        <v>0.21</v>
      </c>
      <c r="F1331" s="131">
        <v>76693.848886014603</v>
      </c>
      <c r="G1331" s="17" t="e">
        <f t="shared" si="20"/>
        <v>#VALUE!</v>
      </c>
      <c r="H1331" s="141">
        <v>20</v>
      </c>
      <c r="I1331" s="141">
        <v>6</v>
      </c>
      <c r="J1331" s="149">
        <v>0</v>
      </c>
      <c r="K1331" s="150">
        <v>6</v>
      </c>
    </row>
    <row r="1332" spans="1:11" ht="30" customHeight="1">
      <c r="A1332" s="31">
        <v>65427</v>
      </c>
      <c r="B1332" s="16" t="s">
        <v>383</v>
      </c>
      <c r="C1332" s="15" t="s">
        <v>4224</v>
      </c>
      <c r="D1332" s="15" t="s">
        <v>2985</v>
      </c>
      <c r="E1332" s="15">
        <v>0.21</v>
      </c>
      <c r="F1332" s="131">
        <v>97384.635455982585</v>
      </c>
      <c r="G1332" s="17" t="e">
        <f t="shared" si="20"/>
        <v>#VALUE!</v>
      </c>
      <c r="H1332" s="141">
        <v>16</v>
      </c>
      <c r="I1332" s="141">
        <v>0</v>
      </c>
      <c r="J1332" s="149">
        <v>0</v>
      </c>
      <c r="K1332" s="150">
        <v>6</v>
      </c>
    </row>
    <row r="1333" spans="1:11" ht="30" customHeight="1">
      <c r="A1333" s="31">
        <v>65429</v>
      </c>
      <c r="B1333" s="16" t="s">
        <v>383</v>
      </c>
      <c r="C1333" s="15" t="s">
        <v>4224</v>
      </c>
      <c r="D1333" s="15" t="s">
        <v>2986</v>
      </c>
      <c r="E1333" s="15">
        <v>0.21</v>
      </c>
      <c r="F1333" s="131">
        <v>123730.90368840848</v>
      </c>
      <c r="G1333" s="17" t="e">
        <f t="shared" si="20"/>
        <v>#VALUE!</v>
      </c>
      <c r="H1333" s="141">
        <v>16</v>
      </c>
      <c r="I1333" s="141">
        <v>0</v>
      </c>
      <c r="J1333" s="149">
        <v>0</v>
      </c>
      <c r="K1333" s="150">
        <v>4</v>
      </c>
    </row>
    <row r="1334" spans="1:11" ht="30" customHeight="1">
      <c r="A1334" s="31">
        <v>65431</v>
      </c>
      <c r="B1334" s="16" t="s">
        <v>383</v>
      </c>
      <c r="C1334" s="15" t="s">
        <v>4224</v>
      </c>
      <c r="D1334" s="15" t="s">
        <v>2987</v>
      </c>
      <c r="E1334" s="15">
        <v>0.21</v>
      </c>
      <c r="F1334" s="131">
        <v>153249.75919489609</v>
      </c>
      <c r="G1334" s="17" t="e">
        <f t="shared" si="20"/>
        <v>#VALUE!</v>
      </c>
      <c r="H1334" s="141">
        <v>8</v>
      </c>
      <c r="I1334" s="141">
        <v>2</v>
      </c>
      <c r="J1334" s="149">
        <v>0</v>
      </c>
      <c r="K1334" s="150">
        <v>2</v>
      </c>
    </row>
    <row r="1335" spans="1:11" ht="30" customHeight="1">
      <c r="A1335" s="31">
        <v>65432</v>
      </c>
      <c r="B1335" s="16" t="s">
        <v>383</v>
      </c>
      <c r="C1335" s="15" t="s">
        <v>4224</v>
      </c>
      <c r="D1335" s="15" t="s">
        <v>2988</v>
      </c>
      <c r="E1335" s="15">
        <v>0.21</v>
      </c>
      <c r="F1335" s="131">
        <v>190493.17502083848</v>
      </c>
      <c r="G1335" s="17" t="e">
        <f t="shared" si="20"/>
        <v>#VALUE!</v>
      </c>
      <c r="H1335" s="141">
        <v>6</v>
      </c>
      <c r="I1335" s="141">
        <v>0</v>
      </c>
      <c r="J1335" s="149">
        <v>0</v>
      </c>
      <c r="K1335" s="150">
        <v>2</v>
      </c>
    </row>
    <row r="1336" spans="1:11" ht="30" customHeight="1">
      <c r="A1336" s="31">
        <v>65433</v>
      </c>
      <c r="B1336" s="16" t="s">
        <v>383</v>
      </c>
      <c r="C1336" s="15" t="s">
        <v>4224</v>
      </c>
      <c r="D1336" s="15" t="s">
        <v>2989</v>
      </c>
      <c r="E1336" s="15">
        <v>0.21</v>
      </c>
      <c r="F1336" s="131">
        <v>282498.20596862939</v>
      </c>
      <c r="G1336" s="17" t="e">
        <f t="shared" si="20"/>
        <v>#VALUE!</v>
      </c>
      <c r="H1336" s="141">
        <v>10</v>
      </c>
      <c r="I1336" s="141">
        <v>0</v>
      </c>
      <c r="J1336" s="149">
        <v>0</v>
      </c>
      <c r="K1336" s="150">
        <v>2</v>
      </c>
    </row>
    <row r="1337" spans="1:11" ht="30" customHeight="1">
      <c r="A1337" s="30">
        <v>65462</v>
      </c>
      <c r="B1337" s="16" t="s">
        <v>383</v>
      </c>
      <c r="C1337" s="15" t="s">
        <v>4219</v>
      </c>
      <c r="D1337" s="15" t="s">
        <v>2984</v>
      </c>
      <c r="E1337" s="15">
        <v>0.21</v>
      </c>
      <c r="F1337" s="131">
        <v>219529.53096784314</v>
      </c>
      <c r="G1337" s="17" t="e">
        <f t="shared" si="20"/>
        <v>#VALUE!</v>
      </c>
      <c r="H1337" s="141">
        <v>17</v>
      </c>
      <c r="I1337" s="141">
        <v>10</v>
      </c>
      <c r="J1337" s="149">
        <v>0</v>
      </c>
      <c r="K1337" s="150">
        <v>1</v>
      </c>
    </row>
    <row r="1338" spans="1:11" ht="30" customHeight="1">
      <c r="A1338" s="30">
        <v>65463</v>
      </c>
      <c r="B1338" s="16" t="s">
        <v>383</v>
      </c>
      <c r="C1338" s="15" t="s">
        <v>4219</v>
      </c>
      <c r="D1338" s="15" t="s">
        <v>3588</v>
      </c>
      <c r="E1338" s="15">
        <v>0.21</v>
      </c>
      <c r="F1338" s="131">
        <v>384614.0915268776</v>
      </c>
      <c r="G1338" s="17" t="e">
        <f t="shared" si="20"/>
        <v>#VALUE!</v>
      </c>
      <c r="H1338" s="141">
        <v>32</v>
      </c>
      <c r="I1338" s="141">
        <v>0</v>
      </c>
      <c r="J1338" s="149">
        <v>0</v>
      </c>
      <c r="K1338" s="150">
        <v>1</v>
      </c>
    </row>
    <row r="1339" spans="1:11" ht="30" customHeight="1">
      <c r="A1339" s="30">
        <v>65464</v>
      </c>
      <c r="B1339" s="16" t="s">
        <v>383</v>
      </c>
      <c r="C1339" s="15" t="s">
        <v>4219</v>
      </c>
      <c r="D1339" s="15" t="s">
        <v>3588</v>
      </c>
      <c r="E1339" s="15">
        <v>0.21</v>
      </c>
      <c r="F1339" s="131">
        <v>777910.73043431842</v>
      </c>
      <c r="G1339" s="17" t="e">
        <f t="shared" si="20"/>
        <v>#VALUE!</v>
      </c>
      <c r="H1339" s="141">
        <v>9</v>
      </c>
      <c r="I1339" s="141">
        <v>2</v>
      </c>
      <c r="J1339" s="149">
        <v>0</v>
      </c>
      <c r="K1339" s="150">
        <v>1</v>
      </c>
    </row>
    <row r="1340" spans="1:11" ht="30" customHeight="1">
      <c r="A1340" s="30">
        <v>65482</v>
      </c>
      <c r="B1340" s="16" t="s">
        <v>383</v>
      </c>
      <c r="C1340" s="15" t="s">
        <v>402</v>
      </c>
      <c r="D1340" s="15" t="s">
        <v>403</v>
      </c>
      <c r="E1340" s="15">
        <v>0.21</v>
      </c>
      <c r="F1340" s="131">
        <v>113346.86968670238</v>
      </c>
      <c r="G1340" s="17" t="e">
        <f t="shared" si="20"/>
        <v>#VALUE!</v>
      </c>
      <c r="H1340" s="141">
        <v>39</v>
      </c>
      <c r="I1340" s="141">
        <v>10</v>
      </c>
      <c r="J1340" s="149">
        <v>0</v>
      </c>
      <c r="K1340" s="150">
        <v>2</v>
      </c>
    </row>
    <row r="1341" spans="1:11" ht="30" customHeight="1">
      <c r="A1341" s="30">
        <v>65483</v>
      </c>
      <c r="B1341" s="16" t="s">
        <v>383</v>
      </c>
      <c r="C1341" s="15" t="s">
        <v>402</v>
      </c>
      <c r="D1341" s="15" t="s">
        <v>404</v>
      </c>
      <c r="E1341" s="15">
        <v>0.21</v>
      </c>
      <c r="F1341" s="131">
        <v>143164.09176908247</v>
      </c>
      <c r="G1341" s="17" t="e">
        <f t="shared" si="20"/>
        <v>#VALUE!</v>
      </c>
      <c r="H1341" s="141">
        <v>36</v>
      </c>
      <c r="I1341" s="141">
        <v>0</v>
      </c>
      <c r="J1341" s="149">
        <v>0</v>
      </c>
      <c r="K1341" s="150">
        <v>2</v>
      </c>
    </row>
    <row r="1342" spans="1:11" ht="30" customHeight="1">
      <c r="A1342" s="31">
        <v>65484</v>
      </c>
      <c r="B1342" s="16" t="s">
        <v>383</v>
      </c>
      <c r="C1342" s="15" t="s">
        <v>402</v>
      </c>
      <c r="D1342" s="15" t="s">
        <v>2398</v>
      </c>
      <c r="E1342" s="15">
        <v>0.21</v>
      </c>
      <c r="F1342" s="131">
        <v>273591.88475577754</v>
      </c>
      <c r="G1342" s="17" t="e">
        <f t="shared" si="20"/>
        <v>#VALUE!</v>
      </c>
      <c r="H1342" s="141">
        <v>25</v>
      </c>
      <c r="I1342" s="141">
        <v>0</v>
      </c>
      <c r="J1342" s="149">
        <v>0</v>
      </c>
      <c r="K1342" s="150">
        <v>1</v>
      </c>
    </row>
    <row r="1343" spans="1:11" ht="30" customHeight="1">
      <c r="A1343" s="31">
        <v>65232</v>
      </c>
      <c r="B1343" s="16" t="s">
        <v>383</v>
      </c>
      <c r="C1343" s="15" t="s">
        <v>1815</v>
      </c>
      <c r="D1343" s="15" t="s">
        <v>1816</v>
      </c>
      <c r="E1343" s="15">
        <v>0.21</v>
      </c>
      <c r="F1343" s="131">
        <v>10046.671112804877</v>
      </c>
      <c r="G1343" s="17" t="e">
        <f t="shared" si="20"/>
        <v>#VALUE!</v>
      </c>
      <c r="H1343" s="141">
        <v>246</v>
      </c>
      <c r="I1343" s="141">
        <v>96</v>
      </c>
      <c r="J1343" s="149">
        <v>0</v>
      </c>
      <c r="K1343" s="150">
        <v>48</v>
      </c>
    </row>
    <row r="1344" spans="1:11" ht="30" customHeight="1">
      <c r="A1344" s="30">
        <v>65228</v>
      </c>
      <c r="B1344" s="16" t="s">
        <v>383</v>
      </c>
      <c r="C1344" s="15" t="s">
        <v>1888</v>
      </c>
      <c r="D1344" s="15" t="s">
        <v>1814</v>
      </c>
      <c r="E1344" s="15">
        <v>0.21</v>
      </c>
      <c r="F1344" s="131">
        <v>4465.187161246613</v>
      </c>
      <c r="G1344" s="17" t="e">
        <f t="shared" si="20"/>
        <v>#VALUE!</v>
      </c>
      <c r="H1344" s="141">
        <v>664</v>
      </c>
      <c r="I1344" s="141">
        <v>0</v>
      </c>
      <c r="J1344" s="149">
        <v>36</v>
      </c>
      <c r="K1344" s="150">
        <v>72</v>
      </c>
    </row>
    <row r="1345" spans="1:11" ht="30" customHeight="1">
      <c r="A1345" s="30">
        <v>65230</v>
      </c>
      <c r="B1345" s="16" t="s">
        <v>383</v>
      </c>
      <c r="C1345" s="15" t="s">
        <v>398</v>
      </c>
      <c r="D1345" s="15" t="s">
        <v>399</v>
      </c>
      <c r="E1345" s="15">
        <v>0.21</v>
      </c>
      <c r="F1345" s="131">
        <v>5333.4179981556754</v>
      </c>
      <c r="G1345" s="17" t="e">
        <f t="shared" si="20"/>
        <v>#VALUE!</v>
      </c>
      <c r="H1345" s="141">
        <v>697</v>
      </c>
      <c r="I1345" s="141">
        <v>250</v>
      </c>
      <c r="J1345" s="149">
        <v>0</v>
      </c>
      <c r="K1345" s="150">
        <v>50</v>
      </c>
    </row>
    <row r="1346" spans="1:11" ht="30" customHeight="1">
      <c r="A1346" s="31">
        <v>65495</v>
      </c>
      <c r="B1346" s="16" t="s">
        <v>383</v>
      </c>
      <c r="C1346" s="15" t="s">
        <v>2747</v>
      </c>
      <c r="D1346" s="15" t="s">
        <v>2748</v>
      </c>
      <c r="E1346" s="15">
        <v>0.21</v>
      </c>
      <c r="F1346" s="131">
        <v>196335.26537393607</v>
      </c>
      <c r="G1346" s="17" t="e">
        <f t="shared" si="20"/>
        <v>#VALUE!</v>
      </c>
      <c r="H1346" s="141">
        <v>23</v>
      </c>
      <c r="I1346" s="141">
        <v>3</v>
      </c>
      <c r="J1346" s="149">
        <v>0</v>
      </c>
      <c r="K1346" s="150">
        <v>1</v>
      </c>
    </row>
    <row r="1347" spans="1:11" ht="30" customHeight="1">
      <c r="A1347" s="30">
        <v>65601</v>
      </c>
      <c r="B1347" s="16" t="s">
        <v>383</v>
      </c>
      <c r="C1347" s="15" t="s">
        <v>1887</v>
      </c>
      <c r="D1347" s="15" t="s">
        <v>597</v>
      </c>
      <c r="E1347" s="15">
        <v>0.21</v>
      </c>
      <c r="F1347" s="131">
        <v>59594.991400000006</v>
      </c>
      <c r="G1347" s="17" t="e">
        <f t="shared" si="20"/>
        <v>#VALUE!</v>
      </c>
      <c r="H1347" s="141">
        <v>315</v>
      </c>
      <c r="I1347" s="141">
        <v>50</v>
      </c>
      <c r="J1347" s="149">
        <v>0</v>
      </c>
      <c r="K1347" s="150">
        <v>10</v>
      </c>
    </row>
    <row r="1348" spans="1:11" ht="30" customHeight="1">
      <c r="A1348" s="31">
        <v>66001</v>
      </c>
      <c r="B1348" s="16" t="s">
        <v>383</v>
      </c>
      <c r="C1348" s="15" t="s">
        <v>3246</v>
      </c>
      <c r="D1348" s="15" t="s">
        <v>2712</v>
      </c>
      <c r="E1348" s="15">
        <v>0.21</v>
      </c>
      <c r="F1348" s="131">
        <v>8040.9758856253029</v>
      </c>
      <c r="G1348" s="17" t="e">
        <f t="shared" si="20"/>
        <v>#VALUE!</v>
      </c>
      <c r="H1348" s="141">
        <v>345</v>
      </c>
      <c r="I1348" s="141">
        <v>120</v>
      </c>
      <c r="J1348" s="149">
        <v>20</v>
      </c>
      <c r="K1348" s="150">
        <v>120</v>
      </c>
    </row>
    <row r="1349" spans="1:11" ht="30" customHeight="1">
      <c r="A1349" s="31">
        <v>66003</v>
      </c>
      <c r="B1349" s="16" t="s">
        <v>383</v>
      </c>
      <c r="C1349" s="15" t="s">
        <v>3246</v>
      </c>
      <c r="D1349" s="15" t="s">
        <v>2713</v>
      </c>
      <c r="E1349" s="15">
        <v>0.21</v>
      </c>
      <c r="F1349" s="131">
        <v>7300.3596856334989</v>
      </c>
      <c r="G1349" s="17" t="e">
        <f t="shared" si="20"/>
        <v>#VALUE!</v>
      </c>
      <c r="H1349" s="141">
        <v>357</v>
      </c>
      <c r="I1349" s="141">
        <v>0</v>
      </c>
      <c r="J1349" s="149">
        <v>20</v>
      </c>
      <c r="K1349" s="150">
        <v>120</v>
      </c>
    </row>
    <row r="1350" spans="1:11" ht="30" customHeight="1">
      <c r="A1350" s="31">
        <v>66005</v>
      </c>
      <c r="B1350" s="16" t="s">
        <v>383</v>
      </c>
      <c r="C1350" s="15" t="s">
        <v>3247</v>
      </c>
      <c r="D1350" s="15" t="s">
        <v>2714</v>
      </c>
      <c r="E1350" s="15">
        <v>0.21</v>
      </c>
      <c r="F1350" s="131">
        <v>21372.067485477779</v>
      </c>
      <c r="G1350" s="17" t="e">
        <f t="shared" si="20"/>
        <v>#VALUE!</v>
      </c>
      <c r="H1350" s="141">
        <v>137</v>
      </c>
      <c r="I1350" s="141">
        <v>0</v>
      </c>
      <c r="J1350" s="149">
        <v>10</v>
      </c>
      <c r="K1350" s="150">
        <v>50</v>
      </c>
    </row>
    <row r="1351" spans="1:11" ht="30" customHeight="1">
      <c r="A1351" s="31">
        <v>66006</v>
      </c>
      <c r="B1351" s="16" t="s">
        <v>383</v>
      </c>
      <c r="C1351" s="15" t="s">
        <v>3360</v>
      </c>
      <c r="D1351" s="15" t="s">
        <v>3361</v>
      </c>
      <c r="E1351" s="15">
        <v>0.21</v>
      </c>
      <c r="F1351" s="131">
        <v>13160.8752</v>
      </c>
      <c r="G1351" s="17" t="e">
        <f t="shared" si="20"/>
        <v>#VALUE!</v>
      </c>
      <c r="H1351" s="141">
        <v>682</v>
      </c>
      <c r="I1351" s="141">
        <v>0</v>
      </c>
      <c r="J1351" s="149">
        <v>15</v>
      </c>
      <c r="K1351" s="150">
        <v>60</v>
      </c>
    </row>
    <row r="1352" spans="1:11" ht="30" customHeight="1">
      <c r="A1352" s="30">
        <v>66015</v>
      </c>
      <c r="B1352" s="16" t="s">
        <v>383</v>
      </c>
      <c r="C1352" s="15" t="s">
        <v>594</v>
      </c>
      <c r="D1352" s="15" t="s">
        <v>595</v>
      </c>
      <c r="E1352" s="15">
        <v>0.21</v>
      </c>
      <c r="F1352" s="131">
        <v>15115.483400000001</v>
      </c>
      <c r="G1352" s="17" t="e">
        <f t="shared" si="20"/>
        <v>#VALUE!</v>
      </c>
      <c r="H1352" s="141">
        <v>317</v>
      </c>
      <c r="I1352" s="141">
        <v>72</v>
      </c>
      <c r="J1352" s="149">
        <v>12</v>
      </c>
      <c r="K1352" s="150">
        <v>72</v>
      </c>
    </row>
    <row r="1353" spans="1:11" ht="30" customHeight="1">
      <c r="A1353" s="30">
        <v>66020</v>
      </c>
      <c r="B1353" s="16" t="s">
        <v>383</v>
      </c>
      <c r="C1353" s="15" t="s">
        <v>596</v>
      </c>
      <c r="D1353" s="15" t="s">
        <v>595</v>
      </c>
      <c r="E1353" s="15">
        <v>0.21</v>
      </c>
      <c r="F1353" s="131">
        <v>22222.009600000001</v>
      </c>
      <c r="G1353" s="17" t="e">
        <f t="shared" si="20"/>
        <v>#VALUE!</v>
      </c>
      <c r="H1353" s="141">
        <v>152</v>
      </c>
      <c r="I1353" s="141">
        <v>0</v>
      </c>
      <c r="J1353" s="149">
        <v>12</v>
      </c>
      <c r="K1353" s="150">
        <v>72</v>
      </c>
    </row>
    <row r="1354" spans="1:11" ht="30" customHeight="1">
      <c r="A1354" s="31">
        <v>66011</v>
      </c>
      <c r="B1354" s="16" t="s">
        <v>383</v>
      </c>
      <c r="C1354" s="15" t="s">
        <v>4225</v>
      </c>
      <c r="D1354" s="15"/>
      <c r="E1354" s="15">
        <v>0.21</v>
      </c>
      <c r="F1354" s="131">
        <v>25267.665199999999</v>
      </c>
      <c r="G1354" s="17" t="e">
        <f t="shared" si="20"/>
        <v>#VALUE!</v>
      </c>
      <c r="H1354" s="141">
        <v>375</v>
      </c>
      <c r="I1354" s="141">
        <v>0</v>
      </c>
      <c r="J1354" s="149">
        <v>12</v>
      </c>
      <c r="K1354" s="150">
        <v>48</v>
      </c>
    </row>
    <row r="1355" spans="1:11" ht="30" customHeight="1">
      <c r="A1355" s="31">
        <v>66027</v>
      </c>
      <c r="B1355" s="16" t="s">
        <v>383</v>
      </c>
      <c r="C1355" s="15" t="s">
        <v>3248</v>
      </c>
      <c r="D1355" s="15" t="s">
        <v>73</v>
      </c>
      <c r="E1355" s="15">
        <v>0.21</v>
      </c>
      <c r="F1355" s="131">
        <v>16937.574122392387</v>
      </c>
      <c r="G1355" s="17" t="e">
        <f t="shared" si="20"/>
        <v>#VALUE!</v>
      </c>
      <c r="H1355" s="141">
        <v>82</v>
      </c>
      <c r="I1355" s="141">
        <v>0</v>
      </c>
      <c r="J1355" s="149">
        <v>12</v>
      </c>
      <c r="K1355" s="150">
        <v>24</v>
      </c>
    </row>
    <row r="1356" spans="1:11" ht="30" customHeight="1">
      <c r="A1356" s="31">
        <v>66028</v>
      </c>
      <c r="B1356" s="16" t="s">
        <v>383</v>
      </c>
      <c r="C1356" s="15" t="s">
        <v>3589</v>
      </c>
      <c r="D1356" s="15" t="s">
        <v>3590</v>
      </c>
      <c r="E1356" s="15">
        <v>0.21</v>
      </c>
      <c r="F1356" s="131">
        <v>22442.285712169913</v>
      </c>
      <c r="G1356" s="17" t="e">
        <f t="shared" ref="G1356:G1419" si="21">(F1356*$G$6)</f>
        <v>#VALUE!</v>
      </c>
      <c r="H1356" s="141">
        <v>91</v>
      </c>
      <c r="I1356" s="141">
        <v>0</v>
      </c>
      <c r="J1356" s="149" t="e">
        <v>#N/A</v>
      </c>
      <c r="K1356" s="150" t="e">
        <v>#N/A</v>
      </c>
    </row>
    <row r="1357" spans="1:11" ht="30" customHeight="1">
      <c r="A1357" s="31">
        <v>66029</v>
      </c>
      <c r="B1357" s="16" t="s">
        <v>383</v>
      </c>
      <c r="C1357" s="15" t="s">
        <v>3248</v>
      </c>
      <c r="D1357" s="15" t="s">
        <v>2653</v>
      </c>
      <c r="E1357" s="15">
        <v>0.21</v>
      </c>
      <c r="F1357" s="131">
        <v>28652.729557047111</v>
      </c>
      <c r="G1357" s="17" t="e">
        <f t="shared" si="21"/>
        <v>#VALUE!</v>
      </c>
      <c r="H1357" s="141">
        <v>74</v>
      </c>
      <c r="I1357" s="141">
        <v>0</v>
      </c>
      <c r="J1357" s="149">
        <v>12</v>
      </c>
      <c r="K1357" s="150">
        <v>24</v>
      </c>
    </row>
    <row r="1358" spans="1:11" ht="30" customHeight="1">
      <c r="A1358" s="31">
        <v>66030</v>
      </c>
      <c r="B1358" s="16" t="s">
        <v>383</v>
      </c>
      <c r="C1358" s="15" t="s">
        <v>2399</v>
      </c>
      <c r="D1358" s="15" t="s">
        <v>388</v>
      </c>
      <c r="E1358" s="15">
        <v>0.21</v>
      </c>
      <c r="F1358" s="131">
        <v>12752.523960503901</v>
      </c>
      <c r="G1358" s="17" t="e">
        <f t="shared" si="21"/>
        <v>#VALUE!</v>
      </c>
      <c r="H1358" s="141">
        <v>120</v>
      </c>
      <c r="I1358" s="141">
        <v>0</v>
      </c>
      <c r="J1358" s="149">
        <v>0</v>
      </c>
      <c r="K1358" s="150">
        <v>36</v>
      </c>
    </row>
    <row r="1359" spans="1:11" ht="30" customHeight="1">
      <c r="A1359" s="31">
        <v>62266</v>
      </c>
      <c r="B1359" s="16" t="s">
        <v>383</v>
      </c>
      <c r="C1359" s="15" t="s">
        <v>3249</v>
      </c>
      <c r="D1359" s="15" t="s">
        <v>2720</v>
      </c>
      <c r="E1359" s="15">
        <v>0.21</v>
      </c>
      <c r="F1359" s="131">
        <v>17412.324042322121</v>
      </c>
      <c r="G1359" s="17" t="e">
        <f t="shared" si="21"/>
        <v>#VALUE!</v>
      </c>
      <c r="H1359" s="141">
        <v>225</v>
      </c>
      <c r="I1359" s="141">
        <v>128</v>
      </c>
      <c r="J1359" s="149">
        <v>0</v>
      </c>
      <c r="K1359" s="150">
        <v>64</v>
      </c>
    </row>
    <row r="1360" spans="1:11" ht="30" customHeight="1">
      <c r="A1360" s="31">
        <v>62267</v>
      </c>
      <c r="B1360" s="16" t="s">
        <v>383</v>
      </c>
      <c r="C1360" s="15" t="s">
        <v>3249</v>
      </c>
      <c r="D1360" s="15" t="s">
        <v>2721</v>
      </c>
      <c r="E1360" s="15">
        <v>0.21</v>
      </c>
      <c r="F1360" s="131">
        <v>24611.650329051467</v>
      </c>
      <c r="G1360" s="17" t="e">
        <f t="shared" si="21"/>
        <v>#VALUE!</v>
      </c>
      <c r="H1360" s="141">
        <v>112</v>
      </c>
      <c r="I1360" s="141">
        <v>32</v>
      </c>
      <c r="J1360" s="149">
        <v>0</v>
      </c>
      <c r="K1360" s="150">
        <v>32</v>
      </c>
    </row>
    <row r="1361" spans="1:11" ht="30" customHeight="1">
      <c r="A1361" s="31">
        <v>62268</v>
      </c>
      <c r="B1361" s="16" t="s">
        <v>383</v>
      </c>
      <c r="C1361" s="15" t="s">
        <v>3249</v>
      </c>
      <c r="D1361" s="15" t="s">
        <v>2389</v>
      </c>
      <c r="E1361" s="15">
        <v>0.21</v>
      </c>
      <c r="F1361" s="131">
        <v>31978.402808495433</v>
      </c>
      <c r="G1361" s="17" t="e">
        <f t="shared" si="21"/>
        <v>#VALUE!</v>
      </c>
      <c r="H1361" s="141">
        <v>96</v>
      </c>
      <c r="I1361" s="141">
        <v>24</v>
      </c>
      <c r="J1361" s="149">
        <v>0</v>
      </c>
      <c r="K1361" s="150">
        <v>24</v>
      </c>
    </row>
    <row r="1362" spans="1:11" ht="30" customHeight="1">
      <c r="A1362" s="31">
        <v>62269</v>
      </c>
      <c r="B1362" s="16" t="s">
        <v>383</v>
      </c>
      <c r="C1362" s="15" t="s">
        <v>3249</v>
      </c>
      <c r="D1362" s="15" t="s">
        <v>2722</v>
      </c>
      <c r="E1362" s="15">
        <v>0.21</v>
      </c>
      <c r="F1362" s="131">
        <v>26453.338448912455</v>
      </c>
      <c r="G1362" s="17" t="e">
        <f t="shared" si="21"/>
        <v>#VALUE!</v>
      </c>
      <c r="H1362" s="141">
        <v>72</v>
      </c>
      <c r="I1362" s="141">
        <v>32</v>
      </c>
      <c r="J1362" s="149">
        <v>0</v>
      </c>
      <c r="K1362" s="150">
        <v>32</v>
      </c>
    </row>
    <row r="1363" spans="1:11" ht="30" customHeight="1">
      <c r="A1363" s="31">
        <v>62270</v>
      </c>
      <c r="B1363" s="16" t="s">
        <v>383</v>
      </c>
      <c r="C1363" s="15" t="s">
        <v>3249</v>
      </c>
      <c r="D1363" s="15" t="s">
        <v>2723</v>
      </c>
      <c r="E1363" s="15">
        <v>0.21</v>
      </c>
      <c r="F1363" s="131">
        <v>39512.581480654044</v>
      </c>
      <c r="G1363" s="17" t="e">
        <f t="shared" si="21"/>
        <v>#VALUE!</v>
      </c>
      <c r="H1363" s="141">
        <v>89</v>
      </c>
      <c r="I1363" s="141">
        <v>32</v>
      </c>
      <c r="J1363" s="149">
        <v>0</v>
      </c>
      <c r="K1363" s="150">
        <v>16</v>
      </c>
    </row>
    <row r="1364" spans="1:11" ht="30" customHeight="1">
      <c r="A1364" s="31">
        <v>62271</v>
      </c>
      <c r="B1364" s="16" t="s">
        <v>383</v>
      </c>
      <c r="C1364" s="15" t="s">
        <v>3249</v>
      </c>
      <c r="D1364" s="15" t="s">
        <v>2390</v>
      </c>
      <c r="E1364" s="15">
        <v>0.21</v>
      </c>
      <c r="F1364" s="131">
        <v>52906.676897824909</v>
      </c>
      <c r="G1364" s="17" t="e">
        <f t="shared" si="21"/>
        <v>#VALUE!</v>
      </c>
      <c r="H1364" s="141">
        <v>120</v>
      </c>
      <c r="I1364" s="141">
        <v>120</v>
      </c>
      <c r="J1364" s="149">
        <v>0</v>
      </c>
      <c r="K1364" s="150">
        <v>12</v>
      </c>
    </row>
    <row r="1365" spans="1:11" ht="30" customHeight="1">
      <c r="A1365" s="31">
        <v>62272</v>
      </c>
      <c r="B1365" s="16" t="s">
        <v>383</v>
      </c>
      <c r="C1365" s="15" t="s">
        <v>3249</v>
      </c>
      <c r="D1365" s="15" t="s">
        <v>4226</v>
      </c>
      <c r="E1365" s="15">
        <v>0.21</v>
      </c>
      <c r="F1365" s="131">
        <v>66133.346122281131</v>
      </c>
      <c r="G1365" s="17" t="e">
        <f t="shared" si="21"/>
        <v>#VALUE!</v>
      </c>
      <c r="H1365" s="141">
        <v>143</v>
      </c>
      <c r="I1365" s="141">
        <v>60</v>
      </c>
      <c r="J1365" s="149">
        <v>0</v>
      </c>
      <c r="K1365" s="150">
        <v>20</v>
      </c>
    </row>
    <row r="1366" spans="1:11" ht="30" customHeight="1">
      <c r="A1366" s="31">
        <v>62273</v>
      </c>
      <c r="B1366" s="16" t="s">
        <v>383</v>
      </c>
      <c r="C1366" s="15" t="s">
        <v>3249</v>
      </c>
      <c r="D1366" s="15" t="s">
        <v>2724</v>
      </c>
      <c r="E1366" s="15">
        <v>0.21</v>
      </c>
      <c r="F1366" s="131">
        <v>79527.441539452004</v>
      </c>
      <c r="G1366" s="17" t="e">
        <f t="shared" si="21"/>
        <v>#VALUE!</v>
      </c>
      <c r="H1366" s="141">
        <v>53</v>
      </c>
      <c r="I1366" s="141">
        <v>0</v>
      </c>
      <c r="J1366" s="149">
        <v>0</v>
      </c>
      <c r="K1366" s="150">
        <v>18</v>
      </c>
    </row>
    <row r="1367" spans="1:11" ht="30" customHeight="1">
      <c r="A1367" s="31">
        <v>62274</v>
      </c>
      <c r="B1367" s="16" t="s">
        <v>383</v>
      </c>
      <c r="C1367" s="15" t="s">
        <v>3249</v>
      </c>
      <c r="D1367" s="15" t="s">
        <v>2725</v>
      </c>
      <c r="E1367" s="15">
        <v>0.21</v>
      </c>
      <c r="F1367" s="131">
        <v>92586.684571193589</v>
      </c>
      <c r="G1367" s="17" t="e">
        <f t="shared" si="21"/>
        <v>#VALUE!</v>
      </c>
      <c r="H1367" s="141">
        <v>69</v>
      </c>
      <c r="I1367" s="141">
        <v>15</v>
      </c>
      <c r="J1367" s="149">
        <v>0</v>
      </c>
      <c r="K1367" s="150">
        <v>15</v>
      </c>
    </row>
    <row r="1368" spans="1:11" ht="30" customHeight="1">
      <c r="A1368" s="31">
        <v>62275</v>
      </c>
      <c r="B1368" s="16" t="s">
        <v>383</v>
      </c>
      <c r="C1368" s="15" t="s">
        <v>3249</v>
      </c>
      <c r="D1368" s="15" t="s">
        <v>2726</v>
      </c>
      <c r="E1368" s="15">
        <v>0.21</v>
      </c>
      <c r="F1368" s="131">
        <v>56255.200752117635</v>
      </c>
      <c r="G1368" s="17" t="e">
        <f t="shared" si="21"/>
        <v>#VALUE!</v>
      </c>
      <c r="H1368" s="141">
        <v>92</v>
      </c>
      <c r="I1368" s="141">
        <v>100</v>
      </c>
      <c r="J1368" s="149">
        <v>0</v>
      </c>
      <c r="K1368" s="150">
        <v>20</v>
      </c>
    </row>
    <row r="1369" spans="1:11" ht="30" customHeight="1">
      <c r="A1369" s="31">
        <v>62276</v>
      </c>
      <c r="B1369" s="16" t="s">
        <v>383</v>
      </c>
      <c r="C1369" s="15" t="s">
        <v>3249</v>
      </c>
      <c r="D1369" s="15" t="s">
        <v>2391</v>
      </c>
      <c r="E1369" s="15">
        <v>0.21</v>
      </c>
      <c r="F1369" s="131">
        <v>76178.917685159307</v>
      </c>
      <c r="G1369" s="17" t="e">
        <f t="shared" si="21"/>
        <v>#VALUE!</v>
      </c>
      <c r="H1369" s="141">
        <v>83</v>
      </c>
      <c r="I1369" s="141">
        <v>15</v>
      </c>
      <c r="J1369" s="149">
        <v>0</v>
      </c>
      <c r="K1369" s="150">
        <v>15</v>
      </c>
    </row>
    <row r="1370" spans="1:11" ht="30" customHeight="1">
      <c r="A1370" s="31">
        <v>62277</v>
      </c>
      <c r="B1370" s="16" t="s">
        <v>383</v>
      </c>
      <c r="C1370" s="15" t="s">
        <v>3249</v>
      </c>
      <c r="D1370" s="15" t="s">
        <v>2727</v>
      </c>
      <c r="E1370" s="15">
        <v>0.21</v>
      </c>
      <c r="F1370" s="131">
        <v>95935.208425486315</v>
      </c>
      <c r="G1370" s="17" t="e">
        <f t="shared" si="21"/>
        <v>#VALUE!</v>
      </c>
      <c r="H1370" s="141">
        <v>128</v>
      </c>
      <c r="I1370" s="141">
        <v>120</v>
      </c>
      <c r="J1370" s="149">
        <v>0</v>
      </c>
      <c r="K1370" s="150">
        <v>12</v>
      </c>
    </row>
    <row r="1371" spans="1:11" ht="30" customHeight="1">
      <c r="A1371" s="31">
        <v>62278</v>
      </c>
      <c r="B1371" s="16" t="s">
        <v>383</v>
      </c>
      <c r="C1371" s="15" t="s">
        <v>3249</v>
      </c>
      <c r="D1371" s="15" t="s">
        <v>2728</v>
      </c>
      <c r="E1371" s="15">
        <v>0.21</v>
      </c>
      <c r="F1371" s="131">
        <v>115858.92535852795</v>
      </c>
      <c r="G1371" s="17" t="e">
        <f t="shared" si="21"/>
        <v>#VALUE!</v>
      </c>
      <c r="H1371" s="141">
        <v>58</v>
      </c>
      <c r="I1371" s="141">
        <v>24</v>
      </c>
      <c r="J1371" s="149">
        <v>0</v>
      </c>
      <c r="K1371" s="150">
        <v>12</v>
      </c>
    </row>
    <row r="1372" spans="1:11" ht="30" customHeight="1">
      <c r="A1372" s="31">
        <v>62279</v>
      </c>
      <c r="B1372" s="16" t="s">
        <v>383</v>
      </c>
      <c r="C1372" s="15" t="s">
        <v>3249</v>
      </c>
      <c r="D1372" s="15" t="s">
        <v>2729</v>
      </c>
      <c r="E1372" s="15">
        <v>0.21</v>
      </c>
      <c r="F1372" s="131">
        <v>135615.21609885502</v>
      </c>
      <c r="G1372" s="17" t="e">
        <f t="shared" si="21"/>
        <v>#VALUE!</v>
      </c>
      <c r="H1372" s="141">
        <v>69</v>
      </c>
      <c r="I1372" s="141">
        <v>45</v>
      </c>
      <c r="J1372" s="149">
        <v>0</v>
      </c>
      <c r="K1372" s="150">
        <v>9</v>
      </c>
    </row>
    <row r="1373" spans="1:11" ht="30" customHeight="1">
      <c r="A1373" s="31">
        <v>62280</v>
      </c>
      <c r="B1373" s="16" t="s">
        <v>383</v>
      </c>
      <c r="C1373" s="15" t="s">
        <v>3249</v>
      </c>
      <c r="D1373" s="15" t="s">
        <v>2730</v>
      </c>
      <c r="E1373" s="15">
        <v>0.21</v>
      </c>
      <c r="F1373" s="131">
        <v>112677.82769694985</v>
      </c>
      <c r="G1373" s="17" t="e">
        <f t="shared" si="21"/>
        <v>#VALUE!</v>
      </c>
      <c r="H1373" s="141">
        <v>94</v>
      </c>
      <c r="I1373" s="141">
        <v>0</v>
      </c>
      <c r="J1373" s="149">
        <v>0</v>
      </c>
      <c r="K1373" s="150">
        <v>10</v>
      </c>
    </row>
    <row r="1374" spans="1:11" ht="30" customHeight="1">
      <c r="A1374" s="31">
        <v>62281</v>
      </c>
      <c r="B1374" s="16" t="s">
        <v>383</v>
      </c>
      <c r="C1374" s="15" t="s">
        <v>3249</v>
      </c>
      <c r="D1374" s="15" t="s">
        <v>2731</v>
      </c>
      <c r="E1374" s="15">
        <v>0.21</v>
      </c>
      <c r="F1374" s="131">
        <v>141140.28045843795</v>
      </c>
      <c r="G1374" s="17" t="e">
        <f t="shared" si="21"/>
        <v>#VALUE!</v>
      </c>
      <c r="H1374" s="141">
        <v>78</v>
      </c>
      <c r="I1374" s="141">
        <v>40</v>
      </c>
      <c r="J1374" s="149">
        <v>0</v>
      </c>
      <c r="K1374" s="150">
        <v>8</v>
      </c>
    </row>
    <row r="1375" spans="1:11" ht="30" customHeight="1">
      <c r="A1375" s="31">
        <v>62282</v>
      </c>
      <c r="B1375" s="16" t="s">
        <v>383</v>
      </c>
      <c r="C1375" s="15" t="s">
        <v>3249</v>
      </c>
      <c r="D1375" s="15" t="s">
        <v>2732</v>
      </c>
      <c r="E1375" s="15">
        <v>0.21</v>
      </c>
      <c r="F1375" s="131">
        <v>169770.15941264073</v>
      </c>
      <c r="G1375" s="17" t="e">
        <f t="shared" si="21"/>
        <v>#VALUE!</v>
      </c>
      <c r="H1375" s="141">
        <v>79</v>
      </c>
      <c r="I1375" s="141">
        <v>24</v>
      </c>
      <c r="J1375" s="149">
        <v>0</v>
      </c>
      <c r="K1375" s="150">
        <v>8</v>
      </c>
    </row>
    <row r="1376" spans="1:11" ht="30" customHeight="1">
      <c r="A1376" s="31">
        <v>62283</v>
      </c>
      <c r="B1376" s="16" t="s">
        <v>383</v>
      </c>
      <c r="C1376" s="15" t="s">
        <v>3249</v>
      </c>
      <c r="D1376" s="15" t="s">
        <v>2733</v>
      </c>
      <c r="E1376" s="15">
        <v>0.21</v>
      </c>
      <c r="F1376" s="131">
        <v>198400.03836684336</v>
      </c>
      <c r="G1376" s="17" t="e">
        <f t="shared" si="21"/>
        <v>#VALUE!</v>
      </c>
      <c r="H1376" s="141">
        <v>54</v>
      </c>
      <c r="I1376" s="141">
        <v>30</v>
      </c>
      <c r="J1376" s="149">
        <v>0</v>
      </c>
      <c r="K1376" s="150">
        <v>6</v>
      </c>
    </row>
    <row r="1377" spans="1:11" ht="30" customHeight="1">
      <c r="A1377" s="31">
        <v>62284</v>
      </c>
      <c r="B1377" s="16" t="s">
        <v>383</v>
      </c>
      <c r="C1377" s="15" t="s">
        <v>3249</v>
      </c>
      <c r="D1377" s="15" t="s">
        <v>2392</v>
      </c>
      <c r="E1377" s="15">
        <v>0.21</v>
      </c>
      <c r="F1377" s="131">
        <v>140303.1494948648</v>
      </c>
      <c r="G1377" s="17" t="e">
        <f t="shared" si="21"/>
        <v>#VALUE!</v>
      </c>
      <c r="H1377" s="141">
        <v>32</v>
      </c>
      <c r="I1377" s="141">
        <v>0</v>
      </c>
      <c r="J1377" s="149">
        <v>0</v>
      </c>
      <c r="K1377" s="150">
        <v>10</v>
      </c>
    </row>
    <row r="1378" spans="1:11" ht="30" customHeight="1">
      <c r="A1378" s="31">
        <v>62285</v>
      </c>
      <c r="B1378" s="16" t="s">
        <v>383</v>
      </c>
      <c r="C1378" s="15" t="s">
        <v>3249</v>
      </c>
      <c r="D1378" s="15" t="s">
        <v>2734</v>
      </c>
      <c r="E1378" s="15">
        <v>0.21</v>
      </c>
      <c r="F1378" s="131">
        <v>175462.64996493832</v>
      </c>
      <c r="G1378" s="17" t="e">
        <f t="shared" si="21"/>
        <v>#VALUE!</v>
      </c>
      <c r="H1378" s="141">
        <v>37</v>
      </c>
      <c r="I1378" s="141">
        <v>8</v>
      </c>
      <c r="J1378" s="149">
        <v>0</v>
      </c>
      <c r="K1378" s="150">
        <v>8</v>
      </c>
    </row>
    <row r="1379" spans="1:11" ht="30" customHeight="1">
      <c r="A1379" s="31">
        <v>62286</v>
      </c>
      <c r="B1379" s="16" t="s">
        <v>383</v>
      </c>
      <c r="C1379" s="15" t="s">
        <v>3249</v>
      </c>
      <c r="D1379" s="15" t="s">
        <v>2735</v>
      </c>
      <c r="E1379" s="15">
        <v>0.21</v>
      </c>
      <c r="F1379" s="131">
        <v>210622.15043501186</v>
      </c>
      <c r="G1379" s="17" t="e">
        <f t="shared" si="21"/>
        <v>#VALUE!</v>
      </c>
      <c r="H1379" s="141">
        <v>48</v>
      </c>
      <c r="I1379" s="141">
        <v>0</v>
      </c>
      <c r="J1379" s="149">
        <v>0</v>
      </c>
      <c r="K1379" s="150">
        <v>6</v>
      </c>
    </row>
    <row r="1380" spans="1:11" ht="30" customHeight="1">
      <c r="A1380" s="31">
        <v>62287</v>
      </c>
      <c r="B1380" s="16" t="s">
        <v>383</v>
      </c>
      <c r="C1380" s="15" t="s">
        <v>3249</v>
      </c>
      <c r="D1380" s="15" t="s">
        <v>2736</v>
      </c>
      <c r="E1380" s="15">
        <v>0.21</v>
      </c>
      <c r="F1380" s="131">
        <v>245781.65090508538</v>
      </c>
      <c r="G1380" s="17" t="e">
        <f t="shared" si="21"/>
        <v>#VALUE!</v>
      </c>
      <c r="H1380" s="141">
        <v>40</v>
      </c>
      <c r="I1380" s="141">
        <v>6</v>
      </c>
      <c r="J1380" s="149">
        <v>0</v>
      </c>
      <c r="K1380" s="150">
        <v>6</v>
      </c>
    </row>
    <row r="1381" spans="1:11" ht="30" customHeight="1">
      <c r="A1381" s="31">
        <v>62288</v>
      </c>
      <c r="B1381" s="16" t="s">
        <v>383</v>
      </c>
      <c r="C1381" s="15" t="s">
        <v>3249</v>
      </c>
      <c r="D1381" s="15" t="s">
        <v>2737</v>
      </c>
      <c r="E1381" s="15">
        <v>0.21</v>
      </c>
      <c r="F1381" s="131">
        <v>315933.22565251775</v>
      </c>
      <c r="G1381" s="17" t="e">
        <f t="shared" si="21"/>
        <v>#VALUE!</v>
      </c>
      <c r="H1381" s="141">
        <v>22</v>
      </c>
      <c r="I1381" s="141">
        <v>8</v>
      </c>
      <c r="J1381" s="149">
        <v>0</v>
      </c>
      <c r="K1381" s="150">
        <v>4</v>
      </c>
    </row>
    <row r="1382" spans="1:11" ht="30" customHeight="1">
      <c r="A1382" s="31">
        <v>62289</v>
      </c>
      <c r="B1382" s="16" t="s">
        <v>383</v>
      </c>
      <c r="C1382" s="15" t="s">
        <v>3249</v>
      </c>
      <c r="D1382" s="15" t="s">
        <v>2738</v>
      </c>
      <c r="E1382" s="15">
        <v>0.21</v>
      </c>
      <c r="F1382" s="131">
        <v>232554.98168062916</v>
      </c>
      <c r="G1382" s="17" t="e">
        <f t="shared" si="21"/>
        <v>#VALUE!</v>
      </c>
      <c r="H1382" s="141">
        <v>23</v>
      </c>
      <c r="I1382" s="141">
        <v>10</v>
      </c>
      <c r="J1382" s="149">
        <v>0</v>
      </c>
      <c r="K1382" s="150">
        <v>5</v>
      </c>
    </row>
    <row r="1383" spans="1:11" ht="30" customHeight="1">
      <c r="A1383" s="31">
        <v>62290</v>
      </c>
      <c r="B1383" s="16" t="s">
        <v>383</v>
      </c>
      <c r="C1383" s="15" t="s">
        <v>3249</v>
      </c>
      <c r="D1383" s="15" t="s">
        <v>2739</v>
      </c>
      <c r="E1383" s="15">
        <v>0.21</v>
      </c>
      <c r="F1383" s="131">
        <v>278932.03706258332</v>
      </c>
      <c r="G1383" s="17" t="e">
        <f t="shared" si="21"/>
        <v>#VALUE!</v>
      </c>
      <c r="H1383" s="141">
        <v>18</v>
      </c>
      <c r="I1383" s="141">
        <v>0</v>
      </c>
      <c r="J1383" s="149">
        <v>0</v>
      </c>
      <c r="K1383" s="150">
        <v>5</v>
      </c>
    </row>
    <row r="1384" spans="1:11" ht="30" customHeight="1">
      <c r="A1384" s="31">
        <v>62291</v>
      </c>
      <c r="B1384" s="16" t="s">
        <v>383</v>
      </c>
      <c r="C1384" s="15" t="s">
        <v>3249</v>
      </c>
      <c r="D1384" s="15" t="s">
        <v>2740</v>
      </c>
      <c r="E1384" s="15">
        <v>0.21</v>
      </c>
      <c r="F1384" s="131">
        <v>325309.09244453727</v>
      </c>
      <c r="G1384" s="17" t="e">
        <f t="shared" si="21"/>
        <v>#VALUE!</v>
      </c>
      <c r="H1384" s="141">
        <v>44</v>
      </c>
      <c r="I1384" s="141">
        <v>12</v>
      </c>
      <c r="J1384" s="149">
        <v>0</v>
      </c>
      <c r="K1384" s="150">
        <v>4</v>
      </c>
    </row>
    <row r="1385" spans="1:11" ht="30" customHeight="1">
      <c r="A1385" s="31">
        <v>62292</v>
      </c>
      <c r="B1385" s="16" t="s">
        <v>383</v>
      </c>
      <c r="C1385" s="15" t="s">
        <v>3249</v>
      </c>
      <c r="D1385" s="15" t="s">
        <v>2741</v>
      </c>
      <c r="E1385" s="15">
        <v>0.21</v>
      </c>
      <c r="F1385" s="131">
        <v>417226.07224487246</v>
      </c>
      <c r="G1385" s="17" t="e">
        <f t="shared" si="21"/>
        <v>#VALUE!</v>
      </c>
      <c r="H1385" s="141">
        <v>8</v>
      </c>
      <c r="I1385" s="141">
        <v>0</v>
      </c>
      <c r="J1385" s="149">
        <v>0</v>
      </c>
      <c r="K1385" s="150">
        <v>3</v>
      </c>
    </row>
    <row r="1386" spans="1:11" ht="30" customHeight="1">
      <c r="A1386" s="31">
        <v>62295</v>
      </c>
      <c r="B1386" s="16" t="s">
        <v>383</v>
      </c>
      <c r="C1386" s="15" t="s">
        <v>3249</v>
      </c>
      <c r="D1386" s="15" t="s">
        <v>2742</v>
      </c>
      <c r="E1386" s="15">
        <v>0.21</v>
      </c>
      <c r="F1386" s="131">
        <v>439493.75587591896</v>
      </c>
      <c r="G1386" s="17" t="e">
        <f t="shared" si="21"/>
        <v>#VALUE!</v>
      </c>
      <c r="H1386" s="141">
        <v>10</v>
      </c>
      <c r="I1386" s="141">
        <v>6</v>
      </c>
      <c r="J1386" s="149">
        <v>0</v>
      </c>
      <c r="K1386" s="150">
        <v>3</v>
      </c>
    </row>
    <row r="1387" spans="1:11" ht="30" customHeight="1">
      <c r="A1387" s="31">
        <v>62296</v>
      </c>
      <c r="B1387" s="16" t="s">
        <v>383</v>
      </c>
      <c r="C1387" s="15" t="s">
        <v>3249</v>
      </c>
      <c r="D1387" s="15" t="s">
        <v>2743</v>
      </c>
      <c r="E1387" s="15">
        <v>0.21</v>
      </c>
      <c r="F1387" s="131">
        <v>565565.67899003963</v>
      </c>
      <c r="G1387" s="17" t="e">
        <f t="shared" si="21"/>
        <v>#VALUE!</v>
      </c>
      <c r="H1387" s="141">
        <v>5</v>
      </c>
      <c r="I1387" s="141">
        <v>0</v>
      </c>
      <c r="J1387" s="149">
        <v>0</v>
      </c>
      <c r="K1387" s="150">
        <v>2</v>
      </c>
    </row>
    <row r="1388" spans="1:11" ht="30" customHeight="1">
      <c r="A1388" s="31">
        <v>62298</v>
      </c>
      <c r="B1388" s="16" t="s">
        <v>383</v>
      </c>
      <c r="C1388" s="15" t="s">
        <v>3249</v>
      </c>
      <c r="D1388" s="15" t="s">
        <v>2744</v>
      </c>
      <c r="E1388" s="15">
        <v>0.21</v>
      </c>
      <c r="F1388" s="131">
        <v>537103.22622855159</v>
      </c>
      <c r="G1388" s="17" t="e">
        <f t="shared" si="21"/>
        <v>#VALUE!</v>
      </c>
      <c r="H1388" s="141">
        <v>12</v>
      </c>
      <c r="I1388" s="141">
        <v>12</v>
      </c>
      <c r="J1388" s="149">
        <v>0</v>
      </c>
      <c r="K1388" s="150">
        <v>2</v>
      </c>
    </row>
    <row r="1389" spans="1:11" ht="30" customHeight="1">
      <c r="A1389" s="31">
        <v>62299</v>
      </c>
      <c r="B1389" s="16" t="s">
        <v>383</v>
      </c>
      <c r="C1389" s="15" t="s">
        <v>3249</v>
      </c>
      <c r="D1389" s="15" t="s">
        <v>2745</v>
      </c>
      <c r="E1389" s="15">
        <v>0.21</v>
      </c>
      <c r="F1389" s="131">
        <v>691302.74971873127</v>
      </c>
      <c r="G1389" s="17" t="e">
        <f t="shared" si="21"/>
        <v>#VALUE!</v>
      </c>
      <c r="H1389" s="141">
        <v>8</v>
      </c>
      <c r="I1389" s="141">
        <v>0</v>
      </c>
      <c r="J1389" s="149">
        <v>0</v>
      </c>
      <c r="K1389" s="150">
        <v>2</v>
      </c>
    </row>
    <row r="1390" spans="1:11" ht="30" customHeight="1">
      <c r="A1390" s="31">
        <v>62300</v>
      </c>
      <c r="B1390" s="16" t="s">
        <v>383</v>
      </c>
      <c r="C1390" s="15" t="s">
        <v>3249</v>
      </c>
      <c r="D1390" s="15" t="s">
        <v>2746</v>
      </c>
      <c r="E1390" s="15">
        <v>0.21</v>
      </c>
      <c r="F1390" s="131">
        <v>844330.2898599084</v>
      </c>
      <c r="G1390" s="17" t="e">
        <f t="shared" si="21"/>
        <v>#VALUE!</v>
      </c>
      <c r="H1390" s="141">
        <v>1</v>
      </c>
      <c r="I1390" s="141">
        <v>1</v>
      </c>
      <c r="J1390" s="149">
        <v>0</v>
      </c>
      <c r="K1390" s="150">
        <v>1</v>
      </c>
    </row>
    <row r="1391" spans="1:11" ht="30" customHeight="1">
      <c r="A1391" s="30">
        <v>75440</v>
      </c>
      <c r="B1391" s="16" t="s">
        <v>406</v>
      </c>
      <c r="C1391" s="15" t="s">
        <v>469</v>
      </c>
      <c r="D1391" s="15" t="s">
        <v>470</v>
      </c>
      <c r="E1391" s="15">
        <v>0.21</v>
      </c>
      <c r="F1391" s="131">
        <v>6089.5847702591727</v>
      </c>
      <c r="G1391" s="17" t="e">
        <f t="shared" si="21"/>
        <v>#VALUE!</v>
      </c>
      <c r="H1391" s="141">
        <v>1142</v>
      </c>
      <c r="I1391" s="141">
        <v>0</v>
      </c>
      <c r="J1391" s="149">
        <v>10</v>
      </c>
      <c r="K1391" s="150">
        <v>60</v>
      </c>
    </row>
    <row r="1392" spans="1:11" ht="30" customHeight="1">
      <c r="A1392" s="30">
        <v>75441</v>
      </c>
      <c r="B1392" s="16" t="s">
        <v>406</v>
      </c>
      <c r="C1392" s="15" t="s">
        <v>471</v>
      </c>
      <c r="D1392" s="15" t="s">
        <v>472</v>
      </c>
      <c r="E1392" s="15">
        <v>0.21</v>
      </c>
      <c r="F1392" s="131">
        <v>6089.5847702591727</v>
      </c>
      <c r="G1392" s="17" t="e">
        <f t="shared" si="21"/>
        <v>#VALUE!</v>
      </c>
      <c r="H1392" s="141">
        <v>796</v>
      </c>
      <c r="I1392" s="141">
        <v>0</v>
      </c>
      <c r="J1392" s="149">
        <v>10</v>
      </c>
      <c r="K1392" s="150">
        <v>60</v>
      </c>
    </row>
    <row r="1393" spans="1:11" ht="30" customHeight="1">
      <c r="A1393" s="30">
        <v>75442</v>
      </c>
      <c r="B1393" s="16" t="s">
        <v>406</v>
      </c>
      <c r="C1393" s="15" t="s">
        <v>471</v>
      </c>
      <c r="D1393" s="15" t="s">
        <v>473</v>
      </c>
      <c r="E1393" s="15">
        <v>0.21</v>
      </c>
      <c r="F1393" s="131">
        <v>8731.7462473619307</v>
      </c>
      <c r="G1393" s="17" t="e">
        <f t="shared" si="21"/>
        <v>#VALUE!</v>
      </c>
      <c r="H1393" s="141">
        <v>291</v>
      </c>
      <c r="I1393" s="141">
        <v>0</v>
      </c>
      <c r="J1393" s="149">
        <v>10</v>
      </c>
      <c r="K1393" s="150">
        <v>60</v>
      </c>
    </row>
    <row r="1394" spans="1:11" ht="30" customHeight="1">
      <c r="A1394" s="30">
        <v>75448</v>
      </c>
      <c r="B1394" s="16" t="s">
        <v>406</v>
      </c>
      <c r="C1394" s="15" t="s">
        <v>1868</v>
      </c>
      <c r="D1394" s="15" t="s">
        <v>474</v>
      </c>
      <c r="E1394" s="15">
        <v>0.21</v>
      </c>
      <c r="F1394" s="131">
        <v>8731.7462473619307</v>
      </c>
      <c r="G1394" s="17" t="e">
        <f t="shared" si="21"/>
        <v>#VALUE!</v>
      </c>
      <c r="H1394" s="141">
        <v>180</v>
      </c>
      <c r="I1394" s="141">
        <v>0</v>
      </c>
      <c r="J1394" s="149">
        <v>10</v>
      </c>
      <c r="K1394" s="150">
        <v>60</v>
      </c>
    </row>
    <row r="1395" spans="1:11" ht="30" customHeight="1">
      <c r="A1395" s="30">
        <v>75456</v>
      </c>
      <c r="B1395" s="16" t="s">
        <v>406</v>
      </c>
      <c r="C1395" s="15" t="s">
        <v>475</v>
      </c>
      <c r="D1395" s="15" t="s">
        <v>476</v>
      </c>
      <c r="E1395" s="15">
        <v>0.21</v>
      </c>
      <c r="F1395" s="131">
        <v>14954.170195319994</v>
      </c>
      <c r="G1395" s="17" t="e">
        <f t="shared" si="21"/>
        <v>#VALUE!</v>
      </c>
      <c r="H1395" s="141">
        <v>298</v>
      </c>
      <c r="I1395" s="141">
        <v>0</v>
      </c>
      <c r="J1395" s="149">
        <v>10</v>
      </c>
      <c r="K1395" s="150">
        <v>30</v>
      </c>
    </row>
    <row r="1396" spans="1:11" ht="30" customHeight="1">
      <c r="A1396" s="30">
        <v>75457</v>
      </c>
      <c r="B1396" s="16" t="s">
        <v>406</v>
      </c>
      <c r="C1396" s="15" t="s">
        <v>539</v>
      </c>
      <c r="D1396" s="15" t="s">
        <v>540</v>
      </c>
      <c r="E1396" s="15">
        <v>0.21</v>
      </c>
      <c r="F1396" s="131">
        <v>14954.170195319994</v>
      </c>
      <c r="G1396" s="17" t="e">
        <f t="shared" si="21"/>
        <v>#VALUE!</v>
      </c>
      <c r="H1396" s="141">
        <v>151</v>
      </c>
      <c r="I1396" s="141">
        <v>0</v>
      </c>
      <c r="J1396" s="149">
        <v>10</v>
      </c>
      <c r="K1396" s="150">
        <v>30</v>
      </c>
    </row>
    <row r="1397" spans="1:11" ht="30" customHeight="1">
      <c r="A1397" s="30">
        <v>75450</v>
      </c>
      <c r="B1397" s="16" t="s">
        <v>406</v>
      </c>
      <c r="C1397" s="15" t="s">
        <v>477</v>
      </c>
      <c r="D1397" s="15" t="s">
        <v>478</v>
      </c>
      <c r="E1397" s="15">
        <v>0.21</v>
      </c>
      <c r="F1397" s="131">
        <v>8646.5001306622034</v>
      </c>
      <c r="G1397" s="17" t="e">
        <f t="shared" si="21"/>
        <v>#VALUE!</v>
      </c>
      <c r="H1397" s="141">
        <v>177</v>
      </c>
      <c r="I1397" s="141">
        <v>0</v>
      </c>
      <c r="J1397" s="149">
        <v>10</v>
      </c>
      <c r="K1397" s="150">
        <v>40</v>
      </c>
    </row>
    <row r="1398" spans="1:11" ht="30" customHeight="1">
      <c r="A1398" s="30">
        <v>75451</v>
      </c>
      <c r="B1398" s="16" t="s">
        <v>406</v>
      </c>
      <c r="C1398" s="15" t="s">
        <v>537</v>
      </c>
      <c r="D1398" s="15" t="s">
        <v>538</v>
      </c>
      <c r="E1398" s="15">
        <v>0.21</v>
      </c>
      <c r="F1398" s="131">
        <v>8646.5001306622034</v>
      </c>
      <c r="G1398" s="17" t="e">
        <f t="shared" si="21"/>
        <v>#VALUE!</v>
      </c>
      <c r="H1398" s="141">
        <v>45</v>
      </c>
      <c r="I1398" s="141">
        <v>0</v>
      </c>
      <c r="J1398" s="149">
        <v>10</v>
      </c>
      <c r="K1398" s="150">
        <v>40</v>
      </c>
    </row>
    <row r="1399" spans="1:11" ht="30" customHeight="1">
      <c r="A1399" s="31">
        <v>75454</v>
      </c>
      <c r="B1399" s="16" t="s">
        <v>406</v>
      </c>
      <c r="C1399" s="15" t="s">
        <v>2990</v>
      </c>
      <c r="D1399" s="15" t="s">
        <v>2991</v>
      </c>
      <c r="E1399" s="15">
        <v>0.21</v>
      </c>
      <c r="F1399" s="131">
        <v>34848.803800000009</v>
      </c>
      <c r="G1399" s="17" t="e">
        <f t="shared" si="21"/>
        <v>#VALUE!</v>
      </c>
      <c r="H1399" s="141">
        <v>0</v>
      </c>
      <c r="I1399" s="141">
        <v>0</v>
      </c>
      <c r="J1399" s="149">
        <v>6</v>
      </c>
      <c r="K1399" s="150">
        <v>12</v>
      </c>
    </row>
    <row r="1400" spans="1:11" ht="30" customHeight="1">
      <c r="A1400" s="31">
        <v>75455</v>
      </c>
      <c r="B1400" s="16" t="s">
        <v>406</v>
      </c>
      <c r="C1400" s="15" t="s">
        <v>2990</v>
      </c>
      <c r="D1400" s="15" t="s">
        <v>2992</v>
      </c>
      <c r="E1400" s="15">
        <v>0.21</v>
      </c>
      <c r="F1400" s="131">
        <v>34848.803800000009</v>
      </c>
      <c r="G1400" s="17" t="e">
        <f t="shared" si="21"/>
        <v>#VALUE!</v>
      </c>
      <c r="H1400" s="141">
        <v>29</v>
      </c>
      <c r="I1400" s="141">
        <v>0</v>
      </c>
      <c r="J1400" s="149">
        <v>6</v>
      </c>
      <c r="K1400" s="150">
        <v>12</v>
      </c>
    </row>
    <row r="1401" spans="1:11" ht="30" customHeight="1">
      <c r="A1401" s="31">
        <v>75654</v>
      </c>
      <c r="B1401" s="16" t="s">
        <v>406</v>
      </c>
      <c r="C1401" s="15" t="s">
        <v>3250</v>
      </c>
      <c r="D1401" s="15" t="s">
        <v>290</v>
      </c>
      <c r="E1401" s="15">
        <v>0.21</v>
      </c>
      <c r="F1401" s="131">
        <v>18569.573886365684</v>
      </c>
      <c r="G1401" s="17" t="e">
        <f t="shared" si="21"/>
        <v>#VALUE!</v>
      </c>
      <c r="H1401" s="141">
        <v>162</v>
      </c>
      <c r="I1401" s="141">
        <v>0</v>
      </c>
      <c r="J1401" s="149">
        <v>10</v>
      </c>
      <c r="K1401" s="150">
        <v>80</v>
      </c>
    </row>
    <row r="1402" spans="1:11" ht="30" customHeight="1">
      <c r="A1402" s="31">
        <v>75688</v>
      </c>
      <c r="B1402" s="16" t="s">
        <v>406</v>
      </c>
      <c r="C1402" s="15" t="s">
        <v>2993</v>
      </c>
      <c r="D1402" s="15" t="s">
        <v>2994</v>
      </c>
      <c r="E1402" s="15">
        <v>0.21</v>
      </c>
      <c r="F1402" s="131">
        <v>20293.519800000002</v>
      </c>
      <c r="G1402" s="17" t="e">
        <f t="shared" si="21"/>
        <v>#VALUE!</v>
      </c>
      <c r="H1402" s="141">
        <v>283</v>
      </c>
      <c r="I1402" s="141">
        <v>0</v>
      </c>
      <c r="J1402" s="149">
        <v>20</v>
      </c>
      <c r="K1402" s="150">
        <v>80</v>
      </c>
    </row>
    <row r="1403" spans="1:11" ht="30" customHeight="1">
      <c r="A1403" s="31">
        <v>75890</v>
      </c>
      <c r="B1403" s="16" t="s">
        <v>406</v>
      </c>
      <c r="C1403" s="15" t="s">
        <v>3251</v>
      </c>
      <c r="D1403" s="15" t="s">
        <v>2749</v>
      </c>
      <c r="E1403" s="15">
        <v>0.21</v>
      </c>
      <c r="F1403" s="131">
        <v>28983.37087661849</v>
      </c>
      <c r="G1403" s="17" t="e">
        <f t="shared" si="21"/>
        <v>#VALUE!</v>
      </c>
      <c r="H1403" s="141">
        <v>32</v>
      </c>
      <c r="I1403" s="141">
        <v>0</v>
      </c>
      <c r="J1403" s="149">
        <v>0</v>
      </c>
      <c r="K1403" s="150">
        <v>24</v>
      </c>
    </row>
    <row r="1404" spans="1:11" ht="30" customHeight="1">
      <c r="A1404" s="31">
        <v>75891</v>
      </c>
      <c r="B1404" s="16" t="s">
        <v>406</v>
      </c>
      <c r="C1404" s="15" t="s">
        <v>3251</v>
      </c>
      <c r="D1404" s="15" t="s">
        <v>2750</v>
      </c>
      <c r="E1404" s="15">
        <v>0.21</v>
      </c>
      <c r="F1404" s="131">
        <v>35067.916004215593</v>
      </c>
      <c r="G1404" s="17" t="e">
        <f t="shared" si="21"/>
        <v>#VALUE!</v>
      </c>
      <c r="H1404" s="141">
        <v>26</v>
      </c>
      <c r="I1404" s="141">
        <v>0</v>
      </c>
      <c r="J1404" s="149">
        <v>0</v>
      </c>
      <c r="K1404" s="150">
        <v>20</v>
      </c>
    </row>
    <row r="1405" spans="1:11" ht="30" customHeight="1">
      <c r="A1405" s="31">
        <v>75894</v>
      </c>
      <c r="B1405" s="16" t="s">
        <v>406</v>
      </c>
      <c r="C1405" s="15" t="s">
        <v>3251</v>
      </c>
      <c r="D1405" s="15" t="s">
        <v>2751</v>
      </c>
      <c r="E1405" s="15">
        <v>0.21</v>
      </c>
      <c r="F1405" s="131">
        <v>41970.276337134906</v>
      </c>
      <c r="G1405" s="17" t="e">
        <f t="shared" si="21"/>
        <v>#VALUE!</v>
      </c>
      <c r="H1405" s="141">
        <v>50</v>
      </c>
      <c r="I1405" s="141">
        <v>0</v>
      </c>
      <c r="J1405" s="149">
        <v>0</v>
      </c>
      <c r="K1405" s="150">
        <v>16</v>
      </c>
    </row>
    <row r="1406" spans="1:11" ht="30" customHeight="1">
      <c r="A1406" s="31">
        <v>75896</v>
      </c>
      <c r="B1406" s="16" t="s">
        <v>406</v>
      </c>
      <c r="C1406" s="15" t="s">
        <v>3251</v>
      </c>
      <c r="D1406" s="15" t="s">
        <v>2752</v>
      </c>
      <c r="E1406" s="15">
        <v>0.21</v>
      </c>
      <c r="F1406" s="131">
        <v>59471.52173102981</v>
      </c>
      <c r="G1406" s="17" t="e">
        <f t="shared" si="21"/>
        <v>#VALUE!</v>
      </c>
      <c r="H1406" s="141">
        <v>35</v>
      </c>
      <c r="I1406" s="141">
        <v>0</v>
      </c>
      <c r="J1406" s="149">
        <v>0</v>
      </c>
      <c r="K1406" s="150">
        <v>12</v>
      </c>
    </row>
    <row r="1407" spans="1:11" ht="30" customHeight="1">
      <c r="A1407" s="30">
        <v>76132</v>
      </c>
      <c r="B1407" s="16" t="s">
        <v>406</v>
      </c>
      <c r="C1407" s="15" t="s">
        <v>407</v>
      </c>
      <c r="D1407" s="15" t="s">
        <v>410</v>
      </c>
      <c r="E1407" s="15">
        <v>0.21</v>
      </c>
      <c r="F1407" s="131">
        <v>1160.5303999999999</v>
      </c>
      <c r="G1407" s="17" t="e">
        <f t="shared" si="21"/>
        <v>#VALUE!</v>
      </c>
      <c r="H1407" s="141">
        <v>197950</v>
      </c>
      <c r="I1407" s="141">
        <v>0</v>
      </c>
      <c r="J1407" s="149">
        <v>50</v>
      </c>
      <c r="K1407" s="150">
        <v>400</v>
      </c>
    </row>
    <row r="1408" spans="1:11" ht="30" customHeight="1">
      <c r="A1408" s="30">
        <v>76134</v>
      </c>
      <c r="B1408" s="16" t="s">
        <v>406</v>
      </c>
      <c r="C1408" s="15" t="s">
        <v>407</v>
      </c>
      <c r="D1408" s="15" t="s">
        <v>411</v>
      </c>
      <c r="E1408" s="15">
        <v>0.21</v>
      </c>
      <c r="F1408" s="131">
        <v>1245.5694974380858</v>
      </c>
      <c r="G1408" s="17" t="e">
        <f t="shared" si="21"/>
        <v>#VALUE!</v>
      </c>
      <c r="H1408" s="141">
        <v>163200</v>
      </c>
      <c r="I1408" s="141">
        <v>0</v>
      </c>
      <c r="J1408" s="149" t="e">
        <v>#N/A</v>
      </c>
      <c r="K1408" s="150" t="e">
        <v>#N/A</v>
      </c>
    </row>
    <row r="1409" spans="1:11" ht="30" customHeight="1">
      <c r="A1409" s="30">
        <v>76105</v>
      </c>
      <c r="B1409" s="16" t="s">
        <v>406</v>
      </c>
      <c r="C1409" s="15" t="s">
        <v>407</v>
      </c>
      <c r="D1409" s="15" t="s">
        <v>408</v>
      </c>
      <c r="E1409" s="15">
        <v>0.21</v>
      </c>
      <c r="F1409" s="131">
        <v>2777.4640045734777</v>
      </c>
      <c r="G1409" s="17" t="e">
        <f t="shared" si="21"/>
        <v>#VALUE!</v>
      </c>
      <c r="H1409" s="141">
        <v>41350</v>
      </c>
      <c r="I1409" s="141">
        <v>0</v>
      </c>
      <c r="J1409" s="149">
        <v>50</v>
      </c>
      <c r="K1409" s="150">
        <v>200</v>
      </c>
    </row>
    <row r="1410" spans="1:11" ht="30" customHeight="1">
      <c r="A1410" s="30">
        <v>76107</v>
      </c>
      <c r="B1410" s="16" t="s">
        <v>406</v>
      </c>
      <c r="C1410" s="15" t="s">
        <v>407</v>
      </c>
      <c r="D1410" s="15" t="s">
        <v>409</v>
      </c>
      <c r="E1410" s="15">
        <v>0.21</v>
      </c>
      <c r="F1410" s="131">
        <v>4262.8631923650273</v>
      </c>
      <c r="G1410" s="17" t="e">
        <f t="shared" si="21"/>
        <v>#VALUE!</v>
      </c>
      <c r="H1410" s="141">
        <v>20050</v>
      </c>
      <c r="I1410" s="141">
        <v>0</v>
      </c>
      <c r="J1410" s="149">
        <v>25</v>
      </c>
      <c r="K1410" s="150">
        <v>100</v>
      </c>
    </row>
    <row r="1411" spans="1:11" ht="30" customHeight="1">
      <c r="A1411" s="30">
        <v>76120</v>
      </c>
      <c r="B1411" s="16" t="s">
        <v>406</v>
      </c>
      <c r="C1411" s="15" t="s">
        <v>407</v>
      </c>
      <c r="D1411" s="15" t="s">
        <v>1802</v>
      </c>
      <c r="E1411" s="15">
        <v>0.21</v>
      </c>
      <c r="F1411" s="131">
        <v>11433.499148194469</v>
      </c>
      <c r="G1411" s="17" t="e">
        <f t="shared" si="21"/>
        <v>#VALUE!</v>
      </c>
      <c r="H1411" s="141">
        <v>3335</v>
      </c>
      <c r="I1411" s="141">
        <v>0</v>
      </c>
      <c r="J1411" s="149">
        <v>0</v>
      </c>
      <c r="K1411" s="150">
        <v>25</v>
      </c>
    </row>
    <row r="1412" spans="1:11" ht="30" customHeight="1">
      <c r="A1412" s="30">
        <v>76145</v>
      </c>
      <c r="B1412" s="16" t="s">
        <v>406</v>
      </c>
      <c r="C1412" s="15" t="s">
        <v>4181</v>
      </c>
      <c r="D1412" s="15" t="s">
        <v>412</v>
      </c>
      <c r="E1412" s="15">
        <v>0.21</v>
      </c>
      <c r="F1412" s="131">
        <v>3899.0231594399265</v>
      </c>
      <c r="G1412" s="17" t="e">
        <f t="shared" si="21"/>
        <v>#VALUE!</v>
      </c>
      <c r="H1412" s="141">
        <v>2100</v>
      </c>
      <c r="I1412" s="141">
        <v>0</v>
      </c>
      <c r="J1412" s="149">
        <v>25</v>
      </c>
      <c r="K1412" s="150">
        <v>100</v>
      </c>
    </row>
    <row r="1413" spans="1:11" ht="30" customHeight="1">
      <c r="A1413" s="30">
        <v>76147</v>
      </c>
      <c r="B1413" s="16" t="s">
        <v>406</v>
      </c>
      <c r="C1413" s="15" t="s">
        <v>4181</v>
      </c>
      <c r="D1413" s="15" t="s">
        <v>413</v>
      </c>
      <c r="E1413" s="15">
        <v>0.21</v>
      </c>
      <c r="F1413" s="131">
        <v>5171.4316497000418</v>
      </c>
      <c r="G1413" s="17" t="e">
        <f t="shared" si="21"/>
        <v>#VALUE!</v>
      </c>
      <c r="H1413" s="141">
        <v>1775</v>
      </c>
      <c r="I1413" s="141">
        <v>0</v>
      </c>
      <c r="J1413" s="149">
        <v>25</v>
      </c>
      <c r="K1413" s="150">
        <v>50</v>
      </c>
    </row>
    <row r="1414" spans="1:11" ht="30" customHeight="1">
      <c r="A1414" s="30">
        <v>76302</v>
      </c>
      <c r="B1414" s="16" t="s">
        <v>406</v>
      </c>
      <c r="C1414" s="15" t="s">
        <v>1869</v>
      </c>
      <c r="D1414" s="15" t="s">
        <v>414</v>
      </c>
      <c r="E1414" s="15">
        <v>0.21</v>
      </c>
      <c r="F1414" s="131">
        <v>2753.855518205823</v>
      </c>
      <c r="G1414" s="17" t="e">
        <f t="shared" si="21"/>
        <v>#VALUE!</v>
      </c>
      <c r="H1414" s="141">
        <v>18550</v>
      </c>
      <c r="I1414" s="141">
        <v>0</v>
      </c>
      <c r="J1414" s="149">
        <v>10</v>
      </c>
      <c r="K1414" s="150">
        <v>100</v>
      </c>
    </row>
    <row r="1415" spans="1:11" ht="30" customHeight="1">
      <c r="A1415" s="30">
        <v>76305</v>
      </c>
      <c r="B1415" s="16" t="s">
        <v>406</v>
      </c>
      <c r="C1415" s="15" t="s">
        <v>1869</v>
      </c>
      <c r="D1415" s="15" t="s">
        <v>415</v>
      </c>
      <c r="E1415" s="15">
        <v>0.21</v>
      </c>
      <c r="F1415" s="131">
        <v>6343.8651871540069</v>
      </c>
      <c r="G1415" s="17" t="e">
        <f t="shared" si="21"/>
        <v>#VALUE!</v>
      </c>
      <c r="H1415" s="141">
        <v>4240</v>
      </c>
      <c r="I1415" s="141">
        <v>0</v>
      </c>
      <c r="J1415" s="149">
        <v>10</v>
      </c>
      <c r="K1415" s="150">
        <v>50</v>
      </c>
    </row>
    <row r="1416" spans="1:11" ht="30" customHeight="1">
      <c r="A1416" s="30">
        <v>76307</v>
      </c>
      <c r="B1416" s="16" t="s">
        <v>406</v>
      </c>
      <c r="C1416" s="15" t="s">
        <v>1869</v>
      </c>
      <c r="D1416" s="15" t="s">
        <v>416</v>
      </c>
      <c r="E1416" s="15">
        <v>0.21</v>
      </c>
      <c r="F1416" s="131">
        <v>10088.381601348065</v>
      </c>
      <c r="G1416" s="17" t="e">
        <f t="shared" si="21"/>
        <v>#VALUE!</v>
      </c>
      <c r="H1416" s="141">
        <v>1150</v>
      </c>
      <c r="I1416" s="141">
        <v>0</v>
      </c>
      <c r="J1416" s="149">
        <v>10</v>
      </c>
      <c r="K1416" s="150">
        <v>30</v>
      </c>
    </row>
    <row r="1417" spans="1:11" ht="30" customHeight="1">
      <c r="A1417" s="30">
        <v>76420</v>
      </c>
      <c r="B1417" s="16" t="s">
        <v>406</v>
      </c>
      <c r="C1417" s="15" t="s">
        <v>417</v>
      </c>
      <c r="D1417" s="15" t="s">
        <v>418</v>
      </c>
      <c r="E1417" s="15">
        <v>0.21</v>
      </c>
      <c r="F1417" s="131">
        <v>13185.697464271647</v>
      </c>
      <c r="G1417" s="17" t="e">
        <f t="shared" si="21"/>
        <v>#VALUE!</v>
      </c>
      <c r="H1417" s="141">
        <v>1011</v>
      </c>
      <c r="I1417" s="141">
        <v>0</v>
      </c>
      <c r="J1417" s="149">
        <v>10</v>
      </c>
      <c r="K1417" s="150">
        <v>100</v>
      </c>
    </row>
    <row r="1418" spans="1:11" ht="30" customHeight="1">
      <c r="A1418" s="30">
        <v>76430</v>
      </c>
      <c r="B1418" s="16" t="s">
        <v>406</v>
      </c>
      <c r="C1418" s="15" t="s">
        <v>417</v>
      </c>
      <c r="D1418" s="15" t="s">
        <v>419</v>
      </c>
      <c r="E1418" s="15">
        <v>0.21</v>
      </c>
      <c r="F1418" s="131">
        <v>18218.406420100528</v>
      </c>
      <c r="G1418" s="17" t="e">
        <f t="shared" si="21"/>
        <v>#VALUE!</v>
      </c>
      <c r="H1418" s="141">
        <v>266</v>
      </c>
      <c r="I1418" s="141">
        <v>0</v>
      </c>
      <c r="J1418" s="149">
        <v>10</v>
      </c>
      <c r="K1418" s="150">
        <v>50</v>
      </c>
    </row>
    <row r="1419" spans="1:11" ht="30" customHeight="1">
      <c r="A1419" s="30">
        <v>76431</v>
      </c>
      <c r="B1419" s="16" t="s">
        <v>406</v>
      </c>
      <c r="C1419" s="15" t="s">
        <v>417</v>
      </c>
      <c r="D1419" s="15" t="s">
        <v>420</v>
      </c>
      <c r="E1419" s="15">
        <v>0.21</v>
      </c>
      <c r="F1419" s="131">
        <v>21439.340151831002</v>
      </c>
      <c r="G1419" s="17" t="e">
        <f t="shared" si="21"/>
        <v>#VALUE!</v>
      </c>
      <c r="H1419" s="141">
        <v>394</v>
      </c>
      <c r="I1419" s="141">
        <v>0</v>
      </c>
      <c r="J1419" s="149">
        <v>10</v>
      </c>
      <c r="K1419" s="150">
        <v>50</v>
      </c>
    </row>
    <row r="1420" spans="1:11" ht="30" customHeight="1">
      <c r="A1420" s="30">
        <v>76460</v>
      </c>
      <c r="B1420" s="16" t="s">
        <v>406</v>
      </c>
      <c r="C1420" s="15" t="s">
        <v>417</v>
      </c>
      <c r="D1420" s="15" t="s">
        <v>1803</v>
      </c>
      <c r="E1420" s="15">
        <v>0.21</v>
      </c>
      <c r="F1420" s="131">
        <v>40865.596721330447</v>
      </c>
      <c r="G1420" s="17" t="e">
        <f t="shared" ref="G1420:G1483" si="22">(F1420*$G$6)</f>
        <v>#VALUE!</v>
      </c>
      <c r="H1420" s="141">
        <v>54</v>
      </c>
      <c r="I1420" s="141">
        <v>0</v>
      </c>
      <c r="J1420" s="149">
        <v>5</v>
      </c>
      <c r="K1420" s="150">
        <v>25</v>
      </c>
    </row>
    <row r="1421" spans="1:11" ht="30" customHeight="1">
      <c r="A1421" s="30">
        <v>76461</v>
      </c>
      <c r="B1421" s="16" t="s">
        <v>406</v>
      </c>
      <c r="C1421" s="15" t="s">
        <v>417</v>
      </c>
      <c r="D1421" s="15" t="s">
        <v>1804</v>
      </c>
      <c r="E1421" s="15">
        <v>0.21</v>
      </c>
      <c r="F1421" s="131">
        <v>47508.77254302457</v>
      </c>
      <c r="G1421" s="17" t="e">
        <f t="shared" si="22"/>
        <v>#VALUE!</v>
      </c>
      <c r="H1421" s="141">
        <v>136</v>
      </c>
      <c r="I1421" s="141">
        <v>0</v>
      </c>
      <c r="J1421" s="149">
        <v>5</v>
      </c>
      <c r="K1421" s="150">
        <v>25</v>
      </c>
    </row>
    <row r="1422" spans="1:11" ht="30" customHeight="1">
      <c r="A1422" s="30">
        <v>76470</v>
      </c>
      <c r="B1422" s="16" t="s">
        <v>406</v>
      </c>
      <c r="C1422" s="15" t="s">
        <v>417</v>
      </c>
      <c r="D1422" s="15" t="s">
        <v>1805</v>
      </c>
      <c r="E1422" s="15">
        <v>0.21</v>
      </c>
      <c r="F1422" s="131">
        <v>69350.729411321867</v>
      </c>
      <c r="G1422" s="17" t="e">
        <f t="shared" si="22"/>
        <v>#VALUE!</v>
      </c>
      <c r="H1422" s="141">
        <v>42</v>
      </c>
      <c r="I1422" s="141">
        <v>0</v>
      </c>
      <c r="J1422" s="149">
        <v>5</v>
      </c>
      <c r="K1422" s="150">
        <v>10</v>
      </c>
    </row>
    <row r="1423" spans="1:11" ht="30" customHeight="1">
      <c r="A1423" s="30">
        <v>76702</v>
      </c>
      <c r="B1423" s="16" t="s">
        <v>406</v>
      </c>
      <c r="C1423" s="15" t="s">
        <v>421</v>
      </c>
      <c r="D1423" s="15" t="s">
        <v>422</v>
      </c>
      <c r="E1423" s="15">
        <v>0.21</v>
      </c>
      <c r="F1423" s="131">
        <v>11080.076975332924</v>
      </c>
      <c r="G1423" s="17" t="e">
        <f t="shared" si="22"/>
        <v>#VALUE!</v>
      </c>
      <c r="H1423" s="141">
        <v>1335</v>
      </c>
      <c r="I1423" s="141">
        <v>0</v>
      </c>
      <c r="J1423" s="149">
        <v>25</v>
      </c>
      <c r="K1423" s="150">
        <v>100</v>
      </c>
    </row>
    <row r="1424" spans="1:11" ht="30" customHeight="1">
      <c r="A1424" s="30">
        <v>76705</v>
      </c>
      <c r="B1424" s="16" t="s">
        <v>406</v>
      </c>
      <c r="C1424" s="15" t="s">
        <v>421</v>
      </c>
      <c r="D1424" s="15" t="s">
        <v>423</v>
      </c>
      <c r="E1424" s="15">
        <v>0.21</v>
      </c>
      <c r="F1424" s="131">
        <v>25009.316601465744</v>
      </c>
      <c r="G1424" s="17" t="e">
        <f t="shared" si="22"/>
        <v>#VALUE!</v>
      </c>
      <c r="H1424" s="141">
        <v>680</v>
      </c>
      <c r="I1424" s="141">
        <v>0</v>
      </c>
      <c r="J1424" s="149">
        <v>10</v>
      </c>
      <c r="K1424" s="150">
        <v>40</v>
      </c>
    </row>
    <row r="1425" spans="1:11" ht="30" customHeight="1">
      <c r="A1425" s="30">
        <v>76707</v>
      </c>
      <c r="B1425" s="16" t="s">
        <v>406</v>
      </c>
      <c r="C1425" s="15" t="s">
        <v>421</v>
      </c>
      <c r="D1425" s="15" t="s">
        <v>424</v>
      </c>
      <c r="E1425" s="15">
        <v>0.21</v>
      </c>
      <c r="F1425" s="131">
        <v>37250.163545643074</v>
      </c>
      <c r="G1425" s="17" t="e">
        <f t="shared" si="22"/>
        <v>#VALUE!</v>
      </c>
      <c r="H1425" s="141">
        <v>235</v>
      </c>
      <c r="I1425" s="141">
        <v>0</v>
      </c>
      <c r="J1425" s="149">
        <v>10</v>
      </c>
      <c r="K1425" s="150">
        <v>20</v>
      </c>
    </row>
    <row r="1426" spans="1:11" ht="30" customHeight="1">
      <c r="A1426" s="30">
        <v>76722</v>
      </c>
      <c r="B1426" s="16" t="s">
        <v>406</v>
      </c>
      <c r="C1426" s="15" t="s">
        <v>425</v>
      </c>
      <c r="D1426" s="15" t="s">
        <v>422</v>
      </c>
      <c r="E1426" s="15">
        <v>0.21</v>
      </c>
      <c r="F1426" s="131">
        <v>10130.35609173296</v>
      </c>
      <c r="G1426" s="17" t="e">
        <f t="shared" si="22"/>
        <v>#VALUE!</v>
      </c>
      <c r="H1426" s="141">
        <v>1361</v>
      </c>
      <c r="I1426" s="141">
        <v>0</v>
      </c>
      <c r="J1426" s="149">
        <v>25</v>
      </c>
      <c r="K1426" s="150">
        <v>100</v>
      </c>
    </row>
    <row r="1427" spans="1:11" ht="30" customHeight="1">
      <c r="A1427" s="30">
        <v>76725</v>
      </c>
      <c r="B1427" s="16" t="s">
        <v>406</v>
      </c>
      <c r="C1427" s="15" t="s">
        <v>425</v>
      </c>
      <c r="D1427" s="15" t="s">
        <v>423</v>
      </c>
      <c r="E1427" s="15">
        <v>0.21</v>
      </c>
      <c r="F1427" s="131">
        <v>23743.022089999125</v>
      </c>
      <c r="G1427" s="17" t="e">
        <f t="shared" si="22"/>
        <v>#VALUE!</v>
      </c>
      <c r="H1427" s="141">
        <v>894</v>
      </c>
      <c r="I1427" s="141">
        <v>0</v>
      </c>
      <c r="J1427" s="149">
        <v>10</v>
      </c>
      <c r="K1427" s="150">
        <v>40</v>
      </c>
    </row>
    <row r="1428" spans="1:11" ht="30" customHeight="1">
      <c r="A1428" s="30">
        <v>76742</v>
      </c>
      <c r="B1428" s="16" t="s">
        <v>406</v>
      </c>
      <c r="C1428" s="15" t="s">
        <v>426</v>
      </c>
      <c r="D1428" s="15" t="s">
        <v>422</v>
      </c>
      <c r="E1428" s="15">
        <v>0.21</v>
      </c>
      <c r="F1428" s="131">
        <v>11924.273316310671</v>
      </c>
      <c r="G1428" s="17" t="e">
        <f t="shared" si="22"/>
        <v>#VALUE!</v>
      </c>
      <c r="H1428" s="141">
        <v>1401</v>
      </c>
      <c r="I1428" s="141">
        <v>0</v>
      </c>
      <c r="J1428" s="149">
        <v>25</v>
      </c>
      <c r="K1428" s="150">
        <v>100</v>
      </c>
    </row>
    <row r="1429" spans="1:11" ht="30" customHeight="1">
      <c r="A1429" s="30">
        <v>76745</v>
      </c>
      <c r="B1429" s="16" t="s">
        <v>406</v>
      </c>
      <c r="C1429" s="15" t="s">
        <v>426</v>
      </c>
      <c r="D1429" s="15" t="s">
        <v>423</v>
      </c>
      <c r="E1429" s="15">
        <v>0.21</v>
      </c>
      <c r="F1429" s="131">
        <v>25959.03748506571</v>
      </c>
      <c r="G1429" s="17" t="e">
        <f t="shared" si="22"/>
        <v>#VALUE!</v>
      </c>
      <c r="H1429" s="141">
        <v>321</v>
      </c>
      <c r="I1429" s="141">
        <v>0</v>
      </c>
      <c r="J1429" s="149">
        <v>10</v>
      </c>
      <c r="K1429" s="150">
        <v>40</v>
      </c>
    </row>
    <row r="1430" spans="1:11" ht="30" customHeight="1">
      <c r="A1430" s="30">
        <v>76712</v>
      </c>
      <c r="B1430" s="16" t="s">
        <v>406</v>
      </c>
      <c r="C1430" s="15" t="s">
        <v>1871</v>
      </c>
      <c r="D1430" s="15" t="s">
        <v>534</v>
      </c>
      <c r="E1430" s="15">
        <v>0.21</v>
      </c>
      <c r="F1430" s="131">
        <v>6753.5707278219743</v>
      </c>
      <c r="G1430" s="17" t="e">
        <f t="shared" si="22"/>
        <v>#VALUE!</v>
      </c>
      <c r="H1430" s="141">
        <v>9627</v>
      </c>
      <c r="I1430" s="141">
        <v>0</v>
      </c>
      <c r="J1430" s="149">
        <v>50</v>
      </c>
      <c r="K1430" s="150">
        <v>100</v>
      </c>
    </row>
    <row r="1431" spans="1:11" ht="30" customHeight="1">
      <c r="A1431" s="30">
        <v>76715</v>
      </c>
      <c r="B1431" s="16" t="s">
        <v>406</v>
      </c>
      <c r="C1431" s="15" t="s">
        <v>1871</v>
      </c>
      <c r="D1431" s="15" t="s">
        <v>535</v>
      </c>
      <c r="E1431" s="15">
        <v>0.21</v>
      </c>
      <c r="F1431" s="131">
        <v>18783.368586754863</v>
      </c>
      <c r="G1431" s="17" t="e">
        <f t="shared" si="22"/>
        <v>#VALUE!</v>
      </c>
      <c r="H1431" s="141">
        <v>3408</v>
      </c>
      <c r="I1431" s="141">
        <v>0</v>
      </c>
      <c r="J1431" s="149">
        <v>20</v>
      </c>
      <c r="K1431" s="150">
        <v>40</v>
      </c>
    </row>
    <row r="1432" spans="1:11" ht="30" customHeight="1">
      <c r="A1432" s="30">
        <v>76717</v>
      </c>
      <c r="B1432" s="16" t="s">
        <v>406</v>
      </c>
      <c r="C1432" s="15" t="s">
        <v>1871</v>
      </c>
      <c r="D1432" s="15" t="s">
        <v>536</v>
      </c>
      <c r="E1432" s="15">
        <v>0.21</v>
      </c>
      <c r="F1432" s="131">
        <v>28069.528337510073</v>
      </c>
      <c r="G1432" s="17" t="e">
        <f t="shared" si="22"/>
        <v>#VALUE!</v>
      </c>
      <c r="H1432" s="141">
        <v>331</v>
      </c>
      <c r="I1432" s="141">
        <v>100</v>
      </c>
      <c r="J1432" s="149">
        <v>10</v>
      </c>
      <c r="K1432" s="150">
        <v>20</v>
      </c>
    </row>
    <row r="1433" spans="1:11" ht="30" customHeight="1">
      <c r="A1433" s="30">
        <v>76732</v>
      </c>
      <c r="B1433" s="16" t="s">
        <v>406</v>
      </c>
      <c r="C1433" s="15" t="s">
        <v>1872</v>
      </c>
      <c r="D1433" s="15" t="s">
        <v>534</v>
      </c>
      <c r="E1433" s="15">
        <v>0.21</v>
      </c>
      <c r="F1433" s="131">
        <v>6648.0461851997561</v>
      </c>
      <c r="G1433" s="17" t="e">
        <f t="shared" si="22"/>
        <v>#VALUE!</v>
      </c>
      <c r="H1433" s="141">
        <v>6127</v>
      </c>
      <c r="I1433" s="141">
        <v>0</v>
      </c>
      <c r="J1433" s="149">
        <v>50</v>
      </c>
      <c r="K1433" s="150">
        <v>100</v>
      </c>
    </row>
    <row r="1434" spans="1:11" ht="30" customHeight="1">
      <c r="A1434" s="30">
        <v>76735</v>
      </c>
      <c r="B1434" s="16" t="s">
        <v>406</v>
      </c>
      <c r="C1434" s="15" t="s">
        <v>1872</v>
      </c>
      <c r="D1434" s="15" t="s">
        <v>535</v>
      </c>
      <c r="E1434" s="15">
        <v>0.21</v>
      </c>
      <c r="F1434" s="131">
        <v>18255.745873643769</v>
      </c>
      <c r="G1434" s="17" t="e">
        <f t="shared" si="22"/>
        <v>#VALUE!</v>
      </c>
      <c r="H1434" s="141">
        <v>629</v>
      </c>
      <c r="I1434" s="141">
        <v>0</v>
      </c>
      <c r="J1434" s="149">
        <v>20</v>
      </c>
      <c r="K1434" s="150">
        <v>40</v>
      </c>
    </row>
    <row r="1435" spans="1:11" ht="30" customHeight="1">
      <c r="A1435" s="30">
        <v>76737</v>
      </c>
      <c r="B1435" s="16" t="s">
        <v>406</v>
      </c>
      <c r="C1435" s="15" t="s">
        <v>1872</v>
      </c>
      <c r="D1435" s="15" t="s">
        <v>536</v>
      </c>
      <c r="E1435" s="15">
        <v>0.21</v>
      </c>
      <c r="F1435" s="131">
        <v>27647.430167021197</v>
      </c>
      <c r="G1435" s="17" t="e">
        <f t="shared" si="22"/>
        <v>#VALUE!</v>
      </c>
      <c r="H1435" s="141">
        <v>236</v>
      </c>
      <c r="I1435" s="141">
        <v>0</v>
      </c>
      <c r="J1435" s="149">
        <v>10</v>
      </c>
      <c r="K1435" s="150">
        <v>20</v>
      </c>
    </row>
    <row r="1436" spans="1:11" ht="30" customHeight="1">
      <c r="A1436" s="30">
        <v>76762</v>
      </c>
      <c r="B1436" s="16" t="s">
        <v>406</v>
      </c>
      <c r="C1436" s="15" t="s">
        <v>1873</v>
      </c>
      <c r="D1436" s="15" t="s">
        <v>534</v>
      </c>
      <c r="E1436" s="15">
        <v>0.21</v>
      </c>
      <c r="F1436" s="131">
        <v>7070.1443556886288</v>
      </c>
      <c r="G1436" s="17" t="e">
        <f t="shared" si="22"/>
        <v>#VALUE!</v>
      </c>
      <c r="H1436" s="141">
        <v>4279</v>
      </c>
      <c r="I1436" s="141">
        <v>0</v>
      </c>
      <c r="J1436" s="149">
        <v>50</v>
      </c>
      <c r="K1436" s="150">
        <v>100</v>
      </c>
    </row>
    <row r="1437" spans="1:11" ht="30" customHeight="1">
      <c r="A1437" s="30">
        <v>76765</v>
      </c>
      <c r="B1437" s="16" t="s">
        <v>406</v>
      </c>
      <c r="C1437" s="15" t="s">
        <v>1873</v>
      </c>
      <c r="D1437" s="15" t="s">
        <v>535</v>
      </c>
      <c r="E1437" s="15">
        <v>0.21</v>
      </c>
      <c r="F1437" s="131">
        <v>19944.138555599267</v>
      </c>
      <c r="G1437" s="17" t="e">
        <f t="shared" si="22"/>
        <v>#VALUE!</v>
      </c>
      <c r="H1437" s="141">
        <v>600</v>
      </c>
      <c r="I1437" s="141">
        <v>0</v>
      </c>
      <c r="J1437" s="149">
        <v>20</v>
      </c>
      <c r="K1437" s="150">
        <v>40</v>
      </c>
    </row>
    <row r="1438" spans="1:11" ht="30" customHeight="1">
      <c r="A1438" s="30">
        <v>76767</v>
      </c>
      <c r="B1438" s="16" t="s">
        <v>406</v>
      </c>
      <c r="C1438" s="15" t="s">
        <v>1873</v>
      </c>
      <c r="D1438" s="15" t="s">
        <v>536</v>
      </c>
      <c r="E1438" s="15">
        <v>0.21</v>
      </c>
      <c r="F1438" s="131">
        <v>29335.822848976703</v>
      </c>
      <c r="G1438" s="17" t="e">
        <f t="shared" si="22"/>
        <v>#VALUE!</v>
      </c>
      <c r="H1438" s="141">
        <v>254</v>
      </c>
      <c r="I1438" s="141">
        <v>0</v>
      </c>
      <c r="J1438" s="149">
        <v>10</v>
      </c>
      <c r="K1438" s="150">
        <v>20</v>
      </c>
    </row>
    <row r="1439" spans="1:11" ht="30" customHeight="1">
      <c r="A1439" s="30">
        <v>76751</v>
      </c>
      <c r="B1439" s="16" t="s">
        <v>406</v>
      </c>
      <c r="C1439" s="15" t="s">
        <v>1874</v>
      </c>
      <c r="D1439" s="15" t="s">
        <v>4227</v>
      </c>
      <c r="E1439" s="15">
        <v>0.21</v>
      </c>
      <c r="F1439" s="131">
        <v>21843.580322799193</v>
      </c>
      <c r="G1439" s="17" t="e">
        <f t="shared" si="22"/>
        <v>#VALUE!</v>
      </c>
      <c r="H1439" s="141">
        <v>3554</v>
      </c>
      <c r="I1439" s="141">
        <v>0</v>
      </c>
      <c r="J1439" s="149">
        <v>10</v>
      </c>
      <c r="K1439" s="150">
        <v>100</v>
      </c>
    </row>
    <row r="1440" spans="1:11" ht="30" customHeight="1">
      <c r="A1440" s="30">
        <v>76753</v>
      </c>
      <c r="B1440" s="16" t="s">
        <v>406</v>
      </c>
      <c r="C1440" s="15" t="s">
        <v>1874</v>
      </c>
      <c r="D1440" s="15" t="s">
        <v>4228</v>
      </c>
      <c r="E1440" s="15">
        <v>0.21</v>
      </c>
      <c r="F1440" s="131">
        <v>52762.271311109173</v>
      </c>
      <c r="G1440" s="17" t="e">
        <f t="shared" si="22"/>
        <v>#VALUE!</v>
      </c>
      <c r="H1440" s="141">
        <v>329</v>
      </c>
      <c r="I1440" s="141">
        <v>0</v>
      </c>
      <c r="J1440" s="149">
        <v>10</v>
      </c>
      <c r="K1440" s="150">
        <v>40</v>
      </c>
    </row>
    <row r="1441" spans="1:11" ht="30" customHeight="1">
      <c r="A1441" s="30">
        <v>76754</v>
      </c>
      <c r="B1441" s="16" t="s">
        <v>406</v>
      </c>
      <c r="C1441" s="15" t="s">
        <v>1874</v>
      </c>
      <c r="D1441" s="15" t="s">
        <v>4229</v>
      </c>
      <c r="E1441" s="15">
        <v>0.21</v>
      </c>
      <c r="F1441" s="131">
        <v>72495.360781463998</v>
      </c>
      <c r="G1441" s="17" t="e">
        <f t="shared" si="22"/>
        <v>#VALUE!</v>
      </c>
      <c r="H1441" s="141">
        <v>132</v>
      </c>
      <c r="I1441" s="141">
        <v>0</v>
      </c>
      <c r="J1441" s="149">
        <v>10</v>
      </c>
      <c r="K1441" s="150">
        <v>20</v>
      </c>
    </row>
    <row r="1442" spans="1:11" ht="30" customHeight="1">
      <c r="A1442" s="30">
        <v>76756</v>
      </c>
      <c r="B1442" s="16" t="s">
        <v>406</v>
      </c>
      <c r="C1442" s="15" t="s">
        <v>1875</v>
      </c>
      <c r="D1442" s="15" t="s">
        <v>4227</v>
      </c>
      <c r="E1442" s="15">
        <v>0.21</v>
      </c>
      <c r="F1442" s="131">
        <v>24059.595717865774</v>
      </c>
      <c r="G1442" s="17" t="e">
        <f t="shared" si="22"/>
        <v>#VALUE!</v>
      </c>
      <c r="H1442" s="141">
        <v>511</v>
      </c>
      <c r="I1442" s="141">
        <v>0</v>
      </c>
      <c r="J1442" s="149">
        <v>10</v>
      </c>
      <c r="K1442" s="150">
        <v>100</v>
      </c>
    </row>
    <row r="1443" spans="1:11" ht="30" customHeight="1">
      <c r="A1443" s="30">
        <v>76759</v>
      </c>
      <c r="B1443" s="16" t="s">
        <v>406</v>
      </c>
      <c r="C1443" s="15" t="s">
        <v>1875</v>
      </c>
      <c r="D1443" s="15" t="s">
        <v>4229</v>
      </c>
      <c r="E1443" s="15">
        <v>0.21</v>
      </c>
      <c r="F1443" s="131">
        <v>79143.406966663737</v>
      </c>
      <c r="G1443" s="17" t="e">
        <f t="shared" si="22"/>
        <v>#VALUE!</v>
      </c>
      <c r="H1443" s="141">
        <v>68</v>
      </c>
      <c r="I1443" s="141">
        <v>0</v>
      </c>
      <c r="J1443" s="149">
        <v>10</v>
      </c>
      <c r="K1443" s="150">
        <v>20</v>
      </c>
    </row>
    <row r="1444" spans="1:11" ht="30" customHeight="1">
      <c r="A1444" s="30">
        <v>76540</v>
      </c>
      <c r="B1444" s="16" t="s">
        <v>406</v>
      </c>
      <c r="C1444" s="15" t="s">
        <v>1870</v>
      </c>
      <c r="D1444" s="15" t="s">
        <v>4230</v>
      </c>
      <c r="E1444" s="15">
        <v>0.21</v>
      </c>
      <c r="F1444" s="131">
        <v>39053.823800000006</v>
      </c>
      <c r="G1444" s="17" t="e">
        <f t="shared" si="22"/>
        <v>#VALUE!</v>
      </c>
      <c r="H1444" s="141">
        <v>367</v>
      </c>
      <c r="I1444" s="141">
        <v>0</v>
      </c>
      <c r="J1444" s="149">
        <v>10</v>
      </c>
      <c r="K1444" s="150">
        <v>50</v>
      </c>
    </row>
    <row r="1445" spans="1:11" ht="30" customHeight="1">
      <c r="A1445" s="30">
        <v>76560</v>
      </c>
      <c r="B1445" s="16" t="s">
        <v>406</v>
      </c>
      <c r="C1445" s="15" t="s">
        <v>1870</v>
      </c>
      <c r="D1445" s="15" t="s">
        <v>4231</v>
      </c>
      <c r="E1445" s="15">
        <v>0.21</v>
      </c>
      <c r="F1445" s="131">
        <v>72269.697600000014</v>
      </c>
      <c r="G1445" s="17" t="e">
        <f t="shared" si="22"/>
        <v>#VALUE!</v>
      </c>
      <c r="H1445" s="141">
        <v>143</v>
      </c>
      <c r="I1445" s="141">
        <v>0</v>
      </c>
      <c r="J1445" s="149">
        <v>5</v>
      </c>
      <c r="K1445" s="150">
        <v>25</v>
      </c>
    </row>
    <row r="1446" spans="1:11" ht="30" customHeight="1">
      <c r="A1446" s="30">
        <v>76570</v>
      </c>
      <c r="B1446" s="16" t="s">
        <v>406</v>
      </c>
      <c r="C1446" s="15" t="s">
        <v>1870</v>
      </c>
      <c r="D1446" s="15" t="s">
        <v>4232</v>
      </c>
      <c r="E1446" s="15">
        <v>0.21</v>
      </c>
      <c r="F1446" s="131">
        <v>109310.4436</v>
      </c>
      <c r="G1446" s="17" t="e">
        <f t="shared" si="22"/>
        <v>#VALUE!</v>
      </c>
      <c r="H1446" s="141">
        <v>52</v>
      </c>
      <c r="I1446" s="141">
        <v>0</v>
      </c>
      <c r="J1446" s="149">
        <v>5</v>
      </c>
      <c r="K1446" s="150">
        <v>10</v>
      </c>
    </row>
    <row r="1447" spans="1:11" ht="30" customHeight="1">
      <c r="A1447" s="31">
        <v>76681</v>
      </c>
      <c r="B1447" s="16" t="s">
        <v>406</v>
      </c>
      <c r="C1447" s="15" t="s">
        <v>2753</v>
      </c>
      <c r="D1447" s="15" t="s">
        <v>2754</v>
      </c>
      <c r="E1447" s="15">
        <v>0.21</v>
      </c>
      <c r="F1447" s="131">
        <v>47771.022871309746</v>
      </c>
      <c r="G1447" s="17" t="e">
        <f t="shared" si="22"/>
        <v>#VALUE!</v>
      </c>
      <c r="H1447" s="141">
        <v>169</v>
      </c>
      <c r="I1447" s="141">
        <v>0</v>
      </c>
      <c r="J1447" s="149">
        <v>0</v>
      </c>
      <c r="K1447" s="150">
        <v>20</v>
      </c>
    </row>
    <row r="1448" spans="1:11" ht="30" customHeight="1">
      <c r="A1448" s="31">
        <v>76684</v>
      </c>
      <c r="B1448" s="16" t="s">
        <v>406</v>
      </c>
      <c r="C1448" s="15" t="s">
        <v>2753</v>
      </c>
      <c r="D1448" s="15" t="s">
        <v>2755</v>
      </c>
      <c r="E1448" s="15">
        <v>0.21</v>
      </c>
      <c r="F1448" s="131">
        <v>47771.022871309746</v>
      </c>
      <c r="G1448" s="17" t="e">
        <f t="shared" si="22"/>
        <v>#VALUE!</v>
      </c>
      <c r="H1448" s="141">
        <v>118</v>
      </c>
      <c r="I1448" s="141">
        <v>40</v>
      </c>
      <c r="J1448" s="149">
        <v>0</v>
      </c>
      <c r="K1448" s="150">
        <v>20</v>
      </c>
    </row>
    <row r="1449" spans="1:11" ht="30" customHeight="1">
      <c r="A1449" s="30">
        <v>77110</v>
      </c>
      <c r="B1449" s="16" t="s">
        <v>406</v>
      </c>
      <c r="C1449" s="15" t="s">
        <v>427</v>
      </c>
      <c r="D1449" s="15" t="s">
        <v>428</v>
      </c>
      <c r="E1449" s="15">
        <v>0.21</v>
      </c>
      <c r="F1449" s="131">
        <v>6315.7767999999996</v>
      </c>
      <c r="G1449" s="17" t="e">
        <f t="shared" si="22"/>
        <v>#VALUE!</v>
      </c>
      <c r="H1449" s="141">
        <v>739</v>
      </c>
      <c r="I1449" s="141">
        <v>0</v>
      </c>
      <c r="J1449" s="149">
        <v>25</v>
      </c>
      <c r="K1449" s="150">
        <v>100</v>
      </c>
    </row>
    <row r="1450" spans="1:11" ht="30" customHeight="1">
      <c r="A1450" s="31">
        <v>77115</v>
      </c>
      <c r="B1450" s="16" t="s">
        <v>406</v>
      </c>
      <c r="C1450" s="15" t="s">
        <v>3252</v>
      </c>
      <c r="D1450" s="15" t="s">
        <v>2756</v>
      </c>
      <c r="E1450" s="15">
        <v>0.21</v>
      </c>
      <c r="F1450" s="131">
        <v>75971.402938666928</v>
      </c>
      <c r="G1450" s="17" t="e">
        <f t="shared" si="22"/>
        <v>#VALUE!</v>
      </c>
      <c r="H1450" s="141">
        <v>45</v>
      </c>
      <c r="I1450" s="141">
        <v>0</v>
      </c>
      <c r="J1450" s="149">
        <v>0</v>
      </c>
      <c r="K1450" s="150">
        <v>6</v>
      </c>
    </row>
    <row r="1451" spans="1:11" ht="30" customHeight="1">
      <c r="A1451" s="30">
        <v>77501</v>
      </c>
      <c r="B1451" s="16" t="s">
        <v>406</v>
      </c>
      <c r="C1451" s="15" t="s">
        <v>4233</v>
      </c>
      <c r="D1451" s="15" t="s">
        <v>433</v>
      </c>
      <c r="E1451" s="15">
        <v>0.21</v>
      </c>
      <c r="F1451" s="131">
        <v>11117.587400000002</v>
      </c>
      <c r="G1451" s="17" t="e">
        <f t="shared" si="22"/>
        <v>#VALUE!</v>
      </c>
      <c r="H1451" s="141">
        <v>1</v>
      </c>
      <c r="I1451" s="141">
        <v>0</v>
      </c>
      <c r="J1451" s="149" t="e">
        <v>#N/A</v>
      </c>
      <c r="K1451" s="150" t="e">
        <v>#N/A</v>
      </c>
    </row>
    <row r="1452" spans="1:11" ht="30" customHeight="1">
      <c r="A1452" s="31">
        <v>77601</v>
      </c>
      <c r="B1452" s="16" t="s">
        <v>406</v>
      </c>
      <c r="C1452" s="15" t="s">
        <v>4234</v>
      </c>
      <c r="D1452" s="15" t="s">
        <v>433</v>
      </c>
      <c r="E1452" s="15">
        <v>0.21</v>
      </c>
      <c r="F1452" s="131">
        <v>11117.584991208532</v>
      </c>
      <c r="G1452" s="17" t="e">
        <f t="shared" si="22"/>
        <v>#VALUE!</v>
      </c>
      <c r="H1452" s="141">
        <v>733</v>
      </c>
      <c r="I1452" s="141">
        <v>0</v>
      </c>
      <c r="J1452" s="149">
        <v>8</v>
      </c>
      <c r="K1452" s="150">
        <v>48</v>
      </c>
    </row>
    <row r="1453" spans="1:11" ht="30" customHeight="1">
      <c r="A1453" s="30">
        <v>77503</v>
      </c>
      <c r="B1453" s="16" t="s">
        <v>406</v>
      </c>
      <c r="C1453" s="15" t="s">
        <v>4235</v>
      </c>
      <c r="D1453" s="15" t="s">
        <v>434</v>
      </c>
      <c r="E1453" s="15">
        <v>0.21</v>
      </c>
      <c r="F1453" s="131">
        <v>18638.308600000004</v>
      </c>
      <c r="G1453" s="17" t="e">
        <f t="shared" si="22"/>
        <v>#VALUE!</v>
      </c>
      <c r="H1453" s="141">
        <v>148</v>
      </c>
      <c r="I1453" s="141">
        <v>0</v>
      </c>
      <c r="J1453" s="149" t="e">
        <v>#N/A</v>
      </c>
      <c r="K1453" s="150" t="e">
        <v>#N/A</v>
      </c>
    </row>
    <row r="1454" spans="1:11" ht="30" customHeight="1">
      <c r="A1454" s="31">
        <v>77602</v>
      </c>
      <c r="B1454" s="16" t="s">
        <v>406</v>
      </c>
      <c r="C1454" s="15" t="s">
        <v>4236</v>
      </c>
      <c r="D1454" s="15" t="s">
        <v>434</v>
      </c>
      <c r="E1454" s="15">
        <v>0.21</v>
      </c>
      <c r="F1454" s="131">
        <v>18657.462800000001</v>
      </c>
      <c r="G1454" s="17" t="e">
        <f t="shared" si="22"/>
        <v>#VALUE!</v>
      </c>
      <c r="H1454" s="141">
        <v>0</v>
      </c>
      <c r="I1454" s="141">
        <v>0</v>
      </c>
      <c r="J1454" s="149" t="e">
        <v>#N/A</v>
      </c>
      <c r="K1454" s="150" t="e">
        <v>#N/A</v>
      </c>
    </row>
    <row r="1455" spans="1:11" ht="30" customHeight="1">
      <c r="A1455" s="30">
        <v>77504</v>
      </c>
      <c r="B1455" s="16" t="s">
        <v>406</v>
      </c>
      <c r="C1455" s="15" t="s">
        <v>4237</v>
      </c>
      <c r="D1455" s="15" t="s">
        <v>435</v>
      </c>
      <c r="E1455" s="15">
        <v>0.21</v>
      </c>
      <c r="F1455" s="131">
        <v>27357.974600000001</v>
      </c>
      <c r="G1455" s="17" t="e">
        <f t="shared" si="22"/>
        <v>#VALUE!</v>
      </c>
      <c r="H1455" s="141">
        <v>67</v>
      </c>
      <c r="I1455" s="141">
        <v>0</v>
      </c>
      <c r="J1455" s="149" t="e">
        <v>#N/A</v>
      </c>
      <c r="K1455" s="150" t="e">
        <v>#N/A</v>
      </c>
    </row>
    <row r="1456" spans="1:11" ht="30" customHeight="1">
      <c r="A1456" s="31">
        <v>77603</v>
      </c>
      <c r="B1456" s="16" t="s">
        <v>406</v>
      </c>
      <c r="C1456" s="15" t="s">
        <v>4238</v>
      </c>
      <c r="D1456" s="15" t="s">
        <v>435</v>
      </c>
      <c r="E1456" s="15">
        <v>0.21</v>
      </c>
      <c r="F1456" s="131">
        <v>27357.978752875897</v>
      </c>
      <c r="G1456" s="17" t="e">
        <f t="shared" si="22"/>
        <v>#VALUE!</v>
      </c>
      <c r="H1456" s="141">
        <v>96</v>
      </c>
      <c r="I1456" s="141">
        <v>0</v>
      </c>
      <c r="J1456" s="149">
        <v>4</v>
      </c>
      <c r="K1456" s="150">
        <v>24</v>
      </c>
    </row>
    <row r="1457" spans="1:11" ht="30" customHeight="1">
      <c r="A1457" s="30">
        <v>77507</v>
      </c>
      <c r="B1457" s="16" t="s">
        <v>406</v>
      </c>
      <c r="C1457" s="15" t="s">
        <v>4239</v>
      </c>
      <c r="D1457" s="15" t="s">
        <v>433</v>
      </c>
      <c r="E1457" s="15">
        <v>0.21</v>
      </c>
      <c r="F1457" s="131">
        <v>13079.509600000001</v>
      </c>
      <c r="G1457" s="17" t="e">
        <f t="shared" si="22"/>
        <v>#VALUE!</v>
      </c>
      <c r="H1457" s="141">
        <v>1</v>
      </c>
      <c r="I1457" s="141">
        <v>0</v>
      </c>
      <c r="J1457" s="149" t="e">
        <v>#N/A</v>
      </c>
      <c r="K1457" s="150" t="e">
        <v>#N/A</v>
      </c>
    </row>
    <row r="1458" spans="1:11" ht="30" customHeight="1">
      <c r="A1458" s="31">
        <v>77611</v>
      </c>
      <c r="B1458" s="16" t="s">
        <v>406</v>
      </c>
      <c r="C1458" s="15" t="s">
        <v>4240</v>
      </c>
      <c r="D1458" s="15" t="s">
        <v>433</v>
      </c>
      <c r="E1458" s="15">
        <v>0.21</v>
      </c>
      <c r="F1458" s="131">
        <v>13394.095417170864</v>
      </c>
      <c r="G1458" s="17" t="e">
        <f t="shared" si="22"/>
        <v>#VALUE!</v>
      </c>
      <c r="H1458" s="141">
        <v>788</v>
      </c>
      <c r="I1458" s="141">
        <v>0</v>
      </c>
      <c r="J1458" s="149">
        <v>8</v>
      </c>
      <c r="K1458" s="150">
        <v>48</v>
      </c>
    </row>
    <row r="1459" spans="1:11" ht="30" customHeight="1">
      <c r="A1459" s="30">
        <v>77509</v>
      </c>
      <c r="B1459" s="16" t="s">
        <v>406</v>
      </c>
      <c r="C1459" s="15" t="s">
        <v>4241</v>
      </c>
      <c r="D1459" s="15" t="s">
        <v>434</v>
      </c>
      <c r="E1459" s="15">
        <v>0.21</v>
      </c>
      <c r="F1459" s="131">
        <v>21799.1862</v>
      </c>
      <c r="G1459" s="17" t="e">
        <f t="shared" si="22"/>
        <v>#VALUE!</v>
      </c>
      <c r="H1459" s="141">
        <v>148</v>
      </c>
      <c r="I1459" s="141">
        <v>0</v>
      </c>
      <c r="J1459" s="149" t="e">
        <v>#N/A</v>
      </c>
      <c r="K1459" s="150" t="e">
        <v>#N/A</v>
      </c>
    </row>
    <row r="1460" spans="1:11" ht="30" customHeight="1">
      <c r="A1460" s="31">
        <v>77612</v>
      </c>
      <c r="B1460" s="16" t="s">
        <v>406</v>
      </c>
      <c r="C1460" s="15" t="s">
        <v>4242</v>
      </c>
      <c r="D1460" s="15" t="s">
        <v>434</v>
      </c>
      <c r="E1460" s="15">
        <v>0.21</v>
      </c>
      <c r="F1460" s="131">
        <v>21799.1862</v>
      </c>
      <c r="G1460" s="17" t="e">
        <f t="shared" si="22"/>
        <v>#VALUE!</v>
      </c>
      <c r="H1460" s="141">
        <v>171</v>
      </c>
      <c r="I1460" s="141">
        <v>0</v>
      </c>
      <c r="J1460" s="149">
        <v>6</v>
      </c>
      <c r="K1460" s="150">
        <v>36</v>
      </c>
    </row>
    <row r="1461" spans="1:11" ht="30" customHeight="1">
      <c r="A1461" s="30">
        <v>77510</v>
      </c>
      <c r="B1461" s="16" t="s">
        <v>406</v>
      </c>
      <c r="C1461" s="15" t="s">
        <v>4239</v>
      </c>
      <c r="D1461" s="15" t="s">
        <v>435</v>
      </c>
      <c r="E1461" s="15">
        <v>0.21</v>
      </c>
      <c r="F1461" s="131">
        <v>30409.863000000001</v>
      </c>
      <c r="G1461" s="17" t="e">
        <f t="shared" si="22"/>
        <v>#VALUE!</v>
      </c>
      <c r="H1461" s="141">
        <v>351</v>
      </c>
      <c r="I1461" s="141">
        <v>0</v>
      </c>
      <c r="J1461" s="149" t="e">
        <v>#N/A</v>
      </c>
      <c r="K1461" s="150" t="e">
        <v>#N/A</v>
      </c>
    </row>
    <row r="1462" spans="1:11" ht="30" customHeight="1">
      <c r="A1462" s="31">
        <v>77621</v>
      </c>
      <c r="B1462" s="16" t="s">
        <v>406</v>
      </c>
      <c r="C1462" s="15" t="s">
        <v>4243</v>
      </c>
      <c r="D1462" s="15" t="s">
        <v>433</v>
      </c>
      <c r="E1462" s="15">
        <v>0.21</v>
      </c>
      <c r="F1462" s="131">
        <v>22017.178119844346</v>
      </c>
      <c r="G1462" s="17" t="e">
        <f t="shared" si="22"/>
        <v>#VALUE!</v>
      </c>
      <c r="H1462" s="141">
        <v>325</v>
      </c>
      <c r="I1462" s="141">
        <v>0</v>
      </c>
      <c r="J1462" s="149">
        <v>6</v>
      </c>
      <c r="K1462" s="150">
        <v>36</v>
      </c>
    </row>
    <row r="1463" spans="1:11" ht="30" customHeight="1">
      <c r="A1463" s="30">
        <v>77515</v>
      </c>
      <c r="B1463" s="16" t="s">
        <v>406</v>
      </c>
      <c r="C1463" s="15" t="s">
        <v>4239</v>
      </c>
      <c r="D1463" s="15" t="s">
        <v>434</v>
      </c>
      <c r="E1463" s="15">
        <v>0.21</v>
      </c>
      <c r="F1463" s="131">
        <v>34333.718000000001</v>
      </c>
      <c r="G1463" s="17" t="e">
        <f t="shared" si="22"/>
        <v>#VALUE!</v>
      </c>
      <c r="H1463" s="141">
        <v>141</v>
      </c>
      <c r="I1463" s="141">
        <v>0</v>
      </c>
      <c r="J1463" s="149" t="e">
        <v>#N/A</v>
      </c>
      <c r="K1463" s="150" t="e">
        <v>#N/A</v>
      </c>
    </row>
    <row r="1464" spans="1:11" ht="30" customHeight="1">
      <c r="A1464" s="30">
        <v>77517</v>
      </c>
      <c r="B1464" s="16" t="s">
        <v>406</v>
      </c>
      <c r="C1464" s="15" t="s">
        <v>4244</v>
      </c>
      <c r="D1464" s="15" t="s">
        <v>434</v>
      </c>
      <c r="E1464" s="15">
        <v>0.21</v>
      </c>
      <c r="F1464" s="131">
        <v>11771.565000000001</v>
      </c>
      <c r="G1464" s="17" t="e">
        <f t="shared" si="22"/>
        <v>#VALUE!</v>
      </c>
      <c r="H1464" s="141">
        <v>33</v>
      </c>
      <c r="I1464" s="141">
        <v>0</v>
      </c>
      <c r="J1464" s="149" t="e">
        <v>#N/A</v>
      </c>
      <c r="K1464" s="150" t="e">
        <v>#N/A</v>
      </c>
    </row>
    <row r="1465" spans="1:11" ht="30" customHeight="1">
      <c r="A1465" s="31">
        <v>77627</v>
      </c>
      <c r="B1465" s="16" t="s">
        <v>406</v>
      </c>
      <c r="C1465" s="15" t="s">
        <v>4245</v>
      </c>
      <c r="D1465" s="15" t="s">
        <v>434</v>
      </c>
      <c r="E1465" s="15">
        <v>0.21</v>
      </c>
      <c r="F1465" s="131">
        <v>11771.560578926683</v>
      </c>
      <c r="G1465" s="17" t="e">
        <f t="shared" si="22"/>
        <v>#VALUE!</v>
      </c>
      <c r="H1465" s="141">
        <v>1285</v>
      </c>
      <c r="I1465" s="141">
        <v>0</v>
      </c>
      <c r="J1465" s="149">
        <v>10</v>
      </c>
      <c r="K1465" s="150">
        <v>40</v>
      </c>
    </row>
    <row r="1466" spans="1:11" ht="30" customHeight="1">
      <c r="A1466" s="30">
        <v>77520</v>
      </c>
      <c r="B1466" s="16" t="s">
        <v>406</v>
      </c>
      <c r="C1466" s="15" t="s">
        <v>4246</v>
      </c>
      <c r="D1466" s="15" t="s">
        <v>434</v>
      </c>
      <c r="E1466" s="15">
        <v>0.21</v>
      </c>
      <c r="F1466" s="131">
        <v>13297.498600000001</v>
      </c>
      <c r="G1466" s="17" t="e">
        <f t="shared" si="22"/>
        <v>#VALUE!</v>
      </c>
      <c r="H1466" s="141">
        <v>980</v>
      </c>
      <c r="I1466" s="141">
        <v>0</v>
      </c>
      <c r="J1466" s="149" t="e">
        <v>#N/A</v>
      </c>
      <c r="K1466" s="150" t="e">
        <v>#N/A</v>
      </c>
    </row>
    <row r="1467" spans="1:11" ht="30" customHeight="1">
      <c r="A1467" s="31">
        <v>77629</v>
      </c>
      <c r="B1467" s="16" t="s">
        <v>406</v>
      </c>
      <c r="C1467" s="15" t="s">
        <v>4246</v>
      </c>
      <c r="D1467" s="15" t="s">
        <v>434</v>
      </c>
      <c r="E1467" s="15">
        <v>0.21</v>
      </c>
      <c r="F1467" s="131">
        <v>13360.515600000001</v>
      </c>
      <c r="G1467" s="17" t="e">
        <f t="shared" si="22"/>
        <v>#VALUE!</v>
      </c>
      <c r="H1467" s="141">
        <v>22</v>
      </c>
      <c r="I1467" s="141">
        <v>0</v>
      </c>
      <c r="J1467" s="149" t="e">
        <v>#N/A</v>
      </c>
      <c r="K1467" s="150" t="e">
        <v>#N/A</v>
      </c>
    </row>
    <row r="1468" spans="1:11" ht="30" customHeight="1">
      <c r="A1468" s="30">
        <v>77527</v>
      </c>
      <c r="B1468" s="16" t="s">
        <v>406</v>
      </c>
      <c r="C1468" s="15" t="s">
        <v>4247</v>
      </c>
      <c r="D1468" s="15" t="s">
        <v>435</v>
      </c>
      <c r="E1468" s="15">
        <v>0.21</v>
      </c>
      <c r="F1468" s="131">
        <v>10681.5988</v>
      </c>
      <c r="G1468" s="17" t="e">
        <f t="shared" si="22"/>
        <v>#VALUE!</v>
      </c>
      <c r="H1468" s="141">
        <v>303</v>
      </c>
      <c r="I1468" s="141">
        <v>0</v>
      </c>
      <c r="J1468" s="149">
        <v>6</v>
      </c>
      <c r="K1468" s="150">
        <v>60</v>
      </c>
    </row>
    <row r="1469" spans="1:11" ht="30" customHeight="1">
      <c r="A1469" s="30">
        <v>77533</v>
      </c>
      <c r="B1469" s="16" t="s">
        <v>406</v>
      </c>
      <c r="C1469" s="15" t="s">
        <v>4248</v>
      </c>
      <c r="D1469" s="15" t="s">
        <v>435</v>
      </c>
      <c r="E1469" s="15">
        <v>0.21</v>
      </c>
      <c r="F1469" s="131">
        <v>16981.890581197429</v>
      </c>
      <c r="G1469" s="17" t="e">
        <f t="shared" si="22"/>
        <v>#VALUE!</v>
      </c>
      <c r="H1469" s="141">
        <v>328</v>
      </c>
      <c r="I1469" s="141">
        <v>0</v>
      </c>
      <c r="J1469" s="149">
        <v>6</v>
      </c>
      <c r="K1469" s="150">
        <v>60</v>
      </c>
    </row>
    <row r="1470" spans="1:11" ht="30" customHeight="1">
      <c r="A1470" s="30">
        <v>77534</v>
      </c>
      <c r="B1470" s="16" t="s">
        <v>406</v>
      </c>
      <c r="C1470" s="15" t="s">
        <v>4248</v>
      </c>
      <c r="D1470" s="15" t="s">
        <v>436</v>
      </c>
      <c r="E1470" s="15">
        <v>0.21</v>
      </c>
      <c r="F1470" s="131">
        <v>25472.835871796146</v>
      </c>
      <c r="G1470" s="17" t="e">
        <f t="shared" si="22"/>
        <v>#VALUE!</v>
      </c>
      <c r="H1470" s="141">
        <v>217</v>
      </c>
      <c r="I1470" s="141">
        <v>0</v>
      </c>
      <c r="J1470" s="149">
        <v>5</v>
      </c>
      <c r="K1470" s="150">
        <v>40</v>
      </c>
    </row>
    <row r="1471" spans="1:11" ht="30" customHeight="1">
      <c r="A1471" s="30">
        <v>77535</v>
      </c>
      <c r="B1471" s="16" t="s">
        <v>406</v>
      </c>
      <c r="C1471" s="15" t="s">
        <v>4248</v>
      </c>
      <c r="D1471" s="15" t="s">
        <v>437</v>
      </c>
      <c r="E1471" s="15">
        <v>0.21</v>
      </c>
      <c r="F1471" s="131">
        <v>32144.292885838</v>
      </c>
      <c r="G1471" s="17" t="e">
        <f t="shared" si="22"/>
        <v>#VALUE!</v>
      </c>
      <c r="H1471" s="141">
        <v>188</v>
      </c>
      <c r="I1471" s="141">
        <v>0</v>
      </c>
      <c r="J1471" s="149">
        <v>6</v>
      </c>
      <c r="K1471" s="150">
        <v>24</v>
      </c>
    </row>
    <row r="1472" spans="1:11" ht="30" customHeight="1">
      <c r="A1472" s="30">
        <v>77540</v>
      </c>
      <c r="B1472" s="16" t="s">
        <v>406</v>
      </c>
      <c r="C1472" s="15" t="s">
        <v>4249</v>
      </c>
      <c r="D1472" s="15" t="s">
        <v>438</v>
      </c>
      <c r="E1472" s="15">
        <v>0.21</v>
      </c>
      <c r="F1472" s="131">
        <v>3537.8938710827997</v>
      </c>
      <c r="G1472" s="17" t="e">
        <f t="shared" si="22"/>
        <v>#VALUE!</v>
      </c>
      <c r="H1472" s="141">
        <v>942</v>
      </c>
      <c r="I1472" s="141">
        <v>0</v>
      </c>
      <c r="J1472" s="149">
        <v>20</v>
      </c>
      <c r="K1472" s="150">
        <v>80</v>
      </c>
    </row>
    <row r="1473" spans="1:11" ht="30" customHeight="1">
      <c r="A1473" s="30">
        <v>77542</v>
      </c>
      <c r="B1473" s="16" t="s">
        <v>406</v>
      </c>
      <c r="C1473" s="15" t="s">
        <v>4249</v>
      </c>
      <c r="D1473" s="15" t="s">
        <v>433</v>
      </c>
      <c r="E1473" s="15">
        <v>0.21</v>
      </c>
      <c r="F1473" s="131">
        <v>4470.7196000000004</v>
      </c>
      <c r="G1473" s="17" t="e">
        <f t="shared" si="22"/>
        <v>#VALUE!</v>
      </c>
      <c r="H1473" s="141">
        <v>926</v>
      </c>
      <c r="I1473" s="141">
        <v>0</v>
      </c>
      <c r="J1473" s="149">
        <v>10</v>
      </c>
      <c r="K1473" s="150">
        <v>80</v>
      </c>
    </row>
    <row r="1474" spans="1:11" ht="30" customHeight="1">
      <c r="A1474" s="30">
        <v>77543</v>
      </c>
      <c r="B1474" s="16" t="s">
        <v>406</v>
      </c>
      <c r="C1474" s="15" t="s">
        <v>4249</v>
      </c>
      <c r="D1474" s="15" t="s">
        <v>434</v>
      </c>
      <c r="E1474" s="15">
        <v>0.21</v>
      </c>
      <c r="F1474" s="131">
        <v>6267.1262859180961</v>
      </c>
      <c r="G1474" s="17" t="e">
        <f t="shared" si="22"/>
        <v>#VALUE!</v>
      </c>
      <c r="H1474" s="141">
        <v>1174</v>
      </c>
      <c r="I1474" s="141">
        <v>0</v>
      </c>
      <c r="J1474" s="149">
        <v>12</v>
      </c>
      <c r="K1474" s="150">
        <v>72</v>
      </c>
    </row>
    <row r="1475" spans="1:11" ht="30" customHeight="1">
      <c r="A1475" s="30">
        <v>77546</v>
      </c>
      <c r="B1475" s="16" t="s">
        <v>406</v>
      </c>
      <c r="C1475" s="15" t="s">
        <v>4250</v>
      </c>
      <c r="D1475" s="15" t="s">
        <v>129</v>
      </c>
      <c r="E1475" s="15">
        <v>0.21</v>
      </c>
      <c r="F1475" s="131">
        <v>3740.0592351446726</v>
      </c>
      <c r="G1475" s="17" t="e">
        <f t="shared" si="22"/>
        <v>#VALUE!</v>
      </c>
      <c r="H1475" s="141">
        <v>2039</v>
      </c>
      <c r="I1475" s="141">
        <v>0</v>
      </c>
      <c r="J1475" s="149">
        <v>20</v>
      </c>
      <c r="K1475" s="150">
        <v>120</v>
      </c>
    </row>
    <row r="1476" spans="1:11" ht="30" customHeight="1">
      <c r="A1476" s="30">
        <v>77548</v>
      </c>
      <c r="B1476" s="16" t="s">
        <v>406</v>
      </c>
      <c r="C1476" s="15" t="s">
        <v>4251</v>
      </c>
      <c r="D1476" s="15" t="s">
        <v>438</v>
      </c>
      <c r="E1476" s="15">
        <v>0.21</v>
      </c>
      <c r="F1476" s="131">
        <v>3942.2245992065455</v>
      </c>
      <c r="G1476" s="17" t="e">
        <f t="shared" si="22"/>
        <v>#VALUE!</v>
      </c>
      <c r="H1476" s="141">
        <v>848</v>
      </c>
      <c r="I1476" s="141">
        <v>0</v>
      </c>
      <c r="J1476" s="149">
        <v>10</v>
      </c>
      <c r="K1476" s="150">
        <v>80</v>
      </c>
    </row>
    <row r="1477" spans="1:11" ht="30" customHeight="1">
      <c r="A1477" s="30">
        <v>77550</v>
      </c>
      <c r="B1477" s="16" t="s">
        <v>406</v>
      </c>
      <c r="C1477" s="15" t="s">
        <v>4251</v>
      </c>
      <c r="D1477" s="15" t="s">
        <v>433</v>
      </c>
      <c r="E1477" s="15">
        <v>0.21</v>
      </c>
      <c r="F1477" s="131">
        <v>6073.6410000000005</v>
      </c>
      <c r="G1477" s="17" t="e">
        <f t="shared" si="22"/>
        <v>#VALUE!</v>
      </c>
      <c r="H1477" s="141">
        <v>368</v>
      </c>
      <c r="I1477" s="141">
        <v>0</v>
      </c>
      <c r="J1477" s="149">
        <v>10</v>
      </c>
      <c r="K1477" s="150">
        <v>80</v>
      </c>
    </row>
    <row r="1478" spans="1:11" ht="30" customHeight="1">
      <c r="A1478" s="30">
        <v>77552</v>
      </c>
      <c r="B1478" s="16" t="s">
        <v>406</v>
      </c>
      <c r="C1478" s="15" t="s">
        <v>4252</v>
      </c>
      <c r="D1478" s="15" t="s">
        <v>555</v>
      </c>
      <c r="E1478" s="15">
        <v>0.21</v>
      </c>
      <c r="F1478" s="131">
        <v>16105.502200000001</v>
      </c>
      <c r="G1478" s="17" t="e">
        <f t="shared" si="22"/>
        <v>#VALUE!</v>
      </c>
      <c r="H1478" s="141">
        <v>431</v>
      </c>
      <c r="I1478" s="141">
        <v>0</v>
      </c>
      <c r="J1478" s="149">
        <v>6</v>
      </c>
      <c r="K1478" s="150">
        <v>24</v>
      </c>
    </row>
    <row r="1479" spans="1:11" ht="30" customHeight="1">
      <c r="A1479" s="31">
        <v>77553</v>
      </c>
      <c r="B1479" s="16" t="s">
        <v>406</v>
      </c>
      <c r="C1479" s="15" t="s">
        <v>3591</v>
      </c>
      <c r="D1479" s="15" t="s">
        <v>3592</v>
      </c>
      <c r="E1479" s="15">
        <v>0.21</v>
      </c>
      <c r="F1479" s="131">
        <v>16863.911</v>
      </c>
      <c r="G1479" s="17" t="e">
        <f t="shared" si="22"/>
        <v>#VALUE!</v>
      </c>
      <c r="H1479" s="141">
        <v>78</v>
      </c>
      <c r="I1479" s="141">
        <v>0</v>
      </c>
      <c r="J1479" s="149" t="e">
        <v>#N/A</v>
      </c>
      <c r="K1479" s="150" t="e">
        <v>#N/A</v>
      </c>
    </row>
    <row r="1480" spans="1:11" ht="30" customHeight="1">
      <c r="A1480" s="31">
        <v>77554</v>
      </c>
      <c r="B1480" s="16" t="s">
        <v>406</v>
      </c>
      <c r="C1480" s="15" t="s">
        <v>4253</v>
      </c>
      <c r="D1480" s="15" t="s">
        <v>2757</v>
      </c>
      <c r="E1480" s="15">
        <v>0.21</v>
      </c>
      <c r="F1480" s="131">
        <v>31141.27184492227</v>
      </c>
      <c r="G1480" s="17" t="e">
        <f t="shared" si="22"/>
        <v>#VALUE!</v>
      </c>
      <c r="H1480" s="141">
        <v>163</v>
      </c>
      <c r="I1480" s="141">
        <v>0</v>
      </c>
      <c r="J1480" s="149">
        <v>3</v>
      </c>
      <c r="K1480" s="150">
        <v>18</v>
      </c>
    </row>
    <row r="1481" spans="1:11" ht="30" customHeight="1">
      <c r="A1481" s="31">
        <v>77260</v>
      </c>
      <c r="B1481" s="16" t="s">
        <v>406</v>
      </c>
      <c r="C1481" s="15" t="s">
        <v>3253</v>
      </c>
      <c r="D1481" s="15" t="s">
        <v>2754</v>
      </c>
      <c r="E1481" s="15">
        <v>0.21</v>
      </c>
      <c r="F1481" s="131">
        <v>8358.3828284789342</v>
      </c>
      <c r="G1481" s="17" t="e">
        <f t="shared" si="22"/>
        <v>#VALUE!</v>
      </c>
      <c r="H1481" s="141">
        <v>404</v>
      </c>
      <c r="I1481" s="141">
        <v>0</v>
      </c>
      <c r="J1481" s="149">
        <v>25</v>
      </c>
      <c r="K1481" s="150">
        <v>100</v>
      </c>
    </row>
    <row r="1482" spans="1:11" ht="30" customHeight="1">
      <c r="A1482" s="31">
        <v>77261</v>
      </c>
      <c r="B1482" s="16" t="s">
        <v>406</v>
      </c>
      <c r="C1482" s="15" t="s">
        <v>3253</v>
      </c>
      <c r="D1482" s="15" t="s">
        <v>435</v>
      </c>
      <c r="E1482" s="15">
        <v>0.21</v>
      </c>
      <c r="F1482" s="131">
        <v>9098.9990284707383</v>
      </c>
      <c r="G1482" s="17" t="e">
        <f t="shared" si="22"/>
        <v>#VALUE!</v>
      </c>
      <c r="H1482" s="141">
        <v>700</v>
      </c>
      <c r="I1482" s="141">
        <v>0</v>
      </c>
      <c r="J1482" s="149">
        <v>25</v>
      </c>
      <c r="K1482" s="150">
        <v>100</v>
      </c>
    </row>
    <row r="1483" spans="1:11" ht="30" customHeight="1">
      <c r="A1483" s="31">
        <v>77262</v>
      </c>
      <c r="B1483" s="16" t="s">
        <v>406</v>
      </c>
      <c r="C1483" s="15" t="s">
        <v>3253</v>
      </c>
      <c r="D1483" s="15" t="s">
        <v>436</v>
      </c>
      <c r="E1483" s="15">
        <v>0.21</v>
      </c>
      <c r="F1483" s="131">
        <v>12378.870771291582</v>
      </c>
      <c r="G1483" s="17" t="e">
        <f t="shared" si="22"/>
        <v>#VALUE!</v>
      </c>
      <c r="H1483" s="141">
        <v>293</v>
      </c>
      <c r="I1483" s="141">
        <v>0</v>
      </c>
      <c r="J1483" s="149">
        <v>15</v>
      </c>
      <c r="K1483" s="150">
        <v>60</v>
      </c>
    </row>
    <row r="1484" spans="1:11" ht="30" customHeight="1">
      <c r="A1484" s="31">
        <v>77211</v>
      </c>
      <c r="B1484" s="16" t="s">
        <v>406</v>
      </c>
      <c r="C1484" s="15" t="s">
        <v>3254</v>
      </c>
      <c r="D1484" s="15" t="s">
        <v>2758</v>
      </c>
      <c r="E1484" s="15">
        <v>0.21</v>
      </c>
      <c r="F1484" s="131">
        <v>3583.594510351631</v>
      </c>
      <c r="G1484" s="17" t="e">
        <f t="shared" ref="G1484:G1547" si="23">(F1484*$G$6)</f>
        <v>#VALUE!</v>
      </c>
      <c r="H1484" s="141">
        <v>1020</v>
      </c>
      <c r="I1484" s="141">
        <v>0</v>
      </c>
      <c r="J1484" s="149">
        <v>20</v>
      </c>
      <c r="K1484" s="150">
        <v>160</v>
      </c>
    </row>
    <row r="1485" spans="1:11" ht="30" customHeight="1">
      <c r="A1485" s="31">
        <v>77212</v>
      </c>
      <c r="B1485" s="16" t="s">
        <v>406</v>
      </c>
      <c r="C1485" s="15" t="s">
        <v>3254</v>
      </c>
      <c r="D1485" s="15" t="s">
        <v>2759</v>
      </c>
      <c r="E1485" s="15">
        <v>0.21</v>
      </c>
      <c r="F1485" s="131">
        <v>3491.7074716246671</v>
      </c>
      <c r="G1485" s="17" t="e">
        <f t="shared" si="23"/>
        <v>#VALUE!</v>
      </c>
      <c r="H1485" s="141">
        <v>1040</v>
      </c>
      <c r="I1485" s="141">
        <v>160</v>
      </c>
      <c r="J1485" s="149">
        <v>20</v>
      </c>
      <c r="K1485" s="150">
        <v>160</v>
      </c>
    </row>
    <row r="1486" spans="1:11" ht="30" customHeight="1">
      <c r="A1486" s="31">
        <v>77213</v>
      </c>
      <c r="B1486" s="16" t="s">
        <v>406</v>
      </c>
      <c r="C1486" s="15" t="s">
        <v>3254</v>
      </c>
      <c r="D1486" s="15" t="s">
        <v>2760</v>
      </c>
      <c r="E1486" s="15">
        <v>0.21</v>
      </c>
      <c r="F1486" s="131">
        <v>3399.8204328977013</v>
      </c>
      <c r="G1486" s="17" t="e">
        <f t="shared" si="23"/>
        <v>#VALUE!</v>
      </c>
      <c r="H1486" s="141">
        <v>1740</v>
      </c>
      <c r="I1486" s="141">
        <v>160</v>
      </c>
      <c r="J1486" s="149">
        <v>20</v>
      </c>
      <c r="K1486" s="150">
        <v>160</v>
      </c>
    </row>
    <row r="1487" spans="1:11" ht="30" customHeight="1">
      <c r="A1487" s="31">
        <v>77215</v>
      </c>
      <c r="B1487" s="16" t="s">
        <v>406</v>
      </c>
      <c r="C1487" s="15" t="s">
        <v>3254</v>
      </c>
      <c r="D1487" s="15" t="s">
        <v>2761</v>
      </c>
      <c r="E1487" s="15">
        <v>0.21</v>
      </c>
      <c r="F1487" s="131">
        <v>3399.8204328977013</v>
      </c>
      <c r="G1487" s="17" t="e">
        <f t="shared" si="23"/>
        <v>#VALUE!</v>
      </c>
      <c r="H1487" s="141">
        <v>1140</v>
      </c>
      <c r="I1487" s="141">
        <v>0</v>
      </c>
      <c r="J1487" s="149">
        <v>20</v>
      </c>
      <c r="K1487" s="150">
        <v>160</v>
      </c>
    </row>
    <row r="1488" spans="1:11" ht="30" customHeight="1">
      <c r="A1488" s="30">
        <v>77311</v>
      </c>
      <c r="B1488" s="16" t="s">
        <v>406</v>
      </c>
      <c r="C1488" s="15" t="s">
        <v>1877</v>
      </c>
      <c r="D1488" s="15" t="s">
        <v>429</v>
      </c>
      <c r="E1488" s="15">
        <v>0.21</v>
      </c>
      <c r="F1488" s="131">
        <v>5276.3656158865606</v>
      </c>
      <c r="G1488" s="17" t="e">
        <f t="shared" si="23"/>
        <v>#VALUE!</v>
      </c>
      <c r="H1488" s="141">
        <v>3609</v>
      </c>
      <c r="I1488" s="141">
        <v>0</v>
      </c>
      <c r="J1488" s="149">
        <v>20</v>
      </c>
      <c r="K1488" s="150">
        <v>160</v>
      </c>
    </row>
    <row r="1489" spans="1:11" ht="30" customHeight="1">
      <c r="A1489" s="30">
        <v>77312</v>
      </c>
      <c r="B1489" s="16" t="s">
        <v>406</v>
      </c>
      <c r="C1489" s="15" t="s">
        <v>1877</v>
      </c>
      <c r="D1489" s="15" t="s">
        <v>430</v>
      </c>
      <c r="E1489" s="15">
        <v>0.21</v>
      </c>
      <c r="F1489" s="131">
        <v>4796.6960144423283</v>
      </c>
      <c r="G1489" s="17" t="e">
        <f t="shared" si="23"/>
        <v>#VALUE!</v>
      </c>
      <c r="H1489" s="141">
        <v>4120</v>
      </c>
      <c r="I1489" s="141">
        <v>0</v>
      </c>
      <c r="J1489" s="149">
        <v>20</v>
      </c>
      <c r="K1489" s="150">
        <v>160</v>
      </c>
    </row>
    <row r="1490" spans="1:11" ht="30" customHeight="1">
      <c r="A1490" s="30">
        <v>77313</v>
      </c>
      <c r="B1490" s="16" t="s">
        <v>406</v>
      </c>
      <c r="C1490" s="15" t="s">
        <v>1877</v>
      </c>
      <c r="D1490" s="15" t="s">
        <v>431</v>
      </c>
      <c r="E1490" s="15">
        <v>0.21</v>
      </c>
      <c r="F1490" s="131">
        <v>4476.9162801461734</v>
      </c>
      <c r="G1490" s="17" t="e">
        <f t="shared" si="23"/>
        <v>#VALUE!</v>
      </c>
      <c r="H1490" s="141">
        <v>3720</v>
      </c>
      <c r="I1490" s="141">
        <v>0</v>
      </c>
      <c r="J1490" s="149">
        <v>20</v>
      </c>
      <c r="K1490" s="150">
        <v>160</v>
      </c>
    </row>
    <row r="1491" spans="1:11" ht="30" customHeight="1">
      <c r="A1491" s="30">
        <v>77315</v>
      </c>
      <c r="B1491" s="16" t="s">
        <v>406</v>
      </c>
      <c r="C1491" s="15" t="s">
        <v>1877</v>
      </c>
      <c r="D1491" s="15" t="s">
        <v>432</v>
      </c>
      <c r="E1491" s="15">
        <v>0.21</v>
      </c>
      <c r="F1491" s="131">
        <v>4396.9713465721316</v>
      </c>
      <c r="G1491" s="17" t="e">
        <f t="shared" si="23"/>
        <v>#VALUE!</v>
      </c>
      <c r="H1491" s="141">
        <v>1571</v>
      </c>
      <c r="I1491" s="141">
        <v>0</v>
      </c>
      <c r="J1491" s="149">
        <v>20</v>
      </c>
      <c r="K1491" s="150">
        <v>160</v>
      </c>
    </row>
    <row r="1492" spans="1:11" ht="30" customHeight="1">
      <c r="A1492" s="31">
        <v>77231</v>
      </c>
      <c r="B1492" s="16" t="s">
        <v>406</v>
      </c>
      <c r="C1492" s="15" t="s">
        <v>2995</v>
      </c>
      <c r="D1492" s="15" t="s">
        <v>2996</v>
      </c>
      <c r="E1492" s="15">
        <v>0.21</v>
      </c>
      <c r="F1492" s="131">
        <v>3133.3480205895039</v>
      </c>
      <c r="G1492" s="17" t="e">
        <f t="shared" si="23"/>
        <v>#VALUE!</v>
      </c>
      <c r="H1492" s="141">
        <v>780</v>
      </c>
      <c r="I1492" s="141">
        <v>0</v>
      </c>
      <c r="J1492" s="149">
        <v>10</v>
      </c>
      <c r="K1492" s="150">
        <v>200</v>
      </c>
    </row>
    <row r="1493" spans="1:11" ht="30" customHeight="1">
      <c r="A1493" s="31">
        <v>77232</v>
      </c>
      <c r="B1493" s="16" t="s">
        <v>406</v>
      </c>
      <c r="C1493" s="15" t="s">
        <v>2995</v>
      </c>
      <c r="D1493" s="15" t="s">
        <v>2997</v>
      </c>
      <c r="E1493" s="15">
        <v>0.21</v>
      </c>
      <c r="F1493" s="131">
        <v>3133.3480205895039</v>
      </c>
      <c r="G1493" s="17" t="e">
        <f t="shared" si="23"/>
        <v>#VALUE!</v>
      </c>
      <c r="H1493" s="141">
        <v>645</v>
      </c>
      <c r="I1493" s="141">
        <v>0</v>
      </c>
      <c r="J1493" s="149">
        <v>10</v>
      </c>
      <c r="K1493" s="150">
        <v>200</v>
      </c>
    </row>
    <row r="1494" spans="1:11" ht="30" customHeight="1">
      <c r="A1494" s="31">
        <v>77233</v>
      </c>
      <c r="B1494" s="16" t="s">
        <v>406</v>
      </c>
      <c r="C1494" s="15" t="s">
        <v>2995</v>
      </c>
      <c r="D1494" s="15" t="s">
        <v>2998</v>
      </c>
      <c r="E1494" s="15">
        <v>0.21</v>
      </c>
      <c r="F1494" s="131">
        <v>3022.1647037298758</v>
      </c>
      <c r="G1494" s="17" t="e">
        <f t="shared" si="23"/>
        <v>#VALUE!</v>
      </c>
      <c r="H1494" s="141">
        <v>420</v>
      </c>
      <c r="I1494" s="141">
        <v>0</v>
      </c>
      <c r="J1494" s="149">
        <v>10</v>
      </c>
      <c r="K1494" s="150">
        <v>200</v>
      </c>
    </row>
    <row r="1495" spans="1:11" ht="30" customHeight="1">
      <c r="A1495" s="31">
        <v>77234</v>
      </c>
      <c r="B1495" s="16" t="s">
        <v>406</v>
      </c>
      <c r="C1495" s="15" t="s">
        <v>2995</v>
      </c>
      <c r="D1495" s="15" t="s">
        <v>2999</v>
      </c>
      <c r="E1495" s="15">
        <v>0.21</v>
      </c>
      <c r="F1495" s="131">
        <v>3032.2722779898422</v>
      </c>
      <c r="G1495" s="17" t="e">
        <f t="shared" si="23"/>
        <v>#VALUE!</v>
      </c>
      <c r="H1495" s="141">
        <v>515</v>
      </c>
      <c r="I1495" s="141">
        <v>0</v>
      </c>
      <c r="J1495" s="149">
        <v>10</v>
      </c>
      <c r="K1495" s="150">
        <v>200</v>
      </c>
    </row>
    <row r="1496" spans="1:11" ht="30" customHeight="1">
      <c r="A1496" s="31">
        <v>77235</v>
      </c>
      <c r="B1496" s="16" t="s">
        <v>406</v>
      </c>
      <c r="C1496" s="15" t="s">
        <v>2995</v>
      </c>
      <c r="D1496" s="15" t="s">
        <v>3000</v>
      </c>
      <c r="E1496" s="15">
        <v>0.21</v>
      </c>
      <c r="F1496" s="131">
        <v>3022.1647037298758</v>
      </c>
      <c r="G1496" s="17" t="e">
        <f t="shared" si="23"/>
        <v>#VALUE!</v>
      </c>
      <c r="H1496" s="141">
        <v>753</v>
      </c>
      <c r="I1496" s="141">
        <v>0</v>
      </c>
      <c r="J1496" s="149">
        <v>10</v>
      </c>
      <c r="K1496" s="150">
        <v>200</v>
      </c>
    </row>
    <row r="1497" spans="1:11" ht="30" customHeight="1">
      <c r="A1497" s="31">
        <v>77236</v>
      </c>
      <c r="B1497" s="16" t="s">
        <v>406</v>
      </c>
      <c r="C1497" s="15" t="s">
        <v>2995</v>
      </c>
      <c r="D1497" s="15" t="s">
        <v>3001</v>
      </c>
      <c r="E1497" s="15">
        <v>0.21</v>
      </c>
      <c r="F1497" s="131">
        <v>3032.2722779898422</v>
      </c>
      <c r="G1497" s="17" t="e">
        <f t="shared" si="23"/>
        <v>#VALUE!</v>
      </c>
      <c r="H1497" s="141">
        <v>795</v>
      </c>
      <c r="I1497" s="141">
        <v>0</v>
      </c>
      <c r="J1497" s="149">
        <v>10</v>
      </c>
      <c r="K1497" s="150">
        <v>200</v>
      </c>
    </row>
    <row r="1498" spans="1:11" ht="30" customHeight="1">
      <c r="A1498" s="31">
        <v>77237</v>
      </c>
      <c r="B1498" s="16" t="s">
        <v>406</v>
      </c>
      <c r="C1498" s="15" t="s">
        <v>2995</v>
      </c>
      <c r="D1498" s="15" t="s">
        <v>3002</v>
      </c>
      <c r="E1498" s="15">
        <v>0.21</v>
      </c>
      <c r="F1498" s="131">
        <v>3022.1647037298758</v>
      </c>
      <c r="G1498" s="17" t="e">
        <f t="shared" si="23"/>
        <v>#VALUE!</v>
      </c>
      <c r="H1498" s="141">
        <v>764</v>
      </c>
      <c r="I1498" s="141">
        <v>0</v>
      </c>
      <c r="J1498" s="149">
        <v>10</v>
      </c>
      <c r="K1498" s="150">
        <v>200</v>
      </c>
    </row>
    <row r="1499" spans="1:11" ht="30" customHeight="1">
      <c r="A1499" s="31">
        <v>77279</v>
      </c>
      <c r="B1499" s="16" t="s">
        <v>406</v>
      </c>
      <c r="C1499" s="15" t="s">
        <v>2995</v>
      </c>
      <c r="D1499" s="15" t="s">
        <v>4254</v>
      </c>
      <c r="E1499" s="15">
        <v>0.21</v>
      </c>
      <c r="F1499" s="131">
        <v>9905.4227747668192</v>
      </c>
      <c r="G1499" s="17" t="e">
        <f t="shared" si="23"/>
        <v>#VALUE!</v>
      </c>
      <c r="H1499" s="141">
        <v>0</v>
      </c>
      <c r="I1499" s="141">
        <v>0</v>
      </c>
      <c r="J1499" s="149">
        <v>5</v>
      </c>
      <c r="K1499" s="150">
        <v>60</v>
      </c>
    </row>
    <row r="1500" spans="1:11" ht="30" customHeight="1">
      <c r="A1500" s="31">
        <v>77280</v>
      </c>
      <c r="B1500" s="16" t="s">
        <v>406</v>
      </c>
      <c r="C1500" s="15" t="s">
        <v>2995</v>
      </c>
      <c r="D1500" s="15" t="s">
        <v>3060</v>
      </c>
      <c r="E1500" s="15">
        <v>0.21</v>
      </c>
      <c r="F1500" s="131">
        <v>10174.791905861302</v>
      </c>
      <c r="G1500" s="17" t="e">
        <f t="shared" si="23"/>
        <v>#VALUE!</v>
      </c>
      <c r="H1500" s="141">
        <v>1</v>
      </c>
      <c r="I1500" s="141">
        <v>0</v>
      </c>
      <c r="J1500" s="149">
        <v>5</v>
      </c>
      <c r="K1500" s="150">
        <v>60</v>
      </c>
    </row>
    <row r="1501" spans="1:11" ht="30" customHeight="1">
      <c r="A1501" s="31">
        <v>77281</v>
      </c>
      <c r="B1501" s="16" t="s">
        <v>406</v>
      </c>
      <c r="C1501" s="15" t="s">
        <v>2995</v>
      </c>
      <c r="D1501" s="15" t="s">
        <v>3061</v>
      </c>
      <c r="E1501" s="15">
        <v>0.21</v>
      </c>
      <c r="F1501" s="131">
        <v>9770.8570340620845</v>
      </c>
      <c r="G1501" s="17" t="e">
        <f t="shared" si="23"/>
        <v>#VALUE!</v>
      </c>
      <c r="H1501" s="141">
        <v>3</v>
      </c>
      <c r="I1501" s="141">
        <v>0</v>
      </c>
      <c r="J1501" s="149">
        <v>5</v>
      </c>
      <c r="K1501" s="150">
        <v>60</v>
      </c>
    </row>
    <row r="1502" spans="1:11" ht="30" customHeight="1">
      <c r="A1502" s="31">
        <v>77282</v>
      </c>
      <c r="B1502" s="16" t="s">
        <v>406</v>
      </c>
      <c r="C1502" s="15" t="s">
        <v>2995</v>
      </c>
      <c r="D1502" s="15" t="s">
        <v>4255</v>
      </c>
      <c r="E1502" s="15">
        <v>0.21</v>
      </c>
      <c r="F1502" s="131">
        <v>9026.0638141497657</v>
      </c>
      <c r="G1502" s="17" t="e">
        <f t="shared" si="23"/>
        <v>#VALUE!</v>
      </c>
      <c r="H1502" s="141">
        <v>208</v>
      </c>
      <c r="I1502" s="141">
        <v>0</v>
      </c>
      <c r="J1502" s="149">
        <v>5</v>
      </c>
      <c r="K1502" s="150">
        <v>60</v>
      </c>
    </row>
    <row r="1503" spans="1:11" ht="30" customHeight="1">
      <c r="A1503" s="31">
        <v>77283</v>
      </c>
      <c r="B1503" s="16" t="s">
        <v>406</v>
      </c>
      <c r="C1503" s="15" t="s">
        <v>2995</v>
      </c>
      <c r="D1503" s="15" t="s">
        <v>4256</v>
      </c>
      <c r="E1503" s="15">
        <v>0.21</v>
      </c>
      <c r="F1503" s="131">
        <v>8995.7410913698641</v>
      </c>
      <c r="G1503" s="17" t="e">
        <f t="shared" si="23"/>
        <v>#VALUE!</v>
      </c>
      <c r="H1503" s="141">
        <v>144</v>
      </c>
      <c r="I1503" s="141">
        <v>0</v>
      </c>
      <c r="J1503" s="149">
        <v>5</v>
      </c>
      <c r="K1503" s="150">
        <v>60</v>
      </c>
    </row>
    <row r="1504" spans="1:11" ht="30" customHeight="1">
      <c r="A1504" s="31">
        <v>77285</v>
      </c>
      <c r="B1504" s="16" t="s">
        <v>406</v>
      </c>
      <c r="C1504" s="15" t="s">
        <v>2995</v>
      </c>
      <c r="D1504" s="15" t="s">
        <v>4257</v>
      </c>
      <c r="E1504" s="15">
        <v>0.21</v>
      </c>
      <c r="F1504" s="131">
        <v>14332.540300631985</v>
      </c>
      <c r="G1504" s="17" t="e">
        <f t="shared" si="23"/>
        <v>#VALUE!</v>
      </c>
      <c r="H1504" s="141">
        <v>252</v>
      </c>
      <c r="I1504" s="141">
        <v>0</v>
      </c>
      <c r="J1504" s="149">
        <v>5</v>
      </c>
      <c r="K1504" s="150">
        <v>60</v>
      </c>
    </row>
    <row r="1505" spans="1:11" ht="30" customHeight="1">
      <c r="A1505" s="31">
        <v>77286</v>
      </c>
      <c r="B1505" s="16" t="s">
        <v>406</v>
      </c>
      <c r="C1505" s="15" t="s">
        <v>2995</v>
      </c>
      <c r="D1505" s="15" t="s">
        <v>4258</v>
      </c>
      <c r="E1505" s="15">
        <v>0.21</v>
      </c>
      <c r="F1505" s="131">
        <v>14352.755449151919</v>
      </c>
      <c r="G1505" s="17" t="e">
        <f t="shared" si="23"/>
        <v>#VALUE!</v>
      </c>
      <c r="H1505" s="141">
        <v>135</v>
      </c>
      <c r="I1505" s="141">
        <v>0</v>
      </c>
      <c r="J1505" s="149">
        <v>5</v>
      </c>
      <c r="K1505" s="150">
        <v>60</v>
      </c>
    </row>
    <row r="1506" spans="1:11" ht="30" customHeight="1">
      <c r="A1506" s="31">
        <v>77287</v>
      </c>
      <c r="B1506" s="16" t="s">
        <v>406</v>
      </c>
      <c r="C1506" s="15" t="s">
        <v>2995</v>
      </c>
      <c r="D1506" s="15" t="s">
        <v>4259</v>
      </c>
      <c r="E1506" s="15">
        <v>0.21</v>
      </c>
      <c r="F1506" s="131">
        <v>12553.607230877948</v>
      </c>
      <c r="G1506" s="17" t="e">
        <f t="shared" si="23"/>
        <v>#VALUE!</v>
      </c>
      <c r="H1506" s="141">
        <v>204</v>
      </c>
      <c r="I1506" s="141">
        <v>0</v>
      </c>
      <c r="J1506" s="149">
        <v>5</v>
      </c>
      <c r="K1506" s="150">
        <v>60</v>
      </c>
    </row>
    <row r="1507" spans="1:11" ht="30" customHeight="1">
      <c r="A1507" s="31">
        <v>77288</v>
      </c>
      <c r="B1507" s="16" t="s">
        <v>406</v>
      </c>
      <c r="C1507" s="15" t="s">
        <v>2995</v>
      </c>
      <c r="D1507" s="15" t="s">
        <v>4260</v>
      </c>
      <c r="E1507" s="15">
        <v>0.21</v>
      </c>
      <c r="F1507" s="131">
        <v>12533.392082358016</v>
      </c>
      <c r="G1507" s="17" t="e">
        <f t="shared" si="23"/>
        <v>#VALUE!</v>
      </c>
      <c r="H1507" s="141">
        <v>93</v>
      </c>
      <c r="I1507" s="141">
        <v>0</v>
      </c>
      <c r="J1507" s="149">
        <v>5</v>
      </c>
      <c r="K1507" s="150">
        <v>60</v>
      </c>
    </row>
    <row r="1508" spans="1:11" ht="30" customHeight="1">
      <c r="A1508" s="31">
        <v>77289</v>
      </c>
      <c r="B1508" s="16" t="s">
        <v>406</v>
      </c>
      <c r="C1508" s="15" t="s">
        <v>2995</v>
      </c>
      <c r="D1508" s="15" t="s">
        <v>4261</v>
      </c>
      <c r="E1508" s="15">
        <v>0.21</v>
      </c>
      <c r="F1508" s="131">
        <v>12553.607230877948</v>
      </c>
      <c r="G1508" s="17" t="e">
        <f t="shared" si="23"/>
        <v>#VALUE!</v>
      </c>
      <c r="H1508" s="141">
        <v>225</v>
      </c>
      <c r="I1508" s="141">
        <v>0</v>
      </c>
      <c r="J1508" s="149">
        <v>5</v>
      </c>
      <c r="K1508" s="150">
        <v>60</v>
      </c>
    </row>
    <row r="1509" spans="1:11" ht="30" customHeight="1">
      <c r="A1509" s="31">
        <v>75680</v>
      </c>
      <c r="B1509" s="16" t="s">
        <v>406</v>
      </c>
      <c r="C1509" s="15" t="s">
        <v>3255</v>
      </c>
      <c r="D1509" s="15" t="s">
        <v>2762</v>
      </c>
      <c r="E1509" s="15">
        <v>0.21</v>
      </c>
      <c r="F1509" s="131">
        <v>78650.128289627319</v>
      </c>
      <c r="G1509" s="17" t="e">
        <f t="shared" si="23"/>
        <v>#VALUE!</v>
      </c>
      <c r="H1509" s="141">
        <v>50</v>
      </c>
      <c r="I1509" s="141">
        <v>0</v>
      </c>
      <c r="J1509" s="149">
        <v>0</v>
      </c>
      <c r="K1509" s="150">
        <v>20</v>
      </c>
    </row>
    <row r="1510" spans="1:11" ht="30" customHeight="1">
      <c r="A1510" s="31">
        <v>75681</v>
      </c>
      <c r="B1510" s="16" t="s">
        <v>406</v>
      </c>
      <c r="C1510" s="15" t="s">
        <v>3256</v>
      </c>
      <c r="D1510" s="15" t="s">
        <v>2763</v>
      </c>
      <c r="E1510" s="15">
        <v>0.21</v>
      </c>
      <c r="F1510" s="131">
        <v>88194.966746909675</v>
      </c>
      <c r="G1510" s="17" t="e">
        <f t="shared" si="23"/>
        <v>#VALUE!</v>
      </c>
      <c r="H1510" s="141">
        <v>59</v>
      </c>
      <c r="I1510" s="141">
        <v>0</v>
      </c>
      <c r="J1510" s="149">
        <v>0</v>
      </c>
      <c r="K1510" s="150">
        <v>20</v>
      </c>
    </row>
    <row r="1511" spans="1:11" ht="30" customHeight="1">
      <c r="A1511" s="30">
        <v>75714</v>
      </c>
      <c r="B1511" s="16" t="s">
        <v>406</v>
      </c>
      <c r="C1511" s="15" t="s">
        <v>1876</v>
      </c>
      <c r="D1511" s="15" t="s">
        <v>480</v>
      </c>
      <c r="E1511" s="15">
        <v>0.21</v>
      </c>
      <c r="F1511" s="131">
        <v>6106.3526000000002</v>
      </c>
      <c r="G1511" s="17" t="e">
        <f t="shared" si="23"/>
        <v>#VALUE!</v>
      </c>
      <c r="H1511" s="141">
        <v>70</v>
      </c>
      <c r="I1511" s="141">
        <v>0</v>
      </c>
      <c r="J1511" s="149">
        <v>25</v>
      </c>
      <c r="K1511" s="150">
        <v>50</v>
      </c>
    </row>
    <row r="1512" spans="1:11" ht="30" customHeight="1">
      <c r="A1512" s="30">
        <v>75716</v>
      </c>
      <c r="B1512" s="16" t="s">
        <v>406</v>
      </c>
      <c r="C1512" s="15" t="s">
        <v>1876</v>
      </c>
      <c r="D1512" s="15" t="s">
        <v>481</v>
      </c>
      <c r="E1512" s="15">
        <v>0.21</v>
      </c>
      <c r="F1512" s="131">
        <v>6230.6465362204308</v>
      </c>
      <c r="G1512" s="17" t="e">
        <f t="shared" si="23"/>
        <v>#VALUE!</v>
      </c>
      <c r="H1512" s="141">
        <v>92</v>
      </c>
      <c r="I1512" s="141">
        <v>0</v>
      </c>
      <c r="J1512" s="149">
        <v>25</v>
      </c>
      <c r="K1512" s="150">
        <v>50</v>
      </c>
    </row>
    <row r="1513" spans="1:11" ht="30" customHeight="1">
      <c r="A1513" s="30">
        <v>75717</v>
      </c>
      <c r="B1513" s="16" t="s">
        <v>406</v>
      </c>
      <c r="C1513" s="15" t="s">
        <v>1876</v>
      </c>
      <c r="D1513" s="15" t="s">
        <v>482</v>
      </c>
      <c r="E1513" s="15">
        <v>0.21</v>
      </c>
      <c r="F1513" s="131">
        <v>6836.9363999999996</v>
      </c>
      <c r="G1513" s="17" t="e">
        <f t="shared" si="23"/>
        <v>#VALUE!</v>
      </c>
      <c r="H1513" s="141">
        <v>60</v>
      </c>
      <c r="I1513" s="141">
        <v>0</v>
      </c>
      <c r="J1513" s="149">
        <v>25</v>
      </c>
      <c r="K1513" s="150">
        <v>50</v>
      </c>
    </row>
    <row r="1514" spans="1:11" ht="30" customHeight="1">
      <c r="A1514" s="30">
        <v>75719</v>
      </c>
      <c r="B1514" s="16" t="s">
        <v>406</v>
      </c>
      <c r="C1514" s="15" t="s">
        <v>1876</v>
      </c>
      <c r="D1514" s="15" t="s">
        <v>483</v>
      </c>
      <c r="E1514" s="15">
        <v>0.21</v>
      </c>
      <c r="F1514" s="131">
        <v>7552.2988317823347</v>
      </c>
      <c r="G1514" s="17" t="e">
        <f t="shared" si="23"/>
        <v>#VALUE!</v>
      </c>
      <c r="H1514" s="141">
        <v>98</v>
      </c>
      <c r="I1514" s="141">
        <v>0</v>
      </c>
      <c r="J1514" s="149">
        <v>25</v>
      </c>
      <c r="K1514" s="150">
        <v>50</v>
      </c>
    </row>
    <row r="1515" spans="1:11" ht="30" customHeight="1">
      <c r="A1515" s="30">
        <v>75720</v>
      </c>
      <c r="B1515" s="16" t="s">
        <v>406</v>
      </c>
      <c r="C1515" s="15" t="s">
        <v>1876</v>
      </c>
      <c r="D1515" s="15" t="s">
        <v>484</v>
      </c>
      <c r="E1515" s="15">
        <v>0.21</v>
      </c>
      <c r="F1515" s="131">
        <v>7835.5100379741771</v>
      </c>
      <c r="G1515" s="17" t="e">
        <f t="shared" si="23"/>
        <v>#VALUE!</v>
      </c>
      <c r="H1515" s="141">
        <v>159</v>
      </c>
      <c r="I1515" s="141">
        <v>0</v>
      </c>
      <c r="J1515" s="149">
        <v>25</v>
      </c>
      <c r="K1515" s="150">
        <v>50</v>
      </c>
    </row>
    <row r="1516" spans="1:11" ht="30" customHeight="1">
      <c r="A1516" s="30">
        <v>75721</v>
      </c>
      <c r="B1516" s="16" t="s">
        <v>406</v>
      </c>
      <c r="C1516" s="15" t="s">
        <v>1876</v>
      </c>
      <c r="D1516" s="15" t="s">
        <v>485</v>
      </c>
      <c r="E1516" s="15">
        <v>0.21</v>
      </c>
      <c r="F1516" s="131">
        <v>8213.1249795632903</v>
      </c>
      <c r="G1516" s="17" t="e">
        <f t="shared" si="23"/>
        <v>#VALUE!</v>
      </c>
      <c r="H1516" s="141">
        <v>86</v>
      </c>
      <c r="I1516" s="141">
        <v>0</v>
      </c>
      <c r="J1516" s="149">
        <v>25</v>
      </c>
      <c r="K1516" s="150">
        <v>50</v>
      </c>
    </row>
    <row r="1517" spans="1:11" ht="30" customHeight="1">
      <c r="A1517" s="30">
        <v>75722</v>
      </c>
      <c r="B1517" s="16" t="s">
        <v>406</v>
      </c>
      <c r="C1517" s="15" t="s">
        <v>1876</v>
      </c>
      <c r="D1517" s="15" t="s">
        <v>486</v>
      </c>
      <c r="E1517" s="15">
        <v>0.21</v>
      </c>
      <c r="F1517" s="131">
        <v>8590.7399211524025</v>
      </c>
      <c r="G1517" s="17" t="e">
        <f t="shared" si="23"/>
        <v>#VALUE!</v>
      </c>
      <c r="H1517" s="141">
        <v>186</v>
      </c>
      <c r="I1517" s="141">
        <v>100</v>
      </c>
      <c r="J1517" s="149">
        <v>25</v>
      </c>
      <c r="K1517" s="150">
        <v>50</v>
      </c>
    </row>
    <row r="1518" spans="1:11" ht="30" customHeight="1">
      <c r="A1518" s="30">
        <v>75724</v>
      </c>
      <c r="B1518" s="16" t="s">
        <v>406</v>
      </c>
      <c r="C1518" s="15" t="s">
        <v>1876</v>
      </c>
      <c r="D1518" s="15" t="s">
        <v>487</v>
      </c>
      <c r="E1518" s="15">
        <v>0.21</v>
      </c>
      <c r="F1518" s="131">
        <v>10358.987799999999</v>
      </c>
      <c r="G1518" s="17" t="e">
        <f t="shared" si="23"/>
        <v>#VALUE!</v>
      </c>
      <c r="H1518" s="141">
        <v>1</v>
      </c>
      <c r="I1518" s="141">
        <v>0</v>
      </c>
      <c r="J1518" s="149" t="e">
        <v>#N/A</v>
      </c>
      <c r="K1518" s="150" t="e">
        <v>#N/A</v>
      </c>
    </row>
    <row r="1519" spans="1:11" ht="30" customHeight="1">
      <c r="A1519" s="30">
        <v>75725</v>
      </c>
      <c r="B1519" s="16" t="s">
        <v>406</v>
      </c>
      <c r="C1519" s="15" t="s">
        <v>1876</v>
      </c>
      <c r="D1519" s="15" t="s">
        <v>488</v>
      </c>
      <c r="E1519" s="15">
        <v>0.21</v>
      </c>
      <c r="F1519" s="131">
        <v>9912.3922167143173</v>
      </c>
      <c r="G1519" s="17" t="e">
        <f t="shared" si="23"/>
        <v>#VALUE!</v>
      </c>
      <c r="H1519" s="141">
        <v>239</v>
      </c>
      <c r="I1519" s="141">
        <v>100</v>
      </c>
      <c r="J1519" s="149">
        <v>25</v>
      </c>
      <c r="K1519" s="150">
        <v>50</v>
      </c>
    </row>
    <row r="1520" spans="1:11" ht="30" customHeight="1">
      <c r="A1520" s="30">
        <v>75727</v>
      </c>
      <c r="B1520" s="16" t="s">
        <v>406</v>
      </c>
      <c r="C1520" s="15" t="s">
        <v>1876</v>
      </c>
      <c r="D1520" s="15" t="s">
        <v>489</v>
      </c>
      <c r="E1520" s="15">
        <v>0.21</v>
      </c>
      <c r="F1520" s="131">
        <v>10573.218364495266</v>
      </c>
      <c r="G1520" s="17" t="e">
        <f t="shared" si="23"/>
        <v>#VALUE!</v>
      </c>
      <c r="H1520" s="141">
        <v>259</v>
      </c>
      <c r="I1520" s="141">
        <v>0</v>
      </c>
      <c r="J1520" s="149">
        <v>25</v>
      </c>
      <c r="K1520" s="150">
        <v>50</v>
      </c>
    </row>
    <row r="1521" spans="1:11" ht="30" customHeight="1">
      <c r="A1521" s="30">
        <v>75729</v>
      </c>
      <c r="B1521" s="16" t="s">
        <v>406</v>
      </c>
      <c r="C1521" s="15" t="s">
        <v>1876</v>
      </c>
      <c r="D1521" s="15" t="s">
        <v>490</v>
      </c>
      <c r="E1521" s="15">
        <v>0.21</v>
      </c>
      <c r="F1521" s="131">
        <v>11328.448247673499</v>
      </c>
      <c r="G1521" s="17" t="e">
        <f t="shared" si="23"/>
        <v>#VALUE!</v>
      </c>
      <c r="H1521" s="141">
        <v>92</v>
      </c>
      <c r="I1521" s="141">
        <v>0</v>
      </c>
      <c r="J1521" s="149">
        <v>25</v>
      </c>
      <c r="K1521" s="150">
        <v>50</v>
      </c>
    </row>
    <row r="1522" spans="1:11" ht="30" customHeight="1">
      <c r="A1522" s="30">
        <v>75730</v>
      </c>
      <c r="B1522" s="16" t="s">
        <v>406</v>
      </c>
      <c r="C1522" s="15" t="s">
        <v>1876</v>
      </c>
      <c r="D1522" s="15" t="s">
        <v>491</v>
      </c>
      <c r="E1522" s="15">
        <v>0.21</v>
      </c>
      <c r="F1522" s="131">
        <v>11800.466924659902</v>
      </c>
      <c r="G1522" s="17" t="e">
        <f t="shared" si="23"/>
        <v>#VALUE!</v>
      </c>
      <c r="H1522" s="141">
        <v>225</v>
      </c>
      <c r="I1522" s="141">
        <v>50</v>
      </c>
      <c r="J1522" s="149">
        <v>25</v>
      </c>
      <c r="K1522" s="150">
        <v>50</v>
      </c>
    </row>
    <row r="1523" spans="1:11" ht="30" customHeight="1">
      <c r="A1523" s="30">
        <v>75732</v>
      </c>
      <c r="B1523" s="16" t="s">
        <v>406</v>
      </c>
      <c r="C1523" s="15" t="s">
        <v>1876</v>
      </c>
      <c r="D1523" s="15" t="s">
        <v>492</v>
      </c>
      <c r="E1523" s="15">
        <v>0.21</v>
      </c>
      <c r="F1523" s="131">
        <v>12555.696807838132</v>
      </c>
      <c r="G1523" s="17" t="e">
        <f t="shared" si="23"/>
        <v>#VALUE!</v>
      </c>
      <c r="H1523" s="141">
        <v>70</v>
      </c>
      <c r="I1523" s="141">
        <v>0</v>
      </c>
      <c r="J1523" s="149">
        <v>25</v>
      </c>
      <c r="K1523" s="150">
        <v>50</v>
      </c>
    </row>
    <row r="1524" spans="1:11" ht="30" customHeight="1">
      <c r="A1524" s="30">
        <v>75733</v>
      </c>
      <c r="B1524" s="16" t="s">
        <v>406</v>
      </c>
      <c r="C1524" s="15" t="s">
        <v>1876</v>
      </c>
      <c r="D1524" s="15" t="s">
        <v>493</v>
      </c>
      <c r="E1524" s="15">
        <v>0.21</v>
      </c>
      <c r="F1524" s="131">
        <v>14175.4648</v>
      </c>
      <c r="G1524" s="17" t="e">
        <f t="shared" si="23"/>
        <v>#VALUE!</v>
      </c>
      <c r="H1524" s="141">
        <v>24</v>
      </c>
      <c r="I1524" s="141">
        <v>0</v>
      </c>
      <c r="J1524" s="149" t="e">
        <v>#N/A</v>
      </c>
      <c r="K1524" s="150" t="e">
        <v>#N/A</v>
      </c>
    </row>
    <row r="1525" spans="1:11" ht="30" customHeight="1">
      <c r="A1525" s="30">
        <v>75735</v>
      </c>
      <c r="B1525" s="16" t="s">
        <v>406</v>
      </c>
      <c r="C1525" s="15" t="s">
        <v>1876</v>
      </c>
      <c r="D1525" s="15" t="s">
        <v>494</v>
      </c>
      <c r="E1525" s="15">
        <v>0.21</v>
      </c>
      <c r="F1525" s="131">
        <v>13405.330426413644</v>
      </c>
      <c r="G1525" s="17" t="e">
        <f t="shared" si="23"/>
        <v>#VALUE!</v>
      </c>
      <c r="H1525" s="141">
        <v>91</v>
      </c>
      <c r="I1525" s="141">
        <v>50</v>
      </c>
      <c r="J1525" s="149">
        <v>25</v>
      </c>
      <c r="K1525" s="150">
        <v>50</v>
      </c>
    </row>
    <row r="1526" spans="1:11" ht="30" customHeight="1">
      <c r="A1526" s="30">
        <v>75737</v>
      </c>
      <c r="B1526" s="16" t="s">
        <v>406</v>
      </c>
      <c r="C1526" s="15" t="s">
        <v>1876</v>
      </c>
      <c r="D1526" s="15" t="s">
        <v>495</v>
      </c>
      <c r="E1526" s="15">
        <v>0.21</v>
      </c>
      <c r="F1526" s="131">
        <v>14349.930200000001</v>
      </c>
      <c r="G1526" s="17" t="e">
        <f t="shared" si="23"/>
        <v>#VALUE!</v>
      </c>
      <c r="H1526" s="141">
        <v>222</v>
      </c>
      <c r="I1526" s="141">
        <v>0</v>
      </c>
      <c r="J1526" s="149">
        <v>25</v>
      </c>
      <c r="K1526" s="150">
        <v>50</v>
      </c>
    </row>
    <row r="1527" spans="1:11" ht="30" customHeight="1">
      <c r="A1527" s="30">
        <v>75738</v>
      </c>
      <c r="B1527" s="16" t="s">
        <v>406</v>
      </c>
      <c r="C1527" s="15" t="s">
        <v>1876</v>
      </c>
      <c r="D1527" s="15" t="s">
        <v>496</v>
      </c>
      <c r="E1527" s="15">
        <v>0.21</v>
      </c>
      <c r="F1527" s="131">
        <v>14254.964044989159</v>
      </c>
      <c r="G1527" s="17" t="e">
        <f t="shared" si="23"/>
        <v>#VALUE!</v>
      </c>
      <c r="H1527" s="141">
        <v>72</v>
      </c>
      <c r="I1527" s="141">
        <v>0</v>
      </c>
      <c r="J1527" s="149">
        <v>25</v>
      </c>
      <c r="K1527" s="150">
        <v>50</v>
      </c>
    </row>
    <row r="1528" spans="1:11" ht="30" customHeight="1">
      <c r="A1528" s="30">
        <v>75740</v>
      </c>
      <c r="B1528" s="16" t="s">
        <v>406</v>
      </c>
      <c r="C1528" s="15" t="s">
        <v>1876</v>
      </c>
      <c r="D1528" s="15" t="s">
        <v>497</v>
      </c>
      <c r="E1528" s="15">
        <v>0.21</v>
      </c>
      <c r="F1528" s="131">
        <v>15104.597663564669</v>
      </c>
      <c r="G1528" s="17" t="e">
        <f t="shared" si="23"/>
        <v>#VALUE!</v>
      </c>
      <c r="H1528" s="141">
        <v>210</v>
      </c>
      <c r="I1528" s="141">
        <v>0</v>
      </c>
      <c r="J1528" s="149">
        <v>25</v>
      </c>
      <c r="K1528" s="150">
        <v>50</v>
      </c>
    </row>
    <row r="1529" spans="1:11" ht="30" customHeight="1">
      <c r="A1529" s="30">
        <v>75741</v>
      </c>
      <c r="B1529" s="16" t="s">
        <v>406</v>
      </c>
      <c r="C1529" s="15" t="s">
        <v>1876</v>
      </c>
      <c r="D1529" s="15" t="s">
        <v>498</v>
      </c>
      <c r="E1529" s="15">
        <v>0.21</v>
      </c>
      <c r="F1529" s="131">
        <v>16683.435400000002</v>
      </c>
      <c r="G1529" s="17" t="e">
        <f t="shared" si="23"/>
        <v>#VALUE!</v>
      </c>
      <c r="H1529" s="141">
        <v>0</v>
      </c>
      <c r="I1529" s="141">
        <v>0</v>
      </c>
      <c r="J1529" s="149" t="e">
        <v>#N/A</v>
      </c>
      <c r="K1529" s="150" t="e">
        <v>#N/A</v>
      </c>
    </row>
    <row r="1530" spans="1:11" ht="30" customHeight="1">
      <c r="A1530" s="30">
        <v>75743</v>
      </c>
      <c r="B1530" s="16" t="s">
        <v>406</v>
      </c>
      <c r="C1530" s="15" t="s">
        <v>1876</v>
      </c>
      <c r="D1530" s="15" t="s">
        <v>499</v>
      </c>
      <c r="E1530" s="15">
        <v>0.21</v>
      </c>
      <c r="F1530" s="131">
        <v>16237.442488332017</v>
      </c>
      <c r="G1530" s="17" t="e">
        <f t="shared" si="23"/>
        <v>#VALUE!</v>
      </c>
      <c r="H1530" s="141">
        <v>92</v>
      </c>
      <c r="I1530" s="141">
        <v>0</v>
      </c>
      <c r="J1530" s="149">
        <v>25</v>
      </c>
      <c r="K1530" s="150">
        <v>50</v>
      </c>
    </row>
    <row r="1531" spans="1:11" ht="30" customHeight="1">
      <c r="A1531" s="30">
        <v>75744</v>
      </c>
      <c r="B1531" s="16" t="s">
        <v>406</v>
      </c>
      <c r="C1531" s="15" t="s">
        <v>1876</v>
      </c>
      <c r="D1531" s="15" t="s">
        <v>500</v>
      </c>
      <c r="E1531" s="15">
        <v>0.21</v>
      </c>
      <c r="F1531" s="131">
        <v>17991.931200000003</v>
      </c>
      <c r="G1531" s="17" t="e">
        <f t="shared" si="23"/>
        <v>#VALUE!</v>
      </c>
      <c r="H1531" s="141">
        <v>26</v>
      </c>
      <c r="I1531" s="141">
        <v>0</v>
      </c>
      <c r="J1531" s="149" t="e">
        <v>#N/A</v>
      </c>
      <c r="K1531" s="150" t="e">
        <v>#N/A</v>
      </c>
    </row>
    <row r="1532" spans="1:11" ht="30" customHeight="1">
      <c r="A1532" s="30">
        <v>75746</v>
      </c>
      <c r="B1532" s="16" t="s">
        <v>406</v>
      </c>
      <c r="C1532" s="15" t="s">
        <v>1876</v>
      </c>
      <c r="D1532" s="15" t="s">
        <v>501</v>
      </c>
      <c r="E1532" s="15">
        <v>0.21</v>
      </c>
      <c r="F1532" s="131">
        <v>17275.88357770209</v>
      </c>
      <c r="G1532" s="17" t="e">
        <f t="shared" si="23"/>
        <v>#VALUE!</v>
      </c>
      <c r="H1532" s="141">
        <v>125</v>
      </c>
      <c r="I1532" s="141">
        <v>0</v>
      </c>
      <c r="J1532" s="149">
        <v>25</v>
      </c>
      <c r="K1532" s="150">
        <v>50</v>
      </c>
    </row>
    <row r="1533" spans="1:11" ht="30" customHeight="1">
      <c r="A1533" s="30">
        <v>75748</v>
      </c>
      <c r="B1533" s="16" t="s">
        <v>406</v>
      </c>
      <c r="C1533" s="15" t="s">
        <v>1876</v>
      </c>
      <c r="D1533" s="15" t="s">
        <v>502</v>
      </c>
      <c r="E1533" s="15">
        <v>0.21</v>
      </c>
      <c r="F1533" s="131">
        <v>18199.1188</v>
      </c>
      <c r="G1533" s="17" t="e">
        <f t="shared" si="23"/>
        <v>#VALUE!</v>
      </c>
      <c r="H1533" s="141">
        <v>108</v>
      </c>
      <c r="I1533" s="141">
        <v>0</v>
      </c>
      <c r="J1533" s="149">
        <v>25</v>
      </c>
      <c r="K1533" s="150">
        <v>50</v>
      </c>
    </row>
    <row r="1534" spans="1:11" ht="30" customHeight="1">
      <c r="A1534" s="30">
        <v>75751</v>
      </c>
      <c r="B1534" s="16" t="s">
        <v>406</v>
      </c>
      <c r="C1534" s="15" t="s">
        <v>1876</v>
      </c>
      <c r="D1534" s="15" t="s">
        <v>503</v>
      </c>
      <c r="E1534" s="15">
        <v>0.21</v>
      </c>
      <c r="F1534" s="131">
        <v>19258.362021044959</v>
      </c>
      <c r="G1534" s="17" t="e">
        <f t="shared" si="23"/>
        <v>#VALUE!</v>
      </c>
      <c r="H1534" s="141">
        <v>110</v>
      </c>
      <c r="I1534" s="141">
        <v>80</v>
      </c>
      <c r="J1534" s="149">
        <v>10</v>
      </c>
      <c r="K1534" s="150">
        <v>40</v>
      </c>
    </row>
    <row r="1535" spans="1:11" ht="30" customHeight="1">
      <c r="A1535" s="30">
        <v>75752</v>
      </c>
      <c r="B1535" s="16" t="s">
        <v>406</v>
      </c>
      <c r="C1535" s="15" t="s">
        <v>1876</v>
      </c>
      <c r="D1535" s="15" t="s">
        <v>504</v>
      </c>
      <c r="E1535" s="15">
        <v>0.21</v>
      </c>
      <c r="F1535" s="131">
        <v>19627.564200000001</v>
      </c>
      <c r="G1535" s="17" t="e">
        <f t="shared" si="23"/>
        <v>#VALUE!</v>
      </c>
      <c r="H1535" s="141">
        <v>78</v>
      </c>
      <c r="I1535" s="141">
        <v>0</v>
      </c>
      <c r="J1535" s="149">
        <v>10</v>
      </c>
      <c r="K1535" s="150">
        <v>40</v>
      </c>
    </row>
    <row r="1536" spans="1:11" ht="30" customHeight="1">
      <c r="A1536" s="30">
        <v>75754</v>
      </c>
      <c r="B1536" s="16" t="s">
        <v>406</v>
      </c>
      <c r="C1536" s="15" t="s">
        <v>1876</v>
      </c>
      <c r="D1536" s="15" t="s">
        <v>505</v>
      </c>
      <c r="E1536" s="15">
        <v>0.21</v>
      </c>
      <c r="F1536" s="131">
        <v>20296.803110415025</v>
      </c>
      <c r="G1536" s="17" t="e">
        <f t="shared" si="23"/>
        <v>#VALUE!</v>
      </c>
      <c r="H1536" s="141">
        <v>110</v>
      </c>
      <c r="I1536" s="141">
        <v>0</v>
      </c>
      <c r="J1536" s="149">
        <v>10</v>
      </c>
      <c r="K1536" s="150">
        <v>40</v>
      </c>
    </row>
    <row r="1537" spans="1:11" ht="30" customHeight="1">
      <c r="A1537" s="30">
        <v>75757</v>
      </c>
      <c r="B1537" s="16" t="s">
        <v>406</v>
      </c>
      <c r="C1537" s="15" t="s">
        <v>1876</v>
      </c>
      <c r="D1537" s="15" t="s">
        <v>506</v>
      </c>
      <c r="E1537" s="15">
        <v>0.21</v>
      </c>
      <c r="F1537" s="131">
        <v>21429.647935182376</v>
      </c>
      <c r="G1537" s="17" t="e">
        <f t="shared" si="23"/>
        <v>#VALUE!</v>
      </c>
      <c r="H1537" s="141">
        <v>95</v>
      </c>
      <c r="I1537" s="141">
        <v>0</v>
      </c>
      <c r="J1537" s="149">
        <v>10</v>
      </c>
      <c r="K1537" s="150">
        <v>40</v>
      </c>
    </row>
    <row r="1538" spans="1:11" ht="30" customHeight="1">
      <c r="A1538" s="30">
        <v>75759</v>
      </c>
      <c r="B1538" s="16" t="s">
        <v>406</v>
      </c>
      <c r="C1538" s="15" t="s">
        <v>1876</v>
      </c>
      <c r="D1538" s="15" t="s">
        <v>507</v>
      </c>
      <c r="E1538" s="15">
        <v>0.21</v>
      </c>
      <c r="F1538" s="131">
        <v>22184.877818360623</v>
      </c>
      <c r="G1538" s="17" t="e">
        <f t="shared" si="23"/>
        <v>#VALUE!</v>
      </c>
      <c r="H1538" s="141">
        <v>38</v>
      </c>
      <c r="I1538" s="141">
        <v>0</v>
      </c>
      <c r="J1538" s="149" t="e">
        <v>#N/A</v>
      </c>
      <c r="K1538" s="150" t="e">
        <v>#N/A</v>
      </c>
    </row>
    <row r="1539" spans="1:11" ht="30" customHeight="1">
      <c r="A1539" s="30">
        <v>75760</v>
      </c>
      <c r="B1539" s="16" t="s">
        <v>406</v>
      </c>
      <c r="C1539" s="15" t="s">
        <v>1876</v>
      </c>
      <c r="D1539" s="15" t="s">
        <v>508</v>
      </c>
      <c r="E1539" s="15">
        <v>0.21</v>
      </c>
      <c r="F1539" s="131">
        <v>22468.089024552453</v>
      </c>
      <c r="G1539" s="17" t="e">
        <f t="shared" si="23"/>
        <v>#VALUE!</v>
      </c>
      <c r="H1539" s="141">
        <v>72</v>
      </c>
      <c r="I1539" s="141">
        <v>40</v>
      </c>
      <c r="J1539" s="149">
        <v>10</v>
      </c>
      <c r="K1539" s="150">
        <v>40</v>
      </c>
    </row>
    <row r="1540" spans="1:11" ht="30" customHeight="1">
      <c r="A1540" s="30">
        <v>75764</v>
      </c>
      <c r="B1540" s="16" t="s">
        <v>406</v>
      </c>
      <c r="C1540" s="15" t="s">
        <v>1876</v>
      </c>
      <c r="D1540" s="15" t="s">
        <v>509</v>
      </c>
      <c r="E1540" s="15">
        <v>0.21</v>
      </c>
      <c r="F1540" s="131">
        <v>24072.952526306191</v>
      </c>
      <c r="G1540" s="17" t="e">
        <f t="shared" si="23"/>
        <v>#VALUE!</v>
      </c>
      <c r="H1540" s="141">
        <v>100</v>
      </c>
      <c r="I1540" s="141">
        <v>0</v>
      </c>
      <c r="J1540" s="149">
        <v>10</v>
      </c>
      <c r="K1540" s="150">
        <v>40</v>
      </c>
    </row>
    <row r="1541" spans="1:11" ht="30" customHeight="1">
      <c r="A1541" s="30">
        <v>75765</v>
      </c>
      <c r="B1541" s="16" t="s">
        <v>406</v>
      </c>
      <c r="C1541" s="15" t="s">
        <v>1876</v>
      </c>
      <c r="D1541" s="15" t="s">
        <v>510</v>
      </c>
      <c r="E1541" s="15">
        <v>0.21</v>
      </c>
      <c r="F1541" s="131">
        <v>24450.567467895318</v>
      </c>
      <c r="G1541" s="17" t="e">
        <f t="shared" si="23"/>
        <v>#VALUE!</v>
      </c>
      <c r="H1541" s="141">
        <v>58</v>
      </c>
      <c r="I1541" s="141">
        <v>0</v>
      </c>
      <c r="J1541" s="149">
        <v>10</v>
      </c>
      <c r="K1541" s="150">
        <v>40</v>
      </c>
    </row>
    <row r="1542" spans="1:11" ht="30" customHeight="1">
      <c r="A1542" s="30">
        <v>75767</v>
      </c>
      <c r="B1542" s="16" t="s">
        <v>406</v>
      </c>
      <c r="C1542" s="15" t="s">
        <v>1876</v>
      </c>
      <c r="D1542" s="15" t="s">
        <v>511</v>
      </c>
      <c r="E1542" s="15">
        <v>0.21</v>
      </c>
      <c r="F1542" s="131">
        <v>25205.797351073554</v>
      </c>
      <c r="G1542" s="17" t="e">
        <f t="shared" si="23"/>
        <v>#VALUE!</v>
      </c>
      <c r="H1542" s="141">
        <v>34</v>
      </c>
      <c r="I1542" s="141">
        <v>0</v>
      </c>
      <c r="J1542" s="149">
        <v>10</v>
      </c>
      <c r="K1542" s="150">
        <v>40</v>
      </c>
    </row>
    <row r="1543" spans="1:11" ht="30" customHeight="1">
      <c r="A1543" s="30">
        <v>75768</v>
      </c>
      <c r="B1543" s="16" t="s">
        <v>406</v>
      </c>
      <c r="C1543" s="15" t="s">
        <v>1876</v>
      </c>
      <c r="D1543" s="15" t="s">
        <v>512</v>
      </c>
      <c r="E1543" s="15">
        <v>0.21</v>
      </c>
      <c r="F1543" s="131">
        <v>25489.008557265388</v>
      </c>
      <c r="G1543" s="17" t="e">
        <f t="shared" si="23"/>
        <v>#VALUE!</v>
      </c>
      <c r="H1543" s="141">
        <v>86</v>
      </c>
      <c r="I1543" s="141">
        <v>0</v>
      </c>
      <c r="J1543" s="149">
        <v>10</v>
      </c>
      <c r="K1543" s="150">
        <v>40</v>
      </c>
    </row>
    <row r="1544" spans="1:11" ht="30" customHeight="1">
      <c r="A1544" s="30">
        <v>75770</v>
      </c>
      <c r="B1544" s="16" t="s">
        <v>406</v>
      </c>
      <c r="C1544" s="15" t="s">
        <v>1876</v>
      </c>
      <c r="D1544" s="15" t="s">
        <v>513</v>
      </c>
      <c r="E1544" s="15">
        <v>0.21</v>
      </c>
      <c r="F1544" s="131">
        <v>26244.23844044362</v>
      </c>
      <c r="G1544" s="17" t="e">
        <f t="shared" si="23"/>
        <v>#VALUE!</v>
      </c>
      <c r="H1544" s="141">
        <v>62</v>
      </c>
      <c r="I1544" s="141">
        <v>0</v>
      </c>
      <c r="J1544" s="149">
        <v>10</v>
      </c>
      <c r="K1544" s="150">
        <v>40</v>
      </c>
    </row>
    <row r="1545" spans="1:11" ht="30" customHeight="1">
      <c r="A1545" s="30">
        <v>75773</v>
      </c>
      <c r="B1545" s="16" t="s">
        <v>406</v>
      </c>
      <c r="C1545" s="15" t="s">
        <v>1876</v>
      </c>
      <c r="D1545" s="15" t="s">
        <v>514</v>
      </c>
      <c r="E1545" s="15">
        <v>0.21</v>
      </c>
      <c r="F1545" s="131">
        <v>27565.890736005538</v>
      </c>
      <c r="G1545" s="17" t="e">
        <f t="shared" si="23"/>
        <v>#VALUE!</v>
      </c>
      <c r="H1545" s="141">
        <v>87</v>
      </c>
      <c r="I1545" s="141">
        <v>0</v>
      </c>
      <c r="J1545" s="149">
        <v>10</v>
      </c>
      <c r="K1545" s="150">
        <v>40</v>
      </c>
    </row>
    <row r="1546" spans="1:11" ht="30" customHeight="1">
      <c r="A1546" s="30">
        <v>75776</v>
      </c>
      <c r="B1546" s="16" t="s">
        <v>406</v>
      </c>
      <c r="C1546" s="15" t="s">
        <v>1876</v>
      </c>
      <c r="D1546" s="15" t="s">
        <v>515</v>
      </c>
      <c r="E1546" s="15">
        <v>0.21</v>
      </c>
      <c r="F1546" s="131">
        <v>28604.331825375612</v>
      </c>
      <c r="G1546" s="17" t="e">
        <f t="shared" si="23"/>
        <v>#VALUE!</v>
      </c>
      <c r="H1546" s="141">
        <v>75</v>
      </c>
      <c r="I1546" s="141">
        <v>0</v>
      </c>
      <c r="J1546" s="149">
        <v>10</v>
      </c>
      <c r="K1546" s="150">
        <v>40</v>
      </c>
    </row>
    <row r="1547" spans="1:11" ht="30" customHeight="1">
      <c r="A1547" s="30">
        <v>75779</v>
      </c>
      <c r="B1547" s="16" t="s">
        <v>406</v>
      </c>
      <c r="C1547" s="15" t="s">
        <v>1876</v>
      </c>
      <c r="D1547" s="15" t="s">
        <v>516</v>
      </c>
      <c r="E1547" s="15">
        <v>0.21</v>
      </c>
      <c r="F1547" s="131">
        <v>29642.77291474567</v>
      </c>
      <c r="G1547" s="17" t="e">
        <f t="shared" si="23"/>
        <v>#VALUE!</v>
      </c>
      <c r="H1547" s="141">
        <v>8</v>
      </c>
      <c r="I1547" s="141">
        <v>0</v>
      </c>
      <c r="J1547" s="149">
        <v>10</v>
      </c>
      <c r="K1547" s="150">
        <v>40</v>
      </c>
    </row>
    <row r="1548" spans="1:11" ht="30" customHeight="1">
      <c r="A1548" s="30">
        <v>75783</v>
      </c>
      <c r="B1548" s="16" t="s">
        <v>406</v>
      </c>
      <c r="C1548" s="15" t="s">
        <v>1876</v>
      </c>
      <c r="D1548" s="15" t="s">
        <v>517</v>
      </c>
      <c r="E1548" s="15">
        <v>0.21</v>
      </c>
      <c r="F1548" s="131">
        <v>31247.636416499412</v>
      </c>
      <c r="G1548" s="17" t="e">
        <f t="shared" ref="G1548:G1619" si="24">(F1548*$G$6)</f>
        <v>#VALUE!</v>
      </c>
      <c r="H1548" s="141">
        <v>12</v>
      </c>
      <c r="I1548" s="141">
        <v>0</v>
      </c>
      <c r="J1548" s="149">
        <v>10</v>
      </c>
      <c r="K1548" s="150">
        <v>40</v>
      </c>
    </row>
    <row r="1549" spans="1:11" ht="30" customHeight="1">
      <c r="A1549" s="30">
        <v>75786</v>
      </c>
      <c r="B1549" s="16" t="s">
        <v>406</v>
      </c>
      <c r="C1549" s="15" t="s">
        <v>1876</v>
      </c>
      <c r="D1549" s="15" t="s">
        <v>518</v>
      </c>
      <c r="E1549" s="15">
        <v>0.21</v>
      </c>
      <c r="F1549" s="131">
        <v>32191.673770472196</v>
      </c>
      <c r="G1549" s="17" t="e">
        <f t="shared" si="24"/>
        <v>#VALUE!</v>
      </c>
      <c r="H1549" s="141">
        <v>43</v>
      </c>
      <c r="I1549" s="141">
        <v>0</v>
      </c>
      <c r="J1549" s="149">
        <v>5</v>
      </c>
      <c r="K1549" s="150">
        <v>20</v>
      </c>
    </row>
    <row r="1550" spans="1:11" ht="30" customHeight="1">
      <c r="A1550" s="30">
        <v>75789</v>
      </c>
      <c r="B1550" s="16" t="s">
        <v>406</v>
      </c>
      <c r="C1550" s="15" t="s">
        <v>1876</v>
      </c>
      <c r="D1550" s="15" t="s">
        <v>519</v>
      </c>
      <c r="E1550" s="15">
        <v>0.21</v>
      </c>
      <c r="F1550" s="131">
        <v>33418.922330636829</v>
      </c>
      <c r="G1550" s="17" t="e">
        <f t="shared" si="24"/>
        <v>#VALUE!</v>
      </c>
      <c r="H1550" s="141">
        <v>21</v>
      </c>
      <c r="I1550" s="141">
        <v>0</v>
      </c>
      <c r="J1550" s="149">
        <v>5</v>
      </c>
      <c r="K1550" s="150">
        <v>20</v>
      </c>
    </row>
    <row r="1551" spans="1:11" ht="30" customHeight="1">
      <c r="A1551" s="30">
        <v>75792</v>
      </c>
      <c r="B1551" s="16" t="s">
        <v>406</v>
      </c>
      <c r="C1551" s="15" t="s">
        <v>1876</v>
      </c>
      <c r="D1551" s="15" t="s">
        <v>520</v>
      </c>
      <c r="E1551" s="15">
        <v>0.21</v>
      </c>
      <c r="F1551" s="131">
        <v>37510.453200000004</v>
      </c>
      <c r="G1551" s="17" t="e">
        <f t="shared" si="24"/>
        <v>#VALUE!</v>
      </c>
      <c r="H1551" s="141">
        <v>38</v>
      </c>
      <c r="I1551" s="141">
        <v>0</v>
      </c>
      <c r="J1551" s="149" t="e">
        <v>#N/A</v>
      </c>
      <c r="K1551" s="150" t="e">
        <v>#N/A</v>
      </c>
    </row>
    <row r="1552" spans="1:11" ht="30" customHeight="1">
      <c r="A1552" s="30">
        <v>75795</v>
      </c>
      <c r="B1552" s="16" t="s">
        <v>406</v>
      </c>
      <c r="C1552" s="15" t="s">
        <v>1876</v>
      </c>
      <c r="D1552" s="15" t="s">
        <v>521</v>
      </c>
      <c r="E1552" s="15">
        <v>0.21</v>
      </c>
      <c r="F1552" s="131">
        <v>38709.917400000006</v>
      </c>
      <c r="G1552" s="17" t="e">
        <f t="shared" si="24"/>
        <v>#VALUE!</v>
      </c>
      <c r="H1552" s="141">
        <v>14</v>
      </c>
      <c r="I1552" s="141">
        <v>0</v>
      </c>
      <c r="J1552" s="149" t="e">
        <v>#N/A</v>
      </c>
      <c r="K1552" s="150" t="e">
        <v>#N/A</v>
      </c>
    </row>
    <row r="1553" spans="1:11" ht="30" customHeight="1">
      <c r="A1553" s="30">
        <v>75798</v>
      </c>
      <c r="B1553" s="16" t="s">
        <v>406</v>
      </c>
      <c r="C1553" s="15" t="s">
        <v>1876</v>
      </c>
      <c r="D1553" s="15" t="s">
        <v>522</v>
      </c>
      <c r="E1553" s="15">
        <v>0.21</v>
      </c>
      <c r="F1553" s="131">
        <v>40018.423800000004</v>
      </c>
      <c r="G1553" s="17" t="e">
        <f t="shared" si="24"/>
        <v>#VALUE!</v>
      </c>
      <c r="H1553" s="141">
        <v>31</v>
      </c>
      <c r="I1553" s="141">
        <v>0</v>
      </c>
      <c r="J1553" s="149" t="e">
        <v>#N/A</v>
      </c>
      <c r="K1553" s="150" t="e">
        <v>#N/A</v>
      </c>
    </row>
    <row r="1554" spans="1:11" ht="30" customHeight="1">
      <c r="A1554" s="30">
        <v>75802</v>
      </c>
      <c r="B1554" s="16" t="s">
        <v>406</v>
      </c>
      <c r="C1554" s="15" t="s">
        <v>1876</v>
      </c>
      <c r="D1554" s="15" t="s">
        <v>523</v>
      </c>
      <c r="E1554" s="15">
        <v>0.21</v>
      </c>
      <c r="F1554" s="131">
        <v>38088.375800000002</v>
      </c>
      <c r="G1554" s="17" t="e">
        <f t="shared" si="24"/>
        <v>#VALUE!</v>
      </c>
      <c r="H1554" s="141">
        <v>23</v>
      </c>
      <c r="I1554" s="141">
        <v>0</v>
      </c>
      <c r="J1554" s="149">
        <v>5</v>
      </c>
      <c r="K1554" s="150">
        <v>20</v>
      </c>
    </row>
    <row r="1555" spans="1:11" ht="30" customHeight="1">
      <c r="A1555" s="30">
        <v>75805</v>
      </c>
      <c r="B1555" s="16" t="s">
        <v>406</v>
      </c>
      <c r="C1555" s="15" t="s">
        <v>1876</v>
      </c>
      <c r="D1555" s="15" t="s">
        <v>541</v>
      </c>
      <c r="E1555" s="15">
        <v>0.21</v>
      </c>
      <c r="F1555" s="131">
        <v>39211.509400000003</v>
      </c>
      <c r="G1555" s="17" t="e">
        <f t="shared" si="24"/>
        <v>#VALUE!</v>
      </c>
      <c r="H1555" s="141">
        <v>19</v>
      </c>
      <c r="I1555" s="141">
        <v>0</v>
      </c>
      <c r="J1555" s="149">
        <v>5</v>
      </c>
      <c r="K1555" s="150">
        <v>20</v>
      </c>
    </row>
    <row r="1556" spans="1:11" ht="30" customHeight="1">
      <c r="A1556" s="30">
        <v>75808</v>
      </c>
      <c r="B1556" s="16" t="s">
        <v>406</v>
      </c>
      <c r="C1556" s="15" t="s">
        <v>1876</v>
      </c>
      <c r="D1556" s="15" t="s">
        <v>542</v>
      </c>
      <c r="E1556" s="15">
        <v>0.21</v>
      </c>
      <c r="F1556" s="131">
        <v>40705.388599999998</v>
      </c>
      <c r="G1556" s="17" t="e">
        <f t="shared" si="24"/>
        <v>#VALUE!</v>
      </c>
      <c r="H1556" s="141">
        <v>21</v>
      </c>
      <c r="I1556" s="141">
        <v>10</v>
      </c>
      <c r="J1556" s="149">
        <v>5</v>
      </c>
      <c r="K1556" s="150">
        <v>10</v>
      </c>
    </row>
    <row r="1557" spans="1:11" ht="30" customHeight="1">
      <c r="A1557" s="30">
        <v>75811</v>
      </c>
      <c r="B1557" s="16" t="s">
        <v>406</v>
      </c>
      <c r="C1557" s="15" t="s">
        <v>1876</v>
      </c>
      <c r="D1557" s="15" t="s">
        <v>543</v>
      </c>
      <c r="E1557" s="15">
        <v>0.21</v>
      </c>
      <c r="F1557" s="131">
        <v>43071.6054</v>
      </c>
      <c r="G1557" s="17" t="e">
        <f t="shared" si="24"/>
        <v>#VALUE!</v>
      </c>
      <c r="H1557" s="141">
        <v>0</v>
      </c>
      <c r="I1557" s="141">
        <v>0</v>
      </c>
      <c r="J1557" s="149" t="e">
        <v>#N/A</v>
      </c>
      <c r="K1557" s="150" t="e">
        <v>#N/A</v>
      </c>
    </row>
    <row r="1558" spans="1:11" ht="30" customHeight="1">
      <c r="A1558" s="30">
        <v>75814</v>
      </c>
      <c r="B1558" s="16" t="s">
        <v>406</v>
      </c>
      <c r="C1558" s="15" t="s">
        <v>1876</v>
      </c>
      <c r="D1558" s="15" t="s">
        <v>544</v>
      </c>
      <c r="E1558" s="15">
        <v>0.21</v>
      </c>
      <c r="F1558" s="131">
        <v>42602.724999999999</v>
      </c>
      <c r="G1558" s="17" t="e">
        <f t="shared" si="24"/>
        <v>#VALUE!</v>
      </c>
      <c r="H1558" s="141">
        <v>40</v>
      </c>
      <c r="I1558" s="141">
        <v>0</v>
      </c>
      <c r="J1558" s="149">
        <v>5</v>
      </c>
      <c r="K1558" s="150">
        <v>10</v>
      </c>
    </row>
    <row r="1559" spans="1:11" ht="30" customHeight="1">
      <c r="A1559" s="30">
        <v>75821</v>
      </c>
      <c r="B1559" s="16" t="s">
        <v>406</v>
      </c>
      <c r="C1559" s="15" t="s">
        <v>1876</v>
      </c>
      <c r="D1559" s="15" t="s">
        <v>545</v>
      </c>
      <c r="E1559" s="15">
        <v>0.21</v>
      </c>
      <c r="F1559" s="131">
        <v>45241.542000000001</v>
      </c>
      <c r="G1559" s="17" t="e">
        <f t="shared" si="24"/>
        <v>#VALUE!</v>
      </c>
      <c r="H1559" s="141">
        <v>0</v>
      </c>
      <c r="I1559" s="141">
        <v>0</v>
      </c>
      <c r="J1559" s="149">
        <v>5</v>
      </c>
      <c r="K1559" s="150">
        <v>10</v>
      </c>
    </row>
    <row r="1560" spans="1:11" ht="30" customHeight="1">
      <c r="A1560" s="30">
        <v>75827</v>
      </c>
      <c r="B1560" s="16" t="s">
        <v>406</v>
      </c>
      <c r="C1560" s="15" t="s">
        <v>1876</v>
      </c>
      <c r="D1560" s="15" t="s">
        <v>546</v>
      </c>
      <c r="E1560" s="15">
        <v>0.21</v>
      </c>
      <c r="F1560" s="131">
        <v>47302.436400000006</v>
      </c>
      <c r="G1560" s="17" t="e">
        <f t="shared" si="24"/>
        <v>#VALUE!</v>
      </c>
      <c r="H1560" s="141">
        <v>7</v>
      </c>
      <c r="I1560" s="141">
        <v>0</v>
      </c>
      <c r="J1560" s="149">
        <v>5</v>
      </c>
      <c r="K1560" s="150">
        <v>10</v>
      </c>
    </row>
    <row r="1561" spans="1:11" ht="30" customHeight="1">
      <c r="A1561" s="30">
        <v>75833</v>
      </c>
      <c r="B1561" s="16" t="s">
        <v>406</v>
      </c>
      <c r="C1561" s="15" t="s">
        <v>1876</v>
      </c>
      <c r="D1561" s="15" t="s">
        <v>547</v>
      </c>
      <c r="E1561" s="15">
        <v>0.21</v>
      </c>
      <c r="F1561" s="131">
        <v>49559.600399999996</v>
      </c>
      <c r="G1561" s="17" t="e">
        <f t="shared" si="24"/>
        <v>#VALUE!</v>
      </c>
      <c r="H1561" s="141">
        <v>7</v>
      </c>
      <c r="I1561" s="141">
        <v>0</v>
      </c>
      <c r="J1561" s="149">
        <v>5</v>
      </c>
      <c r="K1561" s="150">
        <v>10</v>
      </c>
    </row>
    <row r="1562" spans="1:11" ht="30" customHeight="1">
      <c r="A1562" s="30">
        <v>75840</v>
      </c>
      <c r="B1562" s="16" t="s">
        <v>406</v>
      </c>
      <c r="C1562" s="15" t="s">
        <v>1876</v>
      </c>
      <c r="D1562" s="15" t="s">
        <v>548</v>
      </c>
      <c r="E1562" s="15">
        <v>0.21</v>
      </c>
      <c r="F1562" s="131">
        <v>52198.417400000006</v>
      </c>
      <c r="G1562" s="17" t="e">
        <f t="shared" si="24"/>
        <v>#VALUE!</v>
      </c>
      <c r="H1562" s="141">
        <v>7</v>
      </c>
      <c r="I1562" s="141">
        <v>0</v>
      </c>
      <c r="J1562" s="149">
        <v>5</v>
      </c>
      <c r="K1562" s="150">
        <v>10</v>
      </c>
    </row>
    <row r="1563" spans="1:11" ht="30" customHeight="1">
      <c r="A1563" s="30">
        <v>75846</v>
      </c>
      <c r="B1563" s="16" t="s">
        <v>406</v>
      </c>
      <c r="C1563" s="15" t="s">
        <v>1876</v>
      </c>
      <c r="D1563" s="15" t="s">
        <v>549</v>
      </c>
      <c r="E1563" s="15">
        <v>0.21</v>
      </c>
      <c r="F1563" s="131">
        <v>56701.859199999999</v>
      </c>
      <c r="G1563" s="17" t="e">
        <f t="shared" si="24"/>
        <v>#VALUE!</v>
      </c>
      <c r="H1563" s="141">
        <v>0</v>
      </c>
      <c r="I1563" s="141">
        <v>0</v>
      </c>
      <c r="J1563" s="149" t="e">
        <v>#N/A</v>
      </c>
      <c r="K1563" s="150" t="e">
        <v>#N/A</v>
      </c>
    </row>
    <row r="1564" spans="1:11" ht="30" customHeight="1">
      <c r="A1564" s="30">
        <v>75852</v>
      </c>
      <c r="B1564" s="16" t="s">
        <v>406</v>
      </c>
      <c r="C1564" s="15" t="s">
        <v>1876</v>
      </c>
      <c r="D1564" s="15" t="s">
        <v>550</v>
      </c>
      <c r="E1564" s="15">
        <v>0.21</v>
      </c>
      <c r="F1564" s="131">
        <v>57039.882600000004</v>
      </c>
      <c r="G1564" s="17" t="e">
        <f t="shared" si="24"/>
        <v>#VALUE!</v>
      </c>
      <c r="H1564" s="141">
        <v>1</v>
      </c>
      <c r="I1564" s="141">
        <v>0</v>
      </c>
      <c r="J1564" s="149">
        <v>5</v>
      </c>
      <c r="K1564" s="150">
        <v>10</v>
      </c>
    </row>
    <row r="1565" spans="1:11" ht="30" customHeight="1">
      <c r="A1565" s="30">
        <v>75858</v>
      </c>
      <c r="B1565" s="16" t="s">
        <v>406</v>
      </c>
      <c r="C1565" s="15" t="s">
        <v>1876</v>
      </c>
      <c r="D1565" s="15" t="s">
        <v>551</v>
      </c>
      <c r="E1565" s="15">
        <v>0.21</v>
      </c>
      <c r="F1565" s="131">
        <v>75050.969640836993</v>
      </c>
      <c r="G1565" s="17" t="e">
        <f t="shared" si="24"/>
        <v>#VALUE!</v>
      </c>
      <c r="H1565" s="141">
        <v>1</v>
      </c>
      <c r="I1565" s="141">
        <v>0</v>
      </c>
      <c r="J1565" s="149">
        <v>0</v>
      </c>
      <c r="K1565" s="150">
        <v>5</v>
      </c>
    </row>
    <row r="1566" spans="1:11" ht="30" customHeight="1">
      <c r="A1566" s="31">
        <v>76011</v>
      </c>
      <c r="B1566" s="16" t="s">
        <v>406</v>
      </c>
      <c r="C1566" s="15" t="s">
        <v>3593</v>
      </c>
      <c r="D1566" s="15" t="s">
        <v>318</v>
      </c>
      <c r="E1566" s="15">
        <v>0.21</v>
      </c>
      <c r="F1566" s="131">
        <v>0</v>
      </c>
      <c r="G1566" s="17" t="e">
        <f t="shared" si="24"/>
        <v>#VALUE!</v>
      </c>
      <c r="H1566" s="141">
        <v>300</v>
      </c>
      <c r="I1566" s="141">
        <v>0</v>
      </c>
      <c r="J1566" s="149" t="e">
        <v>#N/A</v>
      </c>
      <c r="K1566" s="150" t="e">
        <v>#N/A</v>
      </c>
    </row>
    <row r="1567" spans="1:11" ht="30" customHeight="1">
      <c r="A1567" s="31">
        <v>76012</v>
      </c>
      <c r="B1567" s="16" t="s">
        <v>406</v>
      </c>
      <c r="C1567" s="15" t="s">
        <v>3593</v>
      </c>
      <c r="D1567" s="15" t="s">
        <v>80</v>
      </c>
      <c r="E1567" s="15">
        <v>0.21</v>
      </c>
      <c r="F1567" s="131">
        <v>0</v>
      </c>
      <c r="G1567" s="17" t="e">
        <f t="shared" si="24"/>
        <v>#VALUE!</v>
      </c>
      <c r="H1567" s="141">
        <v>200</v>
      </c>
      <c r="I1567" s="141">
        <v>0</v>
      </c>
      <c r="J1567" s="149" t="e">
        <v>#N/A</v>
      </c>
      <c r="K1567" s="150" t="e">
        <v>#N/A</v>
      </c>
    </row>
    <row r="1568" spans="1:11" ht="30" customHeight="1">
      <c r="A1568" s="31">
        <v>76013</v>
      </c>
      <c r="B1568" s="16" t="s">
        <v>406</v>
      </c>
      <c r="C1568" s="15" t="s">
        <v>3593</v>
      </c>
      <c r="D1568" s="15" t="s">
        <v>81</v>
      </c>
      <c r="E1568" s="15">
        <v>0.21</v>
      </c>
      <c r="F1568" s="131">
        <v>0</v>
      </c>
      <c r="G1568" s="17" t="e">
        <f t="shared" si="24"/>
        <v>#VALUE!</v>
      </c>
      <c r="H1568" s="141">
        <v>200</v>
      </c>
      <c r="I1568" s="141">
        <v>0</v>
      </c>
      <c r="J1568" s="149" t="e">
        <v>#N/A</v>
      </c>
      <c r="K1568" s="150" t="e">
        <v>#N/A</v>
      </c>
    </row>
    <row r="1569" spans="1:11" ht="30" customHeight="1">
      <c r="A1569" s="132">
        <v>76014</v>
      </c>
      <c r="B1569" s="133" t="s">
        <v>406</v>
      </c>
      <c r="C1569" s="134" t="s">
        <v>3593</v>
      </c>
      <c r="D1569" s="134" t="s">
        <v>82</v>
      </c>
      <c r="E1569" s="15">
        <v>0.21</v>
      </c>
      <c r="F1569" s="135">
        <v>0</v>
      </c>
      <c r="G1569" s="17" t="e">
        <f t="shared" si="24"/>
        <v>#VALUE!</v>
      </c>
      <c r="H1569" s="141">
        <v>200</v>
      </c>
      <c r="I1569" s="141">
        <v>0</v>
      </c>
      <c r="J1569" s="149" t="e">
        <v>#N/A</v>
      </c>
      <c r="K1569" s="150" t="e">
        <v>#N/A</v>
      </c>
    </row>
    <row r="1570" spans="1:11" ht="30" customHeight="1">
      <c r="A1570" s="132">
        <v>76015</v>
      </c>
      <c r="B1570" s="133" t="s">
        <v>406</v>
      </c>
      <c r="C1570" s="134" t="s">
        <v>3593</v>
      </c>
      <c r="D1570" s="134" t="s">
        <v>84</v>
      </c>
      <c r="E1570" s="15">
        <v>0.21</v>
      </c>
      <c r="F1570" s="135">
        <v>0</v>
      </c>
      <c r="G1570" s="17" t="e">
        <f t="shared" si="24"/>
        <v>#VALUE!</v>
      </c>
      <c r="H1570" s="141">
        <v>200</v>
      </c>
      <c r="I1570" s="141">
        <v>0</v>
      </c>
      <c r="J1570" s="149" t="e">
        <v>#N/A</v>
      </c>
      <c r="K1570" s="150" t="e">
        <v>#N/A</v>
      </c>
    </row>
    <row r="1571" spans="1:11" ht="30" customHeight="1">
      <c r="A1571" s="31">
        <v>76016</v>
      </c>
      <c r="B1571" s="16" t="s">
        <v>406</v>
      </c>
      <c r="C1571" s="15" t="s">
        <v>3593</v>
      </c>
      <c r="D1571" s="15" t="s">
        <v>125</v>
      </c>
      <c r="E1571" s="15">
        <v>0.21</v>
      </c>
      <c r="F1571" s="131">
        <v>0</v>
      </c>
      <c r="G1571" s="17" t="e">
        <f t="shared" si="24"/>
        <v>#VALUE!</v>
      </c>
      <c r="H1571" s="141">
        <v>200</v>
      </c>
      <c r="I1571" s="141">
        <v>0</v>
      </c>
      <c r="J1571" s="149" t="e">
        <v>#N/A</v>
      </c>
      <c r="K1571" s="150" t="e">
        <v>#N/A</v>
      </c>
    </row>
    <row r="1572" spans="1:11" ht="30" customHeight="1">
      <c r="A1572" s="132">
        <v>76017</v>
      </c>
      <c r="B1572" s="133" t="s">
        <v>406</v>
      </c>
      <c r="C1572" s="134" t="s">
        <v>3593</v>
      </c>
      <c r="D1572" s="134" t="s">
        <v>127</v>
      </c>
      <c r="E1572" s="15">
        <v>0.21</v>
      </c>
      <c r="F1572" s="135">
        <v>0</v>
      </c>
      <c r="G1572" s="17" t="e">
        <f t="shared" si="24"/>
        <v>#VALUE!</v>
      </c>
      <c r="H1572" s="141">
        <v>200</v>
      </c>
      <c r="I1572" s="141">
        <v>0</v>
      </c>
      <c r="J1572" s="149" t="e">
        <v>#N/A</v>
      </c>
      <c r="K1572" s="150" t="e">
        <v>#N/A</v>
      </c>
    </row>
    <row r="1573" spans="1:11" ht="30" customHeight="1">
      <c r="A1573" s="132">
        <v>76018</v>
      </c>
      <c r="B1573" s="133" t="s">
        <v>406</v>
      </c>
      <c r="C1573" s="134" t="s">
        <v>3593</v>
      </c>
      <c r="D1573" s="134" t="s">
        <v>130</v>
      </c>
      <c r="E1573" s="15">
        <v>0.21</v>
      </c>
      <c r="F1573" s="135">
        <v>0</v>
      </c>
      <c r="G1573" s="17" t="e">
        <f t="shared" si="24"/>
        <v>#VALUE!</v>
      </c>
      <c r="H1573" s="141">
        <v>200</v>
      </c>
      <c r="I1573" s="141">
        <v>0</v>
      </c>
      <c r="J1573" s="149" t="e">
        <v>#N/A</v>
      </c>
      <c r="K1573" s="150" t="e">
        <v>#N/A</v>
      </c>
    </row>
    <row r="1574" spans="1:11" ht="30" customHeight="1">
      <c r="A1574" s="31">
        <v>76019</v>
      </c>
      <c r="B1574" s="16" t="s">
        <v>406</v>
      </c>
      <c r="C1574" s="15" t="s">
        <v>3593</v>
      </c>
      <c r="D1574" s="15" t="s">
        <v>133</v>
      </c>
      <c r="E1574" s="15">
        <v>0.21</v>
      </c>
      <c r="F1574" s="131">
        <v>0</v>
      </c>
      <c r="G1574" s="17" t="e">
        <f t="shared" si="24"/>
        <v>#VALUE!</v>
      </c>
      <c r="H1574" s="141">
        <v>300</v>
      </c>
      <c r="I1574" s="141">
        <v>0</v>
      </c>
      <c r="J1574" s="149" t="e">
        <v>#N/A</v>
      </c>
      <c r="K1574" s="150" t="e">
        <v>#N/A</v>
      </c>
    </row>
    <row r="1575" spans="1:11" ht="30" customHeight="1">
      <c r="A1575" s="31">
        <v>76020</v>
      </c>
      <c r="B1575" s="16" t="s">
        <v>406</v>
      </c>
      <c r="C1575" s="15" t="s">
        <v>3593</v>
      </c>
      <c r="D1575" s="15" t="s">
        <v>290</v>
      </c>
      <c r="E1575" s="15">
        <v>0.21</v>
      </c>
      <c r="F1575" s="131">
        <v>0</v>
      </c>
      <c r="G1575" s="17" t="e">
        <f t="shared" si="24"/>
        <v>#VALUE!</v>
      </c>
      <c r="H1575" s="141">
        <v>300</v>
      </c>
      <c r="I1575" s="141">
        <v>0</v>
      </c>
      <c r="J1575" s="149" t="e">
        <v>#N/A</v>
      </c>
      <c r="K1575" s="150" t="e">
        <v>#N/A</v>
      </c>
    </row>
    <row r="1576" spans="1:11" ht="30" customHeight="1">
      <c r="A1576" s="132">
        <v>76021</v>
      </c>
      <c r="B1576" s="133" t="s">
        <v>406</v>
      </c>
      <c r="C1576" s="134" t="s">
        <v>3593</v>
      </c>
      <c r="D1576" s="134" t="s">
        <v>837</v>
      </c>
      <c r="E1576" s="15">
        <v>0.21</v>
      </c>
      <c r="F1576" s="135">
        <v>0</v>
      </c>
      <c r="G1576" s="17" t="e">
        <f t="shared" si="24"/>
        <v>#VALUE!</v>
      </c>
      <c r="H1576" s="141">
        <v>120</v>
      </c>
      <c r="I1576" s="141">
        <v>0</v>
      </c>
      <c r="J1576" s="149" t="e">
        <v>#N/A</v>
      </c>
      <c r="K1576" s="150" t="e">
        <v>#N/A</v>
      </c>
    </row>
    <row r="1577" spans="1:11" ht="30" customHeight="1">
      <c r="A1577" s="132">
        <v>76022</v>
      </c>
      <c r="B1577" s="133" t="s">
        <v>406</v>
      </c>
      <c r="C1577" s="134" t="s">
        <v>3593</v>
      </c>
      <c r="D1577" s="134" t="s">
        <v>2800</v>
      </c>
      <c r="E1577" s="15">
        <v>0.21</v>
      </c>
      <c r="F1577" s="135">
        <v>0</v>
      </c>
      <c r="G1577" s="17" t="e">
        <f t="shared" si="24"/>
        <v>#VALUE!</v>
      </c>
      <c r="H1577" s="141">
        <v>120</v>
      </c>
      <c r="I1577" s="141">
        <v>0</v>
      </c>
      <c r="J1577" s="149" t="e">
        <v>#N/A</v>
      </c>
      <c r="K1577" s="150" t="e">
        <v>#N/A</v>
      </c>
    </row>
    <row r="1578" spans="1:11" ht="30" customHeight="1">
      <c r="A1578" s="132">
        <v>76023</v>
      </c>
      <c r="B1578" s="133" t="s">
        <v>406</v>
      </c>
      <c r="C1578" s="134" t="s">
        <v>3593</v>
      </c>
      <c r="D1578" s="134" t="s">
        <v>438</v>
      </c>
      <c r="E1578" s="15">
        <v>0.21</v>
      </c>
      <c r="F1578" s="135">
        <v>0</v>
      </c>
      <c r="G1578" s="17" t="e">
        <f t="shared" si="24"/>
        <v>#VALUE!</v>
      </c>
      <c r="H1578" s="141">
        <v>120</v>
      </c>
      <c r="I1578" s="141">
        <v>0</v>
      </c>
      <c r="J1578" s="149" t="e">
        <v>#N/A</v>
      </c>
      <c r="K1578" s="150" t="e">
        <v>#N/A</v>
      </c>
    </row>
    <row r="1579" spans="1:11" ht="30" customHeight="1">
      <c r="A1579" s="132">
        <v>76024</v>
      </c>
      <c r="B1579" s="133" t="s">
        <v>406</v>
      </c>
      <c r="C1579" s="134" t="s">
        <v>3593</v>
      </c>
      <c r="D1579" s="134" t="s">
        <v>451</v>
      </c>
      <c r="E1579" s="15">
        <v>0.21</v>
      </c>
      <c r="F1579" s="135">
        <v>0</v>
      </c>
      <c r="G1579" s="17" t="e">
        <f t="shared" si="24"/>
        <v>#VALUE!</v>
      </c>
      <c r="H1579" s="141">
        <v>120</v>
      </c>
      <c r="I1579" s="141">
        <v>0</v>
      </c>
      <c r="J1579" s="149" t="e">
        <v>#N/A</v>
      </c>
      <c r="K1579" s="150" t="e">
        <v>#N/A</v>
      </c>
    </row>
    <row r="1580" spans="1:11" ht="30" customHeight="1">
      <c r="A1580" s="31">
        <v>76025</v>
      </c>
      <c r="B1580" s="16" t="s">
        <v>406</v>
      </c>
      <c r="C1580" s="15" t="s">
        <v>3593</v>
      </c>
      <c r="D1580" s="15" t="s">
        <v>3594</v>
      </c>
      <c r="E1580" s="15">
        <v>0.21</v>
      </c>
      <c r="F1580" s="131">
        <v>0</v>
      </c>
      <c r="G1580" s="17" t="e">
        <f t="shared" si="24"/>
        <v>#VALUE!</v>
      </c>
      <c r="H1580" s="141">
        <v>180</v>
      </c>
      <c r="I1580" s="141">
        <v>0</v>
      </c>
      <c r="J1580" s="149" t="e">
        <v>#N/A</v>
      </c>
      <c r="K1580" s="150" t="e">
        <v>#N/A</v>
      </c>
    </row>
    <row r="1581" spans="1:11" ht="30" customHeight="1">
      <c r="A1581" s="31">
        <v>76026</v>
      </c>
      <c r="B1581" s="16" t="s">
        <v>406</v>
      </c>
      <c r="C1581" s="15" t="s">
        <v>3593</v>
      </c>
      <c r="D1581" s="15" t="s">
        <v>3595</v>
      </c>
      <c r="E1581" s="15">
        <v>0.21</v>
      </c>
      <c r="F1581" s="131">
        <v>0</v>
      </c>
      <c r="G1581" s="17" t="e">
        <f t="shared" si="24"/>
        <v>#VALUE!</v>
      </c>
      <c r="H1581" s="141">
        <v>180</v>
      </c>
      <c r="I1581" s="141">
        <v>0</v>
      </c>
      <c r="J1581" s="149" t="e">
        <v>#N/A</v>
      </c>
      <c r="K1581" s="150" t="e">
        <v>#N/A</v>
      </c>
    </row>
    <row r="1582" spans="1:11" ht="30" customHeight="1">
      <c r="A1582" s="31">
        <v>75860</v>
      </c>
      <c r="B1582" s="16" t="s">
        <v>406</v>
      </c>
      <c r="C1582" s="15" t="s">
        <v>3257</v>
      </c>
      <c r="D1582" s="15" t="s">
        <v>2590</v>
      </c>
      <c r="E1582" s="15">
        <v>0.21</v>
      </c>
      <c r="F1582" s="131">
        <v>123122.64633476289</v>
      </c>
      <c r="G1582" s="17" t="e">
        <f t="shared" si="24"/>
        <v>#VALUE!</v>
      </c>
      <c r="H1582" s="141">
        <v>16</v>
      </c>
      <c r="I1582" s="141">
        <v>0</v>
      </c>
      <c r="J1582" s="149">
        <v>0</v>
      </c>
      <c r="K1582" s="150">
        <v>10</v>
      </c>
    </row>
    <row r="1583" spans="1:11" ht="30" customHeight="1">
      <c r="A1583" s="30">
        <v>75861</v>
      </c>
      <c r="B1583" s="16" t="s">
        <v>406</v>
      </c>
      <c r="C1583" s="15" t="s">
        <v>479</v>
      </c>
      <c r="D1583" s="15" t="s">
        <v>2590</v>
      </c>
      <c r="E1583" s="15">
        <v>0.21</v>
      </c>
      <c r="F1583" s="131">
        <v>134121.69399999999</v>
      </c>
      <c r="G1583" s="17" t="e">
        <f t="shared" si="24"/>
        <v>#VALUE!</v>
      </c>
      <c r="H1583" s="141">
        <v>56</v>
      </c>
      <c r="I1583" s="141">
        <v>0</v>
      </c>
      <c r="J1583" s="149">
        <v>0</v>
      </c>
      <c r="K1583" s="150">
        <v>10</v>
      </c>
    </row>
    <row r="1584" spans="1:11" ht="30" customHeight="1">
      <c r="A1584" s="31">
        <v>75862</v>
      </c>
      <c r="B1584" s="16" t="s">
        <v>406</v>
      </c>
      <c r="C1584" s="15" t="s">
        <v>3258</v>
      </c>
      <c r="D1584" s="15" t="s">
        <v>2764</v>
      </c>
      <c r="E1584" s="15">
        <v>0.21</v>
      </c>
      <c r="F1584" s="131">
        <v>114331.99848097049</v>
      </c>
      <c r="G1584" s="17" t="e">
        <f t="shared" si="24"/>
        <v>#VALUE!</v>
      </c>
      <c r="H1584" s="141">
        <v>28</v>
      </c>
      <c r="I1584" s="141">
        <v>0</v>
      </c>
      <c r="J1584" s="149">
        <v>0</v>
      </c>
      <c r="K1584" s="150">
        <v>10</v>
      </c>
    </row>
    <row r="1585" spans="1:11" ht="30" customHeight="1">
      <c r="A1585" s="30">
        <v>75865</v>
      </c>
      <c r="B1585" s="16" t="s">
        <v>406</v>
      </c>
      <c r="C1585" s="15" t="s">
        <v>1878</v>
      </c>
      <c r="D1585" s="15" t="s">
        <v>1806</v>
      </c>
      <c r="E1585" s="15">
        <v>0.21</v>
      </c>
      <c r="F1585" s="131">
        <v>25079.663600000003</v>
      </c>
      <c r="G1585" s="17" t="e">
        <f t="shared" si="24"/>
        <v>#VALUE!</v>
      </c>
      <c r="H1585" s="141">
        <v>202</v>
      </c>
      <c r="I1585" s="141">
        <v>150</v>
      </c>
      <c r="J1585" s="149">
        <v>0</v>
      </c>
      <c r="K1585" s="150">
        <v>30</v>
      </c>
    </row>
    <row r="1586" spans="1:11" ht="30" customHeight="1">
      <c r="A1586" s="30">
        <v>75866</v>
      </c>
      <c r="B1586" s="16" t="s">
        <v>406</v>
      </c>
      <c r="C1586" s="15" t="s">
        <v>1879</v>
      </c>
      <c r="D1586" s="15" t="s">
        <v>1807</v>
      </c>
      <c r="E1586" s="15">
        <v>0.21</v>
      </c>
      <c r="F1586" s="131">
        <v>31513.142800000001</v>
      </c>
      <c r="G1586" s="17" t="e">
        <f t="shared" si="24"/>
        <v>#VALUE!</v>
      </c>
      <c r="H1586" s="141">
        <v>91</v>
      </c>
      <c r="I1586" s="141">
        <v>100</v>
      </c>
      <c r="J1586" s="149">
        <v>0</v>
      </c>
      <c r="K1586" s="150">
        <v>20</v>
      </c>
    </row>
    <row r="1587" spans="1:11" ht="30" customHeight="1">
      <c r="A1587" s="30">
        <v>75867</v>
      </c>
      <c r="B1587" s="16" t="s">
        <v>406</v>
      </c>
      <c r="C1587" s="15" t="s">
        <v>1880</v>
      </c>
      <c r="D1587" s="15" t="s">
        <v>1808</v>
      </c>
      <c r="E1587" s="15">
        <v>0.21</v>
      </c>
      <c r="F1587" s="131">
        <v>43725.848000000005</v>
      </c>
      <c r="G1587" s="17" t="e">
        <f t="shared" si="24"/>
        <v>#VALUE!</v>
      </c>
      <c r="H1587" s="141">
        <v>207</v>
      </c>
      <c r="I1587" s="141">
        <v>100</v>
      </c>
      <c r="J1587" s="149">
        <v>0</v>
      </c>
      <c r="K1587" s="150">
        <v>20</v>
      </c>
    </row>
    <row r="1588" spans="1:11" ht="30" customHeight="1">
      <c r="A1588" s="30">
        <v>75881</v>
      </c>
      <c r="B1588" s="16" t="s">
        <v>406</v>
      </c>
      <c r="C1588" s="15" t="s">
        <v>1883</v>
      </c>
      <c r="D1588" s="15" t="s">
        <v>1812</v>
      </c>
      <c r="E1588" s="15">
        <v>0.21</v>
      </c>
      <c r="F1588" s="131">
        <v>603983.79180000001</v>
      </c>
      <c r="G1588" s="17" t="e">
        <f t="shared" si="24"/>
        <v>#VALUE!</v>
      </c>
      <c r="H1588" s="141">
        <v>22</v>
      </c>
      <c r="I1588" s="141">
        <v>0</v>
      </c>
      <c r="J1588" s="149">
        <v>0</v>
      </c>
      <c r="K1588" s="150">
        <v>2</v>
      </c>
    </row>
    <row r="1589" spans="1:11" ht="30" customHeight="1">
      <c r="A1589" s="30">
        <v>75868</v>
      </c>
      <c r="B1589" s="16" t="s">
        <v>406</v>
      </c>
      <c r="C1589" s="15" t="s">
        <v>1881</v>
      </c>
      <c r="D1589" s="15" t="s">
        <v>1809</v>
      </c>
      <c r="E1589" s="15">
        <v>0.21</v>
      </c>
      <c r="F1589" s="131">
        <v>12103.663</v>
      </c>
      <c r="G1589" s="17" t="e">
        <f t="shared" si="24"/>
        <v>#VALUE!</v>
      </c>
      <c r="H1589" s="141">
        <v>203</v>
      </c>
      <c r="I1589" s="141">
        <v>0</v>
      </c>
      <c r="J1589" s="149">
        <v>10</v>
      </c>
      <c r="K1589" s="150">
        <v>60</v>
      </c>
    </row>
    <row r="1590" spans="1:11" ht="30" customHeight="1">
      <c r="A1590" s="31">
        <v>75863</v>
      </c>
      <c r="B1590" s="16" t="s">
        <v>406</v>
      </c>
      <c r="C1590" s="15" t="s">
        <v>3259</v>
      </c>
      <c r="D1590" s="15" t="s">
        <v>2579</v>
      </c>
      <c r="E1590" s="15">
        <v>0.21</v>
      </c>
      <c r="F1590" s="131">
        <v>29038.398864426435</v>
      </c>
      <c r="G1590" s="17" t="e">
        <f t="shared" si="24"/>
        <v>#VALUE!</v>
      </c>
      <c r="H1590" s="141">
        <v>50</v>
      </c>
      <c r="I1590" s="141">
        <v>0</v>
      </c>
      <c r="J1590" s="149">
        <v>5</v>
      </c>
      <c r="K1590" s="150">
        <v>20</v>
      </c>
    </row>
    <row r="1591" spans="1:11" ht="30" customHeight="1">
      <c r="A1591" s="30">
        <v>75869</v>
      </c>
      <c r="B1591" s="16" t="s">
        <v>406</v>
      </c>
      <c r="C1591" s="15" t="s">
        <v>1882</v>
      </c>
      <c r="D1591" s="15" t="s">
        <v>1810</v>
      </c>
      <c r="E1591" s="15">
        <v>0.21</v>
      </c>
      <c r="F1591" s="131">
        <v>14284.507000000001</v>
      </c>
      <c r="G1591" s="17" t="e">
        <f t="shared" si="24"/>
        <v>#VALUE!</v>
      </c>
      <c r="H1591" s="141">
        <v>100</v>
      </c>
      <c r="I1591" s="141">
        <v>0</v>
      </c>
      <c r="J1591" s="149">
        <v>10</v>
      </c>
      <c r="K1591" s="150">
        <v>60</v>
      </c>
    </row>
    <row r="1592" spans="1:11" ht="30" customHeight="1">
      <c r="A1592" s="30">
        <v>75870</v>
      </c>
      <c r="B1592" s="16" t="s">
        <v>406</v>
      </c>
      <c r="C1592" s="15" t="s">
        <v>1879</v>
      </c>
      <c r="D1592" s="15" t="s">
        <v>1811</v>
      </c>
      <c r="E1592" s="15">
        <v>0.21</v>
      </c>
      <c r="F1592" s="131">
        <v>15265.886800000002</v>
      </c>
      <c r="G1592" s="17" t="e">
        <f t="shared" si="24"/>
        <v>#VALUE!</v>
      </c>
      <c r="H1592" s="141">
        <v>105</v>
      </c>
      <c r="I1592" s="141">
        <v>0</v>
      </c>
      <c r="J1592" s="149">
        <v>10</v>
      </c>
      <c r="K1592" s="150">
        <v>60</v>
      </c>
    </row>
    <row r="1593" spans="1:11" ht="30" customHeight="1">
      <c r="A1593" s="30">
        <v>75700</v>
      </c>
      <c r="B1593" s="16" t="s">
        <v>406</v>
      </c>
      <c r="C1593" s="15" t="s">
        <v>1884</v>
      </c>
      <c r="D1593" s="15" t="s">
        <v>97</v>
      </c>
      <c r="E1593" s="15">
        <v>0.21</v>
      </c>
      <c r="F1593" s="131">
        <v>15265.886800000002</v>
      </c>
      <c r="G1593" s="17" t="e">
        <f t="shared" si="24"/>
        <v>#VALUE!</v>
      </c>
      <c r="H1593" s="141">
        <v>676</v>
      </c>
      <c r="I1593" s="141">
        <v>0</v>
      </c>
      <c r="J1593" s="149">
        <v>10</v>
      </c>
      <c r="K1593" s="150">
        <v>50</v>
      </c>
    </row>
    <row r="1594" spans="1:11" ht="30" customHeight="1">
      <c r="A1594" s="30">
        <v>75701</v>
      </c>
      <c r="B1594" s="16" t="s">
        <v>406</v>
      </c>
      <c r="C1594" s="15" t="s">
        <v>1884</v>
      </c>
      <c r="D1594" s="15" t="s">
        <v>146</v>
      </c>
      <c r="E1594" s="15">
        <v>0.21</v>
      </c>
      <c r="F1594" s="131">
        <v>19300.437600000001</v>
      </c>
      <c r="G1594" s="17" t="e">
        <f t="shared" si="24"/>
        <v>#VALUE!</v>
      </c>
      <c r="H1594" s="141">
        <v>375</v>
      </c>
      <c r="I1594" s="141">
        <v>150</v>
      </c>
      <c r="J1594" s="149">
        <v>10</v>
      </c>
      <c r="K1594" s="150">
        <v>50</v>
      </c>
    </row>
    <row r="1595" spans="1:11" ht="30" customHeight="1">
      <c r="A1595" s="30">
        <v>75702</v>
      </c>
      <c r="B1595" s="16" t="s">
        <v>406</v>
      </c>
      <c r="C1595" s="15" t="s">
        <v>524</v>
      </c>
      <c r="D1595" s="15" t="s">
        <v>525</v>
      </c>
      <c r="E1595" s="15">
        <v>0.21</v>
      </c>
      <c r="F1595" s="131">
        <v>18864.268800000002</v>
      </c>
      <c r="G1595" s="17" t="e">
        <f t="shared" si="24"/>
        <v>#VALUE!</v>
      </c>
      <c r="H1595" s="141">
        <v>225</v>
      </c>
      <c r="I1595" s="141">
        <v>0</v>
      </c>
      <c r="J1595" s="149">
        <v>10</v>
      </c>
      <c r="K1595" s="150">
        <v>50</v>
      </c>
    </row>
    <row r="1596" spans="1:11" ht="30" customHeight="1">
      <c r="A1596" s="30">
        <v>75703</v>
      </c>
      <c r="B1596" s="16" t="s">
        <v>406</v>
      </c>
      <c r="C1596" s="15" t="s">
        <v>524</v>
      </c>
      <c r="D1596" s="15" t="s">
        <v>526</v>
      </c>
      <c r="E1596" s="15">
        <v>0.21</v>
      </c>
      <c r="F1596" s="131">
        <v>25842.959000000003</v>
      </c>
      <c r="G1596" s="17" t="e">
        <f t="shared" si="24"/>
        <v>#VALUE!</v>
      </c>
      <c r="H1596" s="141">
        <v>116</v>
      </c>
      <c r="I1596" s="141">
        <v>0</v>
      </c>
      <c r="J1596" s="149">
        <v>10</v>
      </c>
      <c r="K1596" s="150">
        <v>50</v>
      </c>
    </row>
    <row r="1597" spans="1:11" ht="30" customHeight="1">
      <c r="A1597" s="30">
        <v>75871</v>
      </c>
      <c r="B1597" s="16" t="s">
        <v>406</v>
      </c>
      <c r="C1597" s="15" t="s">
        <v>527</v>
      </c>
      <c r="D1597" s="15" t="s">
        <v>528</v>
      </c>
      <c r="E1597" s="15">
        <v>0.21</v>
      </c>
      <c r="F1597" s="131">
        <v>15272.78295915108</v>
      </c>
      <c r="G1597" s="17" t="e">
        <f t="shared" si="24"/>
        <v>#VALUE!</v>
      </c>
      <c r="H1597" s="141">
        <v>874</v>
      </c>
      <c r="I1597" s="141">
        <v>0</v>
      </c>
      <c r="J1597" s="149">
        <v>10</v>
      </c>
      <c r="K1597" s="150">
        <v>80</v>
      </c>
    </row>
    <row r="1598" spans="1:11" ht="30" customHeight="1">
      <c r="A1598" s="30">
        <v>75872</v>
      </c>
      <c r="B1598" s="16" t="s">
        <v>406</v>
      </c>
      <c r="C1598" s="15" t="s">
        <v>527</v>
      </c>
      <c r="D1598" s="15" t="s">
        <v>529</v>
      </c>
      <c r="E1598" s="15">
        <v>0.21</v>
      </c>
      <c r="F1598" s="131">
        <v>22909.174438726637</v>
      </c>
      <c r="G1598" s="17" t="e">
        <f t="shared" si="24"/>
        <v>#VALUE!</v>
      </c>
      <c r="H1598" s="141">
        <v>1751</v>
      </c>
      <c r="I1598" s="141">
        <v>0</v>
      </c>
      <c r="J1598" s="149">
        <v>10</v>
      </c>
      <c r="K1598" s="150">
        <v>80</v>
      </c>
    </row>
    <row r="1599" spans="1:11" ht="30" customHeight="1">
      <c r="A1599" s="30">
        <v>75873</v>
      </c>
      <c r="B1599" s="16" t="s">
        <v>406</v>
      </c>
      <c r="C1599" s="15" t="s">
        <v>527</v>
      </c>
      <c r="D1599" s="15" t="s">
        <v>530</v>
      </c>
      <c r="E1599" s="15">
        <v>0.21</v>
      </c>
      <c r="F1599" s="131">
        <v>45375.659516318447</v>
      </c>
      <c r="G1599" s="17" t="e">
        <f t="shared" si="24"/>
        <v>#VALUE!</v>
      </c>
      <c r="H1599" s="141">
        <v>2442</v>
      </c>
      <c r="I1599" s="141">
        <v>1000</v>
      </c>
      <c r="J1599" s="149">
        <v>10</v>
      </c>
      <c r="K1599" s="150">
        <v>40</v>
      </c>
    </row>
    <row r="1600" spans="1:11" ht="30" customHeight="1">
      <c r="A1600" s="30">
        <v>75878</v>
      </c>
      <c r="B1600" s="16" t="s">
        <v>406</v>
      </c>
      <c r="C1600" s="15" t="s">
        <v>531</v>
      </c>
      <c r="D1600" s="15" t="s">
        <v>532</v>
      </c>
      <c r="E1600" s="15">
        <v>0.21</v>
      </c>
      <c r="F1600" s="131">
        <v>67610.738791498909</v>
      </c>
      <c r="G1600" s="17" t="e">
        <f t="shared" si="24"/>
        <v>#VALUE!</v>
      </c>
      <c r="H1600" s="141">
        <v>293</v>
      </c>
      <c r="I1600" s="141">
        <v>0</v>
      </c>
      <c r="J1600" s="149">
        <v>5</v>
      </c>
      <c r="K1600" s="150">
        <v>20</v>
      </c>
    </row>
    <row r="1601" spans="1:11" ht="30" customHeight="1">
      <c r="A1601" s="30">
        <v>75875</v>
      </c>
      <c r="B1601" s="16" t="s">
        <v>406</v>
      </c>
      <c r="C1601" s="15" t="s">
        <v>527</v>
      </c>
      <c r="D1601" s="15" t="s">
        <v>552</v>
      </c>
      <c r="E1601" s="15">
        <v>0.21</v>
      </c>
      <c r="F1601" s="131">
        <v>13884.348144682805</v>
      </c>
      <c r="G1601" s="17" t="e">
        <f t="shared" si="24"/>
        <v>#VALUE!</v>
      </c>
      <c r="H1601" s="141">
        <v>286</v>
      </c>
      <c r="I1601" s="141">
        <v>0</v>
      </c>
      <c r="J1601" s="149">
        <v>10</v>
      </c>
      <c r="K1601" s="150">
        <v>80</v>
      </c>
    </row>
    <row r="1602" spans="1:11" ht="30" customHeight="1">
      <c r="A1602" s="30">
        <v>75877</v>
      </c>
      <c r="B1602" s="16" t="s">
        <v>406</v>
      </c>
      <c r="C1602" s="15" t="s">
        <v>527</v>
      </c>
      <c r="D1602" s="15" t="s">
        <v>553</v>
      </c>
      <c r="E1602" s="15">
        <v>0.21</v>
      </c>
      <c r="F1602" s="131">
        <v>19015.520285109058</v>
      </c>
      <c r="G1602" s="17" t="e">
        <f t="shared" si="24"/>
        <v>#VALUE!</v>
      </c>
      <c r="H1602" s="141">
        <v>201</v>
      </c>
      <c r="I1602" s="141">
        <v>0</v>
      </c>
      <c r="J1602" s="149">
        <v>10</v>
      </c>
      <c r="K1602" s="150">
        <v>80</v>
      </c>
    </row>
    <row r="1603" spans="1:11" ht="30" customHeight="1">
      <c r="A1603" s="30">
        <v>75879</v>
      </c>
      <c r="B1603" s="16" t="s">
        <v>406</v>
      </c>
      <c r="C1603" s="15" t="s">
        <v>554</v>
      </c>
      <c r="D1603" s="15" t="s">
        <v>555</v>
      </c>
      <c r="E1603" s="15">
        <v>0.21</v>
      </c>
      <c r="F1603" s="131">
        <v>133309.86443264288</v>
      </c>
      <c r="G1603" s="17" t="e">
        <f t="shared" si="24"/>
        <v>#VALUE!</v>
      </c>
      <c r="H1603" s="141">
        <v>73</v>
      </c>
      <c r="I1603" s="141">
        <v>40</v>
      </c>
      <c r="J1603" s="149">
        <v>5</v>
      </c>
      <c r="K1603" s="150">
        <v>20</v>
      </c>
    </row>
    <row r="1604" spans="1:11" ht="30" customHeight="1">
      <c r="A1604" s="31">
        <v>76840</v>
      </c>
      <c r="B1604" s="16" t="s">
        <v>406</v>
      </c>
      <c r="C1604" s="15" t="s">
        <v>3003</v>
      </c>
      <c r="D1604" s="15" t="s">
        <v>3004</v>
      </c>
      <c r="E1604" s="15">
        <v>0.21</v>
      </c>
      <c r="F1604" s="131">
        <v>19370.917000000001</v>
      </c>
      <c r="G1604" s="17" t="e">
        <f t="shared" si="24"/>
        <v>#VALUE!</v>
      </c>
      <c r="H1604" s="141">
        <v>91</v>
      </c>
      <c r="I1604" s="141">
        <v>0</v>
      </c>
      <c r="J1604" s="149">
        <v>20</v>
      </c>
      <c r="K1604" s="150">
        <v>80</v>
      </c>
    </row>
    <row r="1605" spans="1:11" ht="30" customHeight="1">
      <c r="A1605" s="31">
        <v>76848</v>
      </c>
      <c r="B1605" s="16" t="s">
        <v>406</v>
      </c>
      <c r="C1605" s="15" t="s">
        <v>2765</v>
      </c>
      <c r="D1605" s="15" t="s">
        <v>2766</v>
      </c>
      <c r="E1605" s="15">
        <v>0.21</v>
      </c>
      <c r="F1605" s="131">
        <v>5170.1164134273749</v>
      </c>
      <c r="G1605" s="17" t="e">
        <f t="shared" si="24"/>
        <v>#VALUE!</v>
      </c>
      <c r="H1605" s="141">
        <v>281</v>
      </c>
      <c r="I1605" s="141">
        <v>0</v>
      </c>
      <c r="J1605" s="149">
        <v>20</v>
      </c>
      <c r="K1605" s="150">
        <v>160</v>
      </c>
    </row>
    <row r="1606" spans="1:11" ht="30" customHeight="1">
      <c r="A1606" s="31">
        <v>76845</v>
      </c>
      <c r="B1606" s="16" t="s">
        <v>406</v>
      </c>
      <c r="C1606" s="15" t="s">
        <v>3260</v>
      </c>
      <c r="D1606" s="15" t="s">
        <v>303</v>
      </c>
      <c r="E1606" s="15">
        <v>0.21</v>
      </c>
      <c r="F1606" s="131">
        <v>7174.8554308788071</v>
      </c>
      <c r="G1606" s="17" t="e">
        <f t="shared" si="24"/>
        <v>#VALUE!</v>
      </c>
      <c r="H1606" s="141">
        <v>180</v>
      </c>
      <c r="I1606" s="141">
        <v>0</v>
      </c>
      <c r="J1606" s="149">
        <v>20</v>
      </c>
      <c r="K1606" s="150">
        <v>160</v>
      </c>
    </row>
    <row r="1607" spans="1:11" ht="30" customHeight="1">
      <c r="A1607" s="31">
        <v>76847</v>
      </c>
      <c r="B1607" s="16" t="s">
        <v>406</v>
      </c>
      <c r="C1607" s="15" t="s">
        <v>2767</v>
      </c>
      <c r="D1607" s="15" t="s">
        <v>2768</v>
      </c>
      <c r="E1607" s="15">
        <v>0.21</v>
      </c>
      <c r="F1607" s="131">
        <v>6436.2673718177548</v>
      </c>
      <c r="G1607" s="17" t="e">
        <f t="shared" si="24"/>
        <v>#VALUE!</v>
      </c>
      <c r="H1607" s="141">
        <v>274</v>
      </c>
      <c r="I1607" s="141">
        <v>0</v>
      </c>
      <c r="J1607" s="149">
        <v>20</v>
      </c>
      <c r="K1607" s="150">
        <v>160</v>
      </c>
    </row>
    <row r="1608" spans="1:11" ht="30" customHeight="1">
      <c r="A1608" s="31">
        <v>76850</v>
      </c>
      <c r="B1608" s="16" t="s">
        <v>406</v>
      </c>
      <c r="C1608" s="15" t="s">
        <v>2769</v>
      </c>
      <c r="D1608" s="15" t="s">
        <v>2770</v>
      </c>
      <c r="E1608" s="15">
        <v>0.21</v>
      </c>
      <c r="F1608" s="131">
        <v>6963.8302711470778</v>
      </c>
      <c r="G1608" s="17" t="e">
        <f t="shared" si="24"/>
        <v>#VALUE!</v>
      </c>
      <c r="H1608" s="141">
        <v>454</v>
      </c>
      <c r="I1608" s="141">
        <v>0</v>
      </c>
      <c r="J1608" s="149">
        <v>20</v>
      </c>
      <c r="K1608" s="150">
        <v>160</v>
      </c>
    </row>
    <row r="1609" spans="1:11" ht="30" customHeight="1">
      <c r="A1609" s="31">
        <v>76852</v>
      </c>
      <c r="B1609" s="16" t="s">
        <v>406</v>
      </c>
      <c r="C1609" s="15" t="s">
        <v>2771</v>
      </c>
      <c r="D1609" s="15" t="s">
        <v>2772</v>
      </c>
      <c r="E1609" s="15">
        <v>0.21</v>
      </c>
      <c r="F1609" s="131">
        <v>4043.0297039864563</v>
      </c>
      <c r="G1609" s="17" t="e">
        <f t="shared" si="24"/>
        <v>#VALUE!</v>
      </c>
      <c r="H1609" s="141">
        <v>1542</v>
      </c>
      <c r="I1609" s="141">
        <v>0</v>
      </c>
      <c r="J1609" s="149">
        <v>20</v>
      </c>
      <c r="K1609" s="150">
        <v>160</v>
      </c>
    </row>
    <row r="1610" spans="1:11" ht="30" customHeight="1">
      <c r="A1610" s="30">
        <v>76801</v>
      </c>
      <c r="B1610" s="16" t="s">
        <v>406</v>
      </c>
      <c r="C1610" s="15" t="s">
        <v>533</v>
      </c>
      <c r="D1610" s="15" t="s">
        <v>434</v>
      </c>
      <c r="E1610" s="15">
        <v>0.21</v>
      </c>
      <c r="F1610" s="131">
        <v>4514.3722072068977</v>
      </c>
      <c r="G1610" s="17" t="e">
        <f t="shared" si="24"/>
        <v>#VALUE!</v>
      </c>
      <c r="H1610" s="141">
        <v>1361</v>
      </c>
      <c r="I1610" s="141">
        <v>0</v>
      </c>
      <c r="J1610" s="149">
        <v>20</v>
      </c>
      <c r="K1610" s="150">
        <v>200</v>
      </c>
    </row>
    <row r="1611" spans="1:11" ht="30" customHeight="1">
      <c r="A1611" s="30">
        <v>76802</v>
      </c>
      <c r="B1611" s="16" t="s">
        <v>406</v>
      </c>
      <c r="C1611" s="15" t="s">
        <v>533</v>
      </c>
      <c r="D1611" s="15" t="s">
        <v>434</v>
      </c>
      <c r="E1611" s="15">
        <v>0.21</v>
      </c>
      <c r="F1611" s="131">
        <v>6673.4197845667204</v>
      </c>
      <c r="G1611" s="17" t="e">
        <f t="shared" si="24"/>
        <v>#VALUE!</v>
      </c>
      <c r="H1611" s="141">
        <v>506</v>
      </c>
      <c r="I1611" s="141">
        <v>0</v>
      </c>
      <c r="J1611" s="149">
        <v>20</v>
      </c>
      <c r="K1611" s="150">
        <v>200</v>
      </c>
    </row>
    <row r="1612" spans="1:11" ht="30" customHeight="1">
      <c r="A1612" s="30">
        <v>76803</v>
      </c>
      <c r="B1612" s="16" t="s">
        <v>406</v>
      </c>
      <c r="C1612" s="15" t="s">
        <v>533</v>
      </c>
      <c r="D1612" s="15" t="s">
        <v>434</v>
      </c>
      <c r="E1612" s="15">
        <v>0.21</v>
      </c>
      <c r="F1612" s="131">
        <v>6673.4197845667204</v>
      </c>
      <c r="G1612" s="17" t="e">
        <f t="shared" si="24"/>
        <v>#VALUE!</v>
      </c>
      <c r="H1612" s="141">
        <v>674</v>
      </c>
      <c r="I1612" s="141">
        <v>0</v>
      </c>
      <c r="J1612" s="149">
        <v>20</v>
      </c>
      <c r="K1612" s="150">
        <v>200</v>
      </c>
    </row>
    <row r="1613" spans="1:11" ht="30" customHeight="1">
      <c r="A1613" s="30">
        <v>76804</v>
      </c>
      <c r="B1613" s="16" t="s">
        <v>406</v>
      </c>
      <c r="C1613" s="15" t="s">
        <v>533</v>
      </c>
      <c r="D1613" s="15" t="s">
        <v>434</v>
      </c>
      <c r="E1613" s="15">
        <v>0.21</v>
      </c>
      <c r="F1613" s="131">
        <v>8734.3288356829125</v>
      </c>
      <c r="G1613" s="17" t="e">
        <f t="shared" si="24"/>
        <v>#VALUE!</v>
      </c>
      <c r="H1613" s="141">
        <v>247</v>
      </c>
      <c r="I1613" s="141">
        <v>0</v>
      </c>
      <c r="J1613" s="149">
        <v>20</v>
      </c>
      <c r="K1613" s="150">
        <v>200</v>
      </c>
    </row>
    <row r="1614" spans="1:11" ht="30" customHeight="1">
      <c r="A1614" s="30">
        <v>76805</v>
      </c>
      <c r="B1614" s="16" t="s">
        <v>406</v>
      </c>
      <c r="C1614" s="15" t="s">
        <v>533</v>
      </c>
      <c r="D1614" s="15" t="s">
        <v>434</v>
      </c>
      <c r="E1614" s="15">
        <v>0.21</v>
      </c>
      <c r="F1614" s="131">
        <v>8911.367000000002</v>
      </c>
      <c r="G1614" s="17" t="e">
        <f t="shared" si="24"/>
        <v>#VALUE!</v>
      </c>
      <c r="H1614" s="141">
        <v>634</v>
      </c>
      <c r="I1614" s="141">
        <v>0</v>
      </c>
      <c r="J1614" s="149">
        <v>20</v>
      </c>
      <c r="K1614" s="150">
        <v>200</v>
      </c>
    </row>
    <row r="1615" spans="1:11" ht="30" customHeight="1">
      <c r="A1615" s="30">
        <v>76806</v>
      </c>
      <c r="B1615" s="16" t="s">
        <v>406</v>
      </c>
      <c r="C1615" s="15" t="s">
        <v>533</v>
      </c>
      <c r="D1615" s="15" t="s">
        <v>434</v>
      </c>
      <c r="E1615" s="15">
        <v>0.21</v>
      </c>
      <c r="F1615" s="131">
        <v>8911.367000000002</v>
      </c>
      <c r="G1615" s="17" t="e">
        <f t="shared" si="24"/>
        <v>#VALUE!</v>
      </c>
      <c r="H1615" s="141">
        <v>241</v>
      </c>
      <c r="I1615" s="141">
        <v>0</v>
      </c>
      <c r="J1615" s="149">
        <v>20</v>
      </c>
      <c r="K1615" s="150">
        <v>200</v>
      </c>
    </row>
    <row r="1616" spans="1:11" ht="30" customHeight="1">
      <c r="A1616" s="30">
        <v>76811</v>
      </c>
      <c r="B1616" s="16" t="s">
        <v>406</v>
      </c>
      <c r="C1616" s="15" t="s">
        <v>533</v>
      </c>
      <c r="D1616" s="15" t="s">
        <v>433</v>
      </c>
      <c r="E1616" s="15">
        <v>0.21</v>
      </c>
      <c r="F1616" s="131">
        <v>10500.822308068226</v>
      </c>
      <c r="G1616" s="17" t="e">
        <f t="shared" si="24"/>
        <v>#VALUE!</v>
      </c>
      <c r="H1616" s="141">
        <v>1203</v>
      </c>
      <c r="I1616" s="141">
        <v>0</v>
      </c>
      <c r="J1616" s="149">
        <v>20</v>
      </c>
      <c r="K1616" s="150">
        <v>200</v>
      </c>
    </row>
    <row r="1617" spans="1:11" ht="30" customHeight="1">
      <c r="A1617" s="30">
        <v>76812</v>
      </c>
      <c r="B1617" s="16" t="s">
        <v>406</v>
      </c>
      <c r="C1617" s="15" t="s">
        <v>533</v>
      </c>
      <c r="D1617" s="15" t="s">
        <v>433</v>
      </c>
      <c r="E1617" s="15">
        <v>0.21</v>
      </c>
      <c r="F1617" s="131">
        <v>11280.212599999999</v>
      </c>
      <c r="G1617" s="17" t="e">
        <f t="shared" si="24"/>
        <v>#VALUE!</v>
      </c>
      <c r="H1617" s="141">
        <v>606</v>
      </c>
      <c r="I1617" s="141">
        <v>0</v>
      </c>
      <c r="J1617" s="149">
        <v>20</v>
      </c>
      <c r="K1617" s="150">
        <v>200</v>
      </c>
    </row>
    <row r="1618" spans="1:11" ht="30" customHeight="1">
      <c r="A1618" s="31">
        <v>76816</v>
      </c>
      <c r="B1618" s="16" t="s">
        <v>406</v>
      </c>
      <c r="C1618" s="15" t="s">
        <v>3261</v>
      </c>
      <c r="D1618" s="15" t="s">
        <v>47</v>
      </c>
      <c r="E1618" s="15">
        <v>0.21</v>
      </c>
      <c r="F1618" s="131">
        <v>6769.6009393023414</v>
      </c>
      <c r="G1618" s="17" t="e">
        <f t="shared" si="24"/>
        <v>#VALUE!</v>
      </c>
      <c r="H1618" s="141">
        <v>164</v>
      </c>
      <c r="I1618" s="141">
        <v>0</v>
      </c>
      <c r="J1618" s="149">
        <v>20</v>
      </c>
      <c r="K1618" s="150">
        <v>120</v>
      </c>
    </row>
    <row r="1619" spans="1:11" ht="30" customHeight="1">
      <c r="A1619" s="31">
        <v>76818</v>
      </c>
      <c r="B1619" s="16" t="s">
        <v>406</v>
      </c>
      <c r="C1619" s="15" t="s">
        <v>3261</v>
      </c>
      <c r="D1619" s="15" t="s">
        <v>47</v>
      </c>
      <c r="E1619" s="15">
        <v>0.21</v>
      </c>
      <c r="F1619" s="131">
        <v>8987.2288332117296</v>
      </c>
      <c r="G1619" s="17" t="e">
        <f t="shared" si="24"/>
        <v>#VALUE!</v>
      </c>
      <c r="H1619" s="141">
        <v>133</v>
      </c>
      <c r="I1619" s="141">
        <v>0</v>
      </c>
      <c r="J1619" s="149">
        <v>20</v>
      </c>
      <c r="K1619" s="150">
        <v>120</v>
      </c>
    </row>
    <row r="1620" spans="1:11" ht="30" customHeight="1">
      <c r="A1620" s="31">
        <v>76825</v>
      </c>
      <c r="B1620" s="16" t="s">
        <v>406</v>
      </c>
      <c r="C1620" s="15" t="s">
        <v>3261</v>
      </c>
      <c r="D1620" s="15" t="s">
        <v>69</v>
      </c>
      <c r="E1620" s="15">
        <v>0.21</v>
      </c>
      <c r="F1620" s="131">
        <v>12021.877530140362</v>
      </c>
      <c r="G1620" s="17" t="e">
        <f t="shared" ref="G1620:G1683" si="25">(F1620*$G$6)</f>
        <v>#VALUE!</v>
      </c>
      <c r="H1620" s="141">
        <v>178</v>
      </c>
      <c r="I1620" s="141">
        <v>0</v>
      </c>
      <c r="J1620" s="149">
        <v>16</v>
      </c>
      <c r="K1620" s="150">
        <v>128</v>
      </c>
    </row>
    <row r="1621" spans="1:11" ht="30" customHeight="1">
      <c r="A1621" s="31">
        <v>76827</v>
      </c>
      <c r="B1621" s="16" t="s">
        <v>406</v>
      </c>
      <c r="C1621" s="15" t="s">
        <v>3261</v>
      </c>
      <c r="D1621" s="15" t="s">
        <v>3062</v>
      </c>
      <c r="E1621" s="15">
        <v>0.21</v>
      </c>
      <c r="F1621" s="131">
        <v>10971.422211972762</v>
      </c>
      <c r="G1621" s="17" t="e">
        <f t="shared" si="25"/>
        <v>#VALUE!</v>
      </c>
      <c r="H1621" s="141">
        <v>102</v>
      </c>
      <c r="I1621" s="141">
        <v>0</v>
      </c>
      <c r="J1621" s="149">
        <v>16</v>
      </c>
      <c r="K1621" s="150">
        <v>128</v>
      </c>
    </row>
    <row r="1622" spans="1:11" ht="30" customHeight="1">
      <c r="A1622" s="31">
        <v>76829</v>
      </c>
      <c r="B1622" s="16" t="s">
        <v>406</v>
      </c>
      <c r="C1622" s="15" t="s">
        <v>3261</v>
      </c>
      <c r="D1622" s="15" t="s">
        <v>3062</v>
      </c>
      <c r="E1622" s="15">
        <v>0.21</v>
      </c>
      <c r="F1622" s="131">
        <v>10971.422211972762</v>
      </c>
      <c r="G1622" s="17" t="e">
        <f t="shared" si="25"/>
        <v>#VALUE!</v>
      </c>
      <c r="H1622" s="141">
        <v>89</v>
      </c>
      <c r="I1622" s="141">
        <v>0</v>
      </c>
      <c r="J1622" s="149">
        <v>16</v>
      </c>
      <c r="K1622" s="150">
        <v>128</v>
      </c>
    </row>
    <row r="1623" spans="1:11" ht="30" customHeight="1">
      <c r="A1623" s="31">
        <v>76830</v>
      </c>
      <c r="B1623" s="16" t="s">
        <v>406</v>
      </c>
      <c r="C1623" s="15" t="s">
        <v>3262</v>
      </c>
      <c r="D1623" s="15" t="s">
        <v>2584</v>
      </c>
      <c r="E1623" s="15">
        <v>0.21</v>
      </c>
      <c r="F1623" s="131">
        <v>29355.392455966146</v>
      </c>
      <c r="G1623" s="17" t="e">
        <f t="shared" si="25"/>
        <v>#VALUE!</v>
      </c>
      <c r="H1623" s="141">
        <v>251</v>
      </c>
      <c r="I1623" s="141">
        <v>0</v>
      </c>
      <c r="J1623" s="149">
        <v>12</v>
      </c>
      <c r="K1623" s="150">
        <v>48</v>
      </c>
    </row>
    <row r="1624" spans="1:11" ht="30" customHeight="1">
      <c r="A1624" s="31">
        <v>76831</v>
      </c>
      <c r="B1624" s="16" t="s">
        <v>406</v>
      </c>
      <c r="C1624" s="15" t="s">
        <v>3263</v>
      </c>
      <c r="D1624" s="15" t="s">
        <v>3004</v>
      </c>
      <c r="E1624" s="15">
        <v>0.21</v>
      </c>
      <c r="F1624" s="131">
        <v>24860.775863299976</v>
      </c>
      <c r="G1624" s="17" t="e">
        <f t="shared" si="25"/>
        <v>#VALUE!</v>
      </c>
      <c r="H1624" s="141">
        <v>160</v>
      </c>
      <c r="I1624" s="141">
        <v>0</v>
      </c>
      <c r="J1624" s="149">
        <v>24</v>
      </c>
      <c r="K1624" s="150">
        <v>96</v>
      </c>
    </row>
    <row r="1625" spans="1:11" ht="30" customHeight="1">
      <c r="A1625" s="31">
        <v>76832</v>
      </c>
      <c r="B1625" s="16" t="s">
        <v>406</v>
      </c>
      <c r="C1625" s="15" t="s">
        <v>3264</v>
      </c>
      <c r="D1625" s="15" t="s">
        <v>2940</v>
      </c>
      <c r="E1625" s="15">
        <v>0.21</v>
      </c>
      <c r="F1625" s="131">
        <v>69213.333741487731</v>
      </c>
      <c r="G1625" s="17" t="e">
        <f t="shared" si="25"/>
        <v>#VALUE!</v>
      </c>
      <c r="H1625" s="141">
        <v>57</v>
      </c>
      <c r="I1625" s="141">
        <v>0</v>
      </c>
      <c r="J1625" s="149">
        <v>6</v>
      </c>
      <c r="K1625" s="150">
        <v>24</v>
      </c>
    </row>
    <row r="1626" spans="1:11" ht="30" customHeight="1">
      <c r="A1626" s="30">
        <v>55126</v>
      </c>
      <c r="B1626" s="16" t="s">
        <v>833</v>
      </c>
      <c r="C1626" s="15" t="s">
        <v>4262</v>
      </c>
      <c r="D1626" s="15" t="s">
        <v>451</v>
      </c>
      <c r="E1626" s="15">
        <v>0.21</v>
      </c>
      <c r="F1626" s="131">
        <v>37945.829598487187</v>
      </c>
      <c r="G1626" s="17" t="e">
        <f t="shared" si="25"/>
        <v>#VALUE!</v>
      </c>
      <c r="H1626" s="141">
        <v>156</v>
      </c>
      <c r="I1626" s="141">
        <v>0</v>
      </c>
      <c r="J1626" s="149" t="e">
        <v>#N/A</v>
      </c>
      <c r="K1626" s="150" t="e">
        <v>#N/A</v>
      </c>
    </row>
    <row r="1627" spans="1:11" ht="30" customHeight="1">
      <c r="A1627" s="31">
        <v>10500</v>
      </c>
      <c r="B1627" s="16" t="s">
        <v>406</v>
      </c>
      <c r="C1627" s="15" t="s">
        <v>2773</v>
      </c>
      <c r="D1627" s="15" t="s">
        <v>2774</v>
      </c>
      <c r="E1627" s="15">
        <v>0.21</v>
      </c>
      <c r="F1627" s="131">
        <v>112831.85979424736</v>
      </c>
      <c r="G1627" s="17" t="e">
        <f t="shared" si="25"/>
        <v>#VALUE!</v>
      </c>
      <c r="H1627" s="141">
        <v>8</v>
      </c>
      <c r="I1627" s="141">
        <v>0</v>
      </c>
      <c r="J1627" s="149">
        <v>0</v>
      </c>
      <c r="K1627" s="150">
        <v>4</v>
      </c>
    </row>
    <row r="1628" spans="1:11" ht="30" customHeight="1">
      <c r="A1628" s="30">
        <v>42025</v>
      </c>
      <c r="B1628" s="16" t="s">
        <v>833</v>
      </c>
      <c r="C1628" s="15" t="s">
        <v>1867</v>
      </c>
      <c r="D1628" s="15" t="s">
        <v>2109</v>
      </c>
      <c r="E1628" s="15">
        <v>0.21</v>
      </c>
      <c r="F1628" s="131">
        <v>1612.4296000000002</v>
      </c>
      <c r="G1628" s="17" t="e">
        <f t="shared" si="25"/>
        <v>#VALUE!</v>
      </c>
      <c r="H1628" s="141">
        <v>8094</v>
      </c>
      <c r="I1628" s="141">
        <v>1440</v>
      </c>
      <c r="J1628" s="149">
        <v>120</v>
      </c>
      <c r="K1628" s="150">
        <v>720</v>
      </c>
    </row>
    <row r="1629" spans="1:11" ht="30" customHeight="1">
      <c r="A1629" s="31">
        <v>55117</v>
      </c>
      <c r="B1629" s="16" t="s">
        <v>2775</v>
      </c>
      <c r="C1629" s="15" t="s">
        <v>4263</v>
      </c>
      <c r="D1629" s="15" t="s">
        <v>3596</v>
      </c>
      <c r="E1629" s="15">
        <v>0.21</v>
      </c>
      <c r="F1629" s="131">
        <v>38191.100399999996</v>
      </c>
      <c r="G1629" s="17" t="e">
        <f t="shared" si="25"/>
        <v>#VALUE!</v>
      </c>
      <c r="H1629" s="141">
        <v>96</v>
      </c>
      <c r="I1629" s="141">
        <v>0</v>
      </c>
      <c r="J1629" s="149" t="e">
        <v>#N/A</v>
      </c>
      <c r="K1629" s="150" t="e">
        <v>#N/A</v>
      </c>
    </row>
    <row r="1630" spans="1:11" ht="30" customHeight="1">
      <c r="A1630" s="30">
        <v>42026</v>
      </c>
      <c r="B1630" s="16" t="s">
        <v>833</v>
      </c>
      <c r="C1630" s="15" t="s">
        <v>1867</v>
      </c>
      <c r="D1630" s="15" t="s">
        <v>2110</v>
      </c>
      <c r="E1630" s="15">
        <v>0.21</v>
      </c>
      <c r="F1630" s="131">
        <v>1612.4296000000002</v>
      </c>
      <c r="G1630" s="17" t="e">
        <f t="shared" si="25"/>
        <v>#VALUE!</v>
      </c>
      <c r="H1630" s="141">
        <v>8335</v>
      </c>
      <c r="I1630" s="141">
        <v>0</v>
      </c>
      <c r="J1630" s="149">
        <v>120</v>
      </c>
      <c r="K1630" s="150">
        <v>720</v>
      </c>
    </row>
    <row r="1631" spans="1:11" ht="30" customHeight="1">
      <c r="A1631" s="30">
        <v>55127</v>
      </c>
      <c r="B1631" s="16" t="s">
        <v>833</v>
      </c>
      <c r="C1631" s="15" t="s">
        <v>4264</v>
      </c>
      <c r="D1631" s="15" t="s">
        <v>834</v>
      </c>
      <c r="E1631" s="15">
        <v>0.21</v>
      </c>
      <c r="F1631" s="131">
        <v>53102.798800000004</v>
      </c>
      <c r="G1631" s="17" t="e">
        <f t="shared" si="25"/>
        <v>#VALUE!</v>
      </c>
      <c r="H1631" s="141">
        <v>148</v>
      </c>
      <c r="I1631" s="141">
        <v>0</v>
      </c>
      <c r="J1631" s="149" t="e">
        <v>#N/A</v>
      </c>
      <c r="K1631" s="150" t="e">
        <v>#N/A</v>
      </c>
    </row>
    <row r="1632" spans="1:11" ht="30" customHeight="1">
      <c r="A1632" s="31">
        <v>55118</v>
      </c>
      <c r="B1632" s="16" t="s">
        <v>2775</v>
      </c>
      <c r="C1632" s="15" t="s">
        <v>4263</v>
      </c>
      <c r="D1632" s="15" t="s">
        <v>3597</v>
      </c>
      <c r="E1632" s="15">
        <v>0.21</v>
      </c>
      <c r="F1632" s="131">
        <v>53102.798800000004</v>
      </c>
      <c r="G1632" s="17" t="e">
        <f t="shared" si="25"/>
        <v>#VALUE!</v>
      </c>
      <c r="H1632" s="141">
        <v>83</v>
      </c>
      <c r="I1632" s="141">
        <v>0</v>
      </c>
      <c r="J1632" s="149" t="e">
        <v>#N/A</v>
      </c>
      <c r="K1632" s="150" t="e">
        <v>#N/A</v>
      </c>
    </row>
    <row r="1633" spans="1:11" ht="30" customHeight="1">
      <c r="A1633" s="30">
        <v>55128</v>
      </c>
      <c r="B1633" s="16" t="s">
        <v>833</v>
      </c>
      <c r="C1633" s="15" t="s">
        <v>4265</v>
      </c>
      <c r="D1633" s="15" t="s">
        <v>835</v>
      </c>
      <c r="E1633" s="15">
        <v>0.21</v>
      </c>
      <c r="F1633" s="131">
        <v>60218.381754120957</v>
      </c>
      <c r="G1633" s="17" t="e">
        <f t="shared" si="25"/>
        <v>#VALUE!</v>
      </c>
      <c r="H1633" s="141">
        <v>69</v>
      </c>
      <c r="I1633" s="141">
        <v>0</v>
      </c>
      <c r="J1633" s="149" t="e">
        <v>#N/A</v>
      </c>
      <c r="K1633" s="150" t="e">
        <v>#N/A</v>
      </c>
    </row>
    <row r="1634" spans="1:11" ht="30" customHeight="1">
      <c r="A1634" s="30">
        <v>55129</v>
      </c>
      <c r="B1634" s="16" t="s">
        <v>833</v>
      </c>
      <c r="C1634" s="15" t="s">
        <v>4266</v>
      </c>
      <c r="D1634" s="15" t="s">
        <v>836</v>
      </c>
      <c r="E1634" s="15">
        <v>0.21</v>
      </c>
      <c r="F1634" s="131">
        <v>67275.939433066625</v>
      </c>
      <c r="G1634" s="17" t="e">
        <f t="shared" si="25"/>
        <v>#VALUE!</v>
      </c>
      <c r="H1634" s="141">
        <v>103</v>
      </c>
      <c r="I1634" s="141">
        <v>0</v>
      </c>
      <c r="J1634" s="149" t="e">
        <v>#N/A</v>
      </c>
      <c r="K1634" s="150" t="e">
        <v>#N/A</v>
      </c>
    </row>
    <row r="1635" spans="1:11" ht="30" customHeight="1">
      <c r="A1635" s="31">
        <v>55103</v>
      </c>
      <c r="B1635" s="16" t="s">
        <v>2775</v>
      </c>
      <c r="C1635" s="15" t="s">
        <v>4267</v>
      </c>
      <c r="D1635" s="15" t="s">
        <v>132</v>
      </c>
      <c r="E1635" s="15">
        <v>0.21</v>
      </c>
      <c r="F1635" s="131">
        <v>13530.488269081039</v>
      </c>
      <c r="G1635" s="17" t="e">
        <f t="shared" si="25"/>
        <v>#VALUE!</v>
      </c>
      <c r="H1635" s="141">
        <v>406</v>
      </c>
      <c r="I1635" s="141">
        <v>0</v>
      </c>
      <c r="J1635" s="149">
        <v>12</v>
      </c>
      <c r="K1635" s="150">
        <v>144</v>
      </c>
    </row>
    <row r="1636" spans="1:11" ht="30" customHeight="1">
      <c r="A1636" s="31">
        <v>55104</v>
      </c>
      <c r="B1636" s="16" t="s">
        <v>2775</v>
      </c>
      <c r="C1636" s="15" t="s">
        <v>4267</v>
      </c>
      <c r="D1636" s="15" t="s">
        <v>837</v>
      </c>
      <c r="E1636" s="15">
        <v>0.21</v>
      </c>
      <c r="F1636" s="131">
        <v>18006.740027273259</v>
      </c>
      <c r="G1636" s="17" t="e">
        <f t="shared" si="25"/>
        <v>#VALUE!</v>
      </c>
      <c r="H1636" s="141">
        <v>313</v>
      </c>
      <c r="I1636" s="141">
        <v>0</v>
      </c>
      <c r="J1636" s="149">
        <v>6</v>
      </c>
      <c r="K1636" s="150">
        <v>96</v>
      </c>
    </row>
    <row r="1637" spans="1:11" ht="30" customHeight="1">
      <c r="A1637" s="31">
        <v>55105</v>
      </c>
      <c r="B1637" s="16" t="s">
        <v>2775</v>
      </c>
      <c r="C1637" s="15" t="s">
        <v>4267</v>
      </c>
      <c r="D1637" s="15" t="s">
        <v>438</v>
      </c>
      <c r="E1637" s="15">
        <v>0.21</v>
      </c>
      <c r="F1637" s="131">
        <v>26755.777554648972</v>
      </c>
      <c r="G1637" s="17" t="e">
        <f t="shared" si="25"/>
        <v>#VALUE!</v>
      </c>
      <c r="H1637" s="141">
        <v>213</v>
      </c>
      <c r="I1637" s="141">
        <v>0</v>
      </c>
      <c r="J1637" s="149">
        <v>6</v>
      </c>
      <c r="K1637" s="150">
        <v>72</v>
      </c>
    </row>
    <row r="1638" spans="1:11" ht="30" customHeight="1">
      <c r="A1638" s="31">
        <v>55106</v>
      </c>
      <c r="B1638" s="16" t="s">
        <v>2775</v>
      </c>
      <c r="C1638" s="15" t="s">
        <v>4267</v>
      </c>
      <c r="D1638" s="15" t="s">
        <v>451</v>
      </c>
      <c r="E1638" s="15">
        <v>0.21</v>
      </c>
      <c r="F1638" s="131">
        <v>36725.611016077113</v>
      </c>
      <c r="G1638" s="17" t="e">
        <f t="shared" si="25"/>
        <v>#VALUE!</v>
      </c>
      <c r="H1638" s="141">
        <v>176</v>
      </c>
      <c r="I1638" s="141">
        <v>0</v>
      </c>
      <c r="J1638" s="149">
        <v>6</v>
      </c>
      <c r="K1638" s="150">
        <v>48</v>
      </c>
    </row>
    <row r="1639" spans="1:11" ht="30" customHeight="1">
      <c r="A1639" s="30">
        <v>55111</v>
      </c>
      <c r="B1639" s="16" t="s">
        <v>833</v>
      </c>
      <c r="C1639" s="15" t="s">
        <v>4267</v>
      </c>
      <c r="D1639" s="15" t="s">
        <v>125</v>
      </c>
      <c r="E1639" s="15">
        <v>0.21</v>
      </c>
      <c r="F1639" s="131">
        <v>8045.8789709424873</v>
      </c>
      <c r="G1639" s="17" t="e">
        <f t="shared" si="25"/>
        <v>#VALUE!</v>
      </c>
      <c r="H1639" s="141">
        <v>747</v>
      </c>
      <c r="I1639" s="141">
        <v>0</v>
      </c>
      <c r="J1639" s="149">
        <v>12</v>
      </c>
      <c r="K1639" s="150">
        <v>192</v>
      </c>
    </row>
    <row r="1640" spans="1:11" ht="30" customHeight="1">
      <c r="A1640" s="30">
        <v>55113</v>
      </c>
      <c r="B1640" s="16" t="s">
        <v>833</v>
      </c>
      <c r="C1640" s="15" t="s">
        <v>4267</v>
      </c>
      <c r="D1640" s="15" t="s">
        <v>132</v>
      </c>
      <c r="E1640" s="15">
        <v>0.21</v>
      </c>
      <c r="F1640" s="131">
        <v>15769.922783047277</v>
      </c>
      <c r="G1640" s="17" t="e">
        <f t="shared" si="25"/>
        <v>#VALUE!</v>
      </c>
      <c r="H1640" s="141">
        <v>459</v>
      </c>
      <c r="I1640" s="141">
        <v>0</v>
      </c>
      <c r="J1640" s="149">
        <v>12</v>
      </c>
      <c r="K1640" s="150">
        <v>120</v>
      </c>
    </row>
    <row r="1641" spans="1:11" ht="30" customHeight="1">
      <c r="A1641" s="30">
        <v>55114</v>
      </c>
      <c r="B1641" s="16" t="s">
        <v>833</v>
      </c>
      <c r="C1641" s="15" t="s">
        <v>4267</v>
      </c>
      <c r="D1641" s="15" t="s">
        <v>837</v>
      </c>
      <c r="E1641" s="15">
        <v>0.21</v>
      </c>
      <c r="F1641" s="131">
        <v>21777.512414684326</v>
      </c>
      <c r="G1641" s="17" t="e">
        <f t="shared" si="25"/>
        <v>#VALUE!</v>
      </c>
      <c r="H1641" s="141">
        <v>1250</v>
      </c>
      <c r="I1641" s="141">
        <v>0</v>
      </c>
      <c r="J1641" s="149">
        <v>6</v>
      </c>
      <c r="K1641" s="150">
        <v>72</v>
      </c>
    </row>
    <row r="1642" spans="1:11" ht="30" customHeight="1">
      <c r="A1642" s="30">
        <v>55115</v>
      </c>
      <c r="B1642" s="16" t="s">
        <v>833</v>
      </c>
      <c r="C1642" s="15" t="s">
        <v>4267</v>
      </c>
      <c r="D1642" s="15" t="s">
        <v>438</v>
      </c>
      <c r="E1642" s="15">
        <v>0.21</v>
      </c>
      <c r="F1642" s="131">
        <v>36689.208107497747</v>
      </c>
      <c r="G1642" s="17" t="e">
        <f t="shared" si="25"/>
        <v>#VALUE!</v>
      </c>
      <c r="H1642" s="141">
        <v>619</v>
      </c>
      <c r="I1642" s="141">
        <v>0</v>
      </c>
      <c r="J1642" s="149">
        <v>6</v>
      </c>
      <c r="K1642" s="150">
        <v>48</v>
      </c>
    </row>
    <row r="1643" spans="1:11" ht="30" customHeight="1">
      <c r="A1643" s="30">
        <v>55116</v>
      </c>
      <c r="B1643" s="16" t="s">
        <v>833</v>
      </c>
      <c r="C1643" s="15" t="s">
        <v>4267</v>
      </c>
      <c r="D1643" s="15" t="s">
        <v>451</v>
      </c>
      <c r="E1643" s="15">
        <v>0.21</v>
      </c>
      <c r="F1643" s="131">
        <v>48382.552211934162</v>
      </c>
      <c r="G1643" s="17" t="e">
        <f t="shared" si="25"/>
        <v>#VALUE!</v>
      </c>
      <c r="H1643" s="141">
        <v>729</v>
      </c>
      <c r="I1643" s="141">
        <v>0</v>
      </c>
      <c r="J1643" s="149">
        <v>6</v>
      </c>
      <c r="K1643" s="150">
        <v>36</v>
      </c>
    </row>
    <row r="1644" spans="1:11" ht="30" customHeight="1">
      <c r="A1644" s="31">
        <v>55108</v>
      </c>
      <c r="B1644" s="16" t="s">
        <v>2775</v>
      </c>
      <c r="C1644" s="15" t="s">
        <v>4268</v>
      </c>
      <c r="D1644" s="15" t="s">
        <v>132</v>
      </c>
      <c r="E1644" s="15">
        <v>0.21</v>
      </c>
      <c r="F1644" s="131">
        <v>13946.190216300312</v>
      </c>
      <c r="G1644" s="17" t="e">
        <f t="shared" si="25"/>
        <v>#VALUE!</v>
      </c>
      <c r="H1644" s="141">
        <v>321</v>
      </c>
      <c r="I1644" s="141">
        <v>0</v>
      </c>
      <c r="J1644" s="149">
        <v>12</v>
      </c>
      <c r="K1644" s="150">
        <v>144</v>
      </c>
    </row>
    <row r="1645" spans="1:11" ht="30" customHeight="1">
      <c r="A1645" s="30">
        <v>55109</v>
      </c>
      <c r="B1645" s="16" t="s">
        <v>833</v>
      </c>
      <c r="C1645" s="15" t="s">
        <v>4267</v>
      </c>
      <c r="D1645" s="15" t="s">
        <v>837</v>
      </c>
      <c r="E1645" s="15">
        <v>0.21</v>
      </c>
      <c r="F1645" s="131">
        <v>19095.552757703499</v>
      </c>
      <c r="G1645" s="17" t="e">
        <f t="shared" si="25"/>
        <v>#VALUE!</v>
      </c>
      <c r="H1645" s="141">
        <v>358</v>
      </c>
      <c r="I1645" s="141">
        <v>0</v>
      </c>
      <c r="J1645" s="149">
        <v>6</v>
      </c>
      <c r="K1645" s="150">
        <v>72</v>
      </c>
    </row>
    <row r="1646" spans="1:11" ht="30" customHeight="1">
      <c r="A1646" s="31">
        <v>55122</v>
      </c>
      <c r="B1646" s="16" t="s">
        <v>2775</v>
      </c>
      <c r="C1646" s="15" t="s">
        <v>4269</v>
      </c>
      <c r="D1646" s="15" t="s">
        <v>125</v>
      </c>
      <c r="E1646" s="15">
        <v>0.21</v>
      </c>
      <c r="F1646" s="131">
        <v>14697.138920254945</v>
      </c>
      <c r="G1646" s="17" t="e">
        <f t="shared" si="25"/>
        <v>#VALUE!</v>
      </c>
      <c r="H1646" s="141">
        <v>319</v>
      </c>
      <c r="I1646" s="141">
        <v>0</v>
      </c>
      <c r="J1646" s="149">
        <v>12</v>
      </c>
      <c r="K1646" s="150">
        <v>144</v>
      </c>
    </row>
    <row r="1647" spans="1:11" ht="30" customHeight="1">
      <c r="A1647" s="30">
        <v>55123</v>
      </c>
      <c r="B1647" s="16" t="s">
        <v>833</v>
      </c>
      <c r="C1647" s="15" t="s">
        <v>4270</v>
      </c>
      <c r="D1647" s="15" t="s">
        <v>2119</v>
      </c>
      <c r="E1647" s="15">
        <v>0.21</v>
      </c>
      <c r="F1647" s="131">
        <v>26175.926252132889</v>
      </c>
      <c r="G1647" s="17" t="e">
        <f t="shared" si="25"/>
        <v>#VALUE!</v>
      </c>
      <c r="H1647" s="141">
        <v>134</v>
      </c>
      <c r="I1647" s="141">
        <v>0</v>
      </c>
      <c r="J1647" s="149">
        <v>6</v>
      </c>
      <c r="K1647" s="150">
        <v>72</v>
      </c>
    </row>
    <row r="1648" spans="1:11" ht="30" customHeight="1">
      <c r="A1648" s="30">
        <v>55133</v>
      </c>
      <c r="B1648" s="16" t="s">
        <v>833</v>
      </c>
      <c r="C1648" s="15" t="s">
        <v>1977</v>
      </c>
      <c r="D1648" s="15" t="s">
        <v>2120</v>
      </c>
      <c r="E1648" s="15">
        <v>0.21</v>
      </c>
      <c r="F1648" s="131">
        <v>5042.0841551239582</v>
      </c>
      <c r="G1648" s="17" t="e">
        <f t="shared" si="25"/>
        <v>#VALUE!</v>
      </c>
      <c r="H1648" s="141">
        <v>173</v>
      </c>
      <c r="I1648" s="141">
        <v>0</v>
      </c>
      <c r="J1648" s="149">
        <v>6</v>
      </c>
      <c r="K1648" s="150">
        <v>120</v>
      </c>
    </row>
    <row r="1649" spans="1:11" ht="30" customHeight="1">
      <c r="A1649" s="30">
        <v>55134</v>
      </c>
      <c r="B1649" s="16" t="s">
        <v>833</v>
      </c>
      <c r="C1649" s="15" t="s">
        <v>1977</v>
      </c>
      <c r="D1649" s="15" t="s">
        <v>2121</v>
      </c>
      <c r="E1649" s="15">
        <v>0.21</v>
      </c>
      <c r="F1649" s="131">
        <v>6865.8167218709232</v>
      </c>
      <c r="G1649" s="17" t="e">
        <f t="shared" si="25"/>
        <v>#VALUE!</v>
      </c>
      <c r="H1649" s="141">
        <v>1271</v>
      </c>
      <c r="I1649" s="141">
        <v>0</v>
      </c>
      <c r="J1649" s="149">
        <v>6</v>
      </c>
      <c r="K1649" s="150">
        <v>96</v>
      </c>
    </row>
    <row r="1650" spans="1:11" ht="30" customHeight="1">
      <c r="A1650" s="30">
        <v>55135</v>
      </c>
      <c r="B1650" s="16" t="s">
        <v>833</v>
      </c>
      <c r="C1650" s="15" t="s">
        <v>1977</v>
      </c>
      <c r="D1650" s="15" t="s">
        <v>2122</v>
      </c>
      <c r="E1650" s="15">
        <v>0.21</v>
      </c>
      <c r="F1650" s="131">
        <v>9976.8899239686834</v>
      </c>
      <c r="G1650" s="17" t="e">
        <f t="shared" si="25"/>
        <v>#VALUE!</v>
      </c>
      <c r="H1650" s="141">
        <v>688</v>
      </c>
      <c r="I1650" s="141">
        <v>0</v>
      </c>
      <c r="J1650" s="149">
        <v>6</v>
      </c>
      <c r="K1650" s="150">
        <v>60</v>
      </c>
    </row>
    <row r="1651" spans="1:11" ht="30" customHeight="1">
      <c r="A1651" s="30">
        <v>55136</v>
      </c>
      <c r="B1651" s="16" t="s">
        <v>833</v>
      </c>
      <c r="C1651" s="15" t="s">
        <v>1977</v>
      </c>
      <c r="D1651" s="15" t="s">
        <v>2123</v>
      </c>
      <c r="E1651" s="15">
        <v>0.21</v>
      </c>
      <c r="F1651" s="131">
        <v>14482.582147696474</v>
      </c>
      <c r="G1651" s="17" t="e">
        <f t="shared" si="25"/>
        <v>#VALUE!</v>
      </c>
      <c r="H1651" s="141">
        <v>528</v>
      </c>
      <c r="I1651" s="141">
        <v>0</v>
      </c>
      <c r="J1651" s="149">
        <v>6</v>
      </c>
      <c r="K1651" s="150">
        <v>36</v>
      </c>
    </row>
    <row r="1652" spans="1:11" ht="30" customHeight="1">
      <c r="A1652" s="30">
        <v>55175</v>
      </c>
      <c r="B1652" s="16" t="s">
        <v>833</v>
      </c>
      <c r="C1652" s="15" t="s">
        <v>1982</v>
      </c>
      <c r="D1652" s="15" t="s">
        <v>834</v>
      </c>
      <c r="E1652" s="15">
        <v>0.21</v>
      </c>
      <c r="F1652" s="131">
        <v>17057.263418398074</v>
      </c>
      <c r="G1652" s="17" t="e">
        <f t="shared" si="25"/>
        <v>#VALUE!</v>
      </c>
      <c r="H1652" s="141">
        <v>79</v>
      </c>
      <c r="I1652" s="141">
        <v>0</v>
      </c>
      <c r="J1652" s="149">
        <v>12</v>
      </c>
      <c r="K1652" s="150">
        <v>72</v>
      </c>
    </row>
    <row r="1653" spans="1:11" ht="30" customHeight="1">
      <c r="A1653" s="30">
        <v>55170</v>
      </c>
      <c r="B1653" s="16" t="s">
        <v>833</v>
      </c>
      <c r="C1653" s="15" t="s">
        <v>1983</v>
      </c>
      <c r="D1653" s="15" t="s">
        <v>838</v>
      </c>
      <c r="E1653" s="15">
        <v>0.21</v>
      </c>
      <c r="F1653" s="131">
        <v>12883.376460546631</v>
      </c>
      <c r="G1653" s="17" t="e">
        <f t="shared" si="25"/>
        <v>#VALUE!</v>
      </c>
      <c r="H1653" s="141">
        <v>828</v>
      </c>
      <c r="I1653" s="141">
        <v>0</v>
      </c>
      <c r="J1653" s="149">
        <v>10</v>
      </c>
      <c r="K1653" s="150">
        <v>60</v>
      </c>
    </row>
    <row r="1654" spans="1:11" ht="30" customHeight="1">
      <c r="A1654" s="30">
        <v>50202</v>
      </c>
      <c r="B1654" s="16" t="s">
        <v>833</v>
      </c>
      <c r="C1654" s="15" t="s">
        <v>4271</v>
      </c>
      <c r="D1654" s="15" t="s">
        <v>2113</v>
      </c>
      <c r="E1654" s="15">
        <v>0.21</v>
      </c>
      <c r="F1654" s="131">
        <v>3725.3970152792463</v>
      </c>
      <c r="G1654" s="17" t="e">
        <f t="shared" si="25"/>
        <v>#VALUE!</v>
      </c>
      <c r="H1654" s="141">
        <v>9210</v>
      </c>
      <c r="I1654" s="141">
        <v>0</v>
      </c>
      <c r="J1654" s="149">
        <v>0</v>
      </c>
      <c r="K1654" s="150">
        <v>100</v>
      </c>
    </row>
    <row r="1655" spans="1:11" ht="30" customHeight="1">
      <c r="A1655" s="31">
        <v>50206</v>
      </c>
      <c r="B1655" s="16" t="s">
        <v>833</v>
      </c>
      <c r="C1655" s="15" t="s">
        <v>4272</v>
      </c>
      <c r="D1655" s="15" t="s">
        <v>2114</v>
      </c>
      <c r="E1655" s="15">
        <v>0.21</v>
      </c>
      <c r="F1655" s="131">
        <v>6829.8945280119533</v>
      </c>
      <c r="G1655" s="17" t="e">
        <f t="shared" si="25"/>
        <v>#VALUE!</v>
      </c>
      <c r="H1655" s="141">
        <v>995</v>
      </c>
      <c r="I1655" s="141">
        <v>900</v>
      </c>
      <c r="J1655" s="149">
        <v>0</v>
      </c>
      <c r="K1655" s="150">
        <v>60</v>
      </c>
    </row>
    <row r="1656" spans="1:11" ht="30" customHeight="1">
      <c r="A1656" s="31">
        <v>50203</v>
      </c>
      <c r="B1656" s="16" t="s">
        <v>833</v>
      </c>
      <c r="C1656" s="15" t="s">
        <v>4272</v>
      </c>
      <c r="D1656" s="15" t="s">
        <v>2113</v>
      </c>
      <c r="E1656" s="15">
        <v>0.21</v>
      </c>
      <c r="F1656" s="131">
        <v>4169.0689835077219</v>
      </c>
      <c r="G1656" s="17" t="e">
        <f t="shared" si="25"/>
        <v>#VALUE!</v>
      </c>
      <c r="H1656" s="141">
        <v>1165</v>
      </c>
      <c r="I1656" s="141">
        <v>0</v>
      </c>
      <c r="J1656" s="149">
        <v>0</v>
      </c>
      <c r="K1656" s="150">
        <v>100</v>
      </c>
    </row>
    <row r="1657" spans="1:11" ht="30" customHeight="1">
      <c r="A1657" s="30">
        <v>50212</v>
      </c>
      <c r="B1657" s="16" t="s">
        <v>833</v>
      </c>
      <c r="C1657" s="15" t="s">
        <v>1979</v>
      </c>
      <c r="D1657" s="15" t="s">
        <v>2113</v>
      </c>
      <c r="E1657" s="15">
        <v>0.21</v>
      </c>
      <c r="F1657" s="131">
        <v>3902.7968731496858</v>
      </c>
      <c r="G1657" s="17" t="e">
        <f t="shared" si="25"/>
        <v>#VALUE!</v>
      </c>
      <c r="H1657" s="141">
        <v>3970</v>
      </c>
      <c r="I1657" s="141">
        <v>0</v>
      </c>
      <c r="J1657" s="149">
        <v>0</v>
      </c>
      <c r="K1657" s="150">
        <v>100</v>
      </c>
    </row>
    <row r="1658" spans="1:11" ht="30" customHeight="1">
      <c r="A1658" s="31">
        <v>50216</v>
      </c>
      <c r="B1658" s="16" t="s">
        <v>833</v>
      </c>
      <c r="C1658" s="15" t="s">
        <v>4272</v>
      </c>
      <c r="D1658" s="15" t="s">
        <v>2114</v>
      </c>
      <c r="E1658" s="15">
        <v>0.21</v>
      </c>
      <c r="F1658" s="131">
        <v>7007.6105853655017</v>
      </c>
      <c r="G1658" s="17" t="e">
        <f t="shared" si="25"/>
        <v>#VALUE!</v>
      </c>
      <c r="H1658" s="141">
        <v>270</v>
      </c>
      <c r="I1658" s="141">
        <v>0</v>
      </c>
      <c r="J1658" s="149">
        <v>0</v>
      </c>
      <c r="K1658" s="150">
        <v>60</v>
      </c>
    </row>
    <row r="1659" spans="1:11" ht="30" customHeight="1">
      <c r="A1659" s="30">
        <v>50244</v>
      </c>
      <c r="B1659" s="16" t="s">
        <v>833</v>
      </c>
      <c r="C1659" s="15" t="s">
        <v>1980</v>
      </c>
      <c r="D1659" s="15" t="s">
        <v>4273</v>
      </c>
      <c r="E1659" s="15">
        <v>0.21</v>
      </c>
      <c r="F1659" s="131">
        <v>4099.6847925786942</v>
      </c>
      <c r="G1659" s="17" t="e">
        <f t="shared" si="25"/>
        <v>#VALUE!</v>
      </c>
      <c r="H1659" s="141">
        <v>5484</v>
      </c>
      <c r="I1659" s="141">
        <v>0</v>
      </c>
      <c r="J1659" s="149">
        <v>0</v>
      </c>
      <c r="K1659" s="150">
        <v>48</v>
      </c>
    </row>
    <row r="1660" spans="1:11" ht="30" customHeight="1">
      <c r="A1660" s="30">
        <v>50245</v>
      </c>
      <c r="B1660" s="16" t="s">
        <v>833</v>
      </c>
      <c r="C1660" s="15" t="s">
        <v>4274</v>
      </c>
      <c r="D1660" s="15" t="s">
        <v>4275</v>
      </c>
      <c r="E1660" s="15">
        <v>0.21</v>
      </c>
      <c r="F1660" s="131">
        <v>2812.3441572278971</v>
      </c>
      <c r="G1660" s="17" t="e">
        <f t="shared" si="25"/>
        <v>#VALUE!</v>
      </c>
      <c r="H1660" s="141">
        <v>8894</v>
      </c>
      <c r="I1660" s="141">
        <v>0</v>
      </c>
      <c r="J1660" s="149">
        <v>0</v>
      </c>
      <c r="K1660" s="150">
        <v>72</v>
      </c>
    </row>
    <row r="1661" spans="1:11" ht="30" customHeight="1">
      <c r="A1661" s="30">
        <v>50246</v>
      </c>
      <c r="B1661" s="16" t="s">
        <v>833</v>
      </c>
      <c r="C1661" s="15" t="s">
        <v>4274</v>
      </c>
      <c r="D1661" s="15" t="s">
        <v>4276</v>
      </c>
      <c r="E1661" s="15">
        <v>0.21</v>
      </c>
      <c r="F1661" s="131">
        <v>4139.295273666411</v>
      </c>
      <c r="G1661" s="17" t="e">
        <f t="shared" si="25"/>
        <v>#VALUE!</v>
      </c>
      <c r="H1661" s="141">
        <v>2811</v>
      </c>
      <c r="I1661" s="141">
        <v>1200</v>
      </c>
      <c r="J1661" s="149">
        <v>0</v>
      </c>
      <c r="K1661" s="150">
        <v>48</v>
      </c>
    </row>
    <row r="1662" spans="1:11" ht="30" customHeight="1">
      <c r="A1662" s="30">
        <v>50248</v>
      </c>
      <c r="B1662" s="16" t="s">
        <v>833</v>
      </c>
      <c r="C1662" s="15" t="s">
        <v>4274</v>
      </c>
      <c r="D1662" s="15" t="s">
        <v>2115</v>
      </c>
      <c r="E1662" s="15">
        <v>0.21</v>
      </c>
      <c r="F1662" s="131">
        <v>5337.5123265698458</v>
      </c>
      <c r="G1662" s="17" t="e">
        <f t="shared" si="25"/>
        <v>#VALUE!</v>
      </c>
      <c r="H1662" s="141">
        <v>1503</v>
      </c>
      <c r="I1662" s="141">
        <v>1800</v>
      </c>
      <c r="J1662" s="149">
        <v>0</v>
      </c>
      <c r="K1662" s="150">
        <v>36</v>
      </c>
    </row>
    <row r="1663" spans="1:11" ht="30" customHeight="1">
      <c r="A1663" s="30">
        <v>50249</v>
      </c>
      <c r="B1663" s="16" t="s">
        <v>833</v>
      </c>
      <c r="C1663" s="15" t="s">
        <v>4274</v>
      </c>
      <c r="D1663" s="15" t="s">
        <v>2116</v>
      </c>
      <c r="E1663" s="15">
        <v>0.21</v>
      </c>
      <c r="F1663" s="131">
        <v>8318.2010284205389</v>
      </c>
      <c r="G1663" s="17" t="e">
        <f t="shared" si="25"/>
        <v>#VALUE!</v>
      </c>
      <c r="H1663" s="141">
        <v>5089</v>
      </c>
      <c r="I1663" s="141">
        <v>0</v>
      </c>
      <c r="J1663" s="149">
        <v>0</v>
      </c>
      <c r="K1663" s="150">
        <v>36</v>
      </c>
    </row>
    <row r="1664" spans="1:11" ht="30" customHeight="1">
      <c r="A1664" s="30">
        <v>50000</v>
      </c>
      <c r="B1664" s="16" t="s">
        <v>833</v>
      </c>
      <c r="C1664" s="15" t="s">
        <v>1978</v>
      </c>
      <c r="D1664" s="15" t="s">
        <v>2111</v>
      </c>
      <c r="E1664" s="15">
        <v>0.21</v>
      </c>
      <c r="F1664" s="131">
        <v>16809.24791246844</v>
      </c>
      <c r="G1664" s="17" t="e">
        <f t="shared" si="25"/>
        <v>#VALUE!</v>
      </c>
      <c r="H1664" s="141">
        <v>352</v>
      </c>
      <c r="I1664" s="141">
        <v>0</v>
      </c>
      <c r="J1664" s="149">
        <v>0</v>
      </c>
      <c r="K1664" s="150">
        <v>24</v>
      </c>
    </row>
    <row r="1665" spans="1:11" ht="30" customHeight="1">
      <c r="A1665" s="30">
        <v>50270</v>
      </c>
      <c r="B1665" s="16" t="s">
        <v>833</v>
      </c>
      <c r="C1665" s="15" t="s">
        <v>4277</v>
      </c>
      <c r="D1665" s="15" t="s">
        <v>2117</v>
      </c>
      <c r="E1665" s="15">
        <v>0.21</v>
      </c>
      <c r="F1665" s="131">
        <v>5694.0066563592991</v>
      </c>
      <c r="G1665" s="17" t="e">
        <f t="shared" si="25"/>
        <v>#VALUE!</v>
      </c>
      <c r="H1665" s="141">
        <v>1356</v>
      </c>
      <c r="I1665" s="141">
        <v>0</v>
      </c>
      <c r="J1665" s="149">
        <v>0</v>
      </c>
      <c r="K1665" s="150">
        <v>36</v>
      </c>
    </row>
    <row r="1666" spans="1:11" ht="30" customHeight="1">
      <c r="A1666" s="31">
        <v>50271</v>
      </c>
      <c r="B1666" s="16" t="s">
        <v>833</v>
      </c>
      <c r="C1666" s="15" t="s">
        <v>3362</v>
      </c>
      <c r="D1666" s="15" t="s">
        <v>3363</v>
      </c>
      <c r="E1666" s="15">
        <v>0.21</v>
      </c>
      <c r="F1666" s="131">
        <v>11397.915932990527</v>
      </c>
      <c r="G1666" s="17" t="e">
        <f t="shared" si="25"/>
        <v>#VALUE!</v>
      </c>
      <c r="H1666" s="141">
        <v>46</v>
      </c>
      <c r="I1666" s="141">
        <v>0</v>
      </c>
      <c r="J1666" s="149">
        <v>0</v>
      </c>
      <c r="K1666" s="150">
        <v>24</v>
      </c>
    </row>
    <row r="1667" spans="1:11" ht="30" customHeight="1">
      <c r="A1667" s="30">
        <v>50281</v>
      </c>
      <c r="B1667" s="16" t="s">
        <v>833</v>
      </c>
      <c r="C1667" s="15" t="s">
        <v>1981</v>
      </c>
      <c r="D1667" s="15" t="s">
        <v>2118</v>
      </c>
      <c r="E1667" s="15">
        <v>0.21</v>
      </c>
      <c r="F1667" s="131">
        <v>9110.4106501748774</v>
      </c>
      <c r="G1667" s="17" t="e">
        <f t="shared" si="25"/>
        <v>#VALUE!</v>
      </c>
      <c r="H1667" s="141">
        <v>352</v>
      </c>
      <c r="I1667" s="141">
        <v>0</v>
      </c>
      <c r="J1667" s="149">
        <v>0</v>
      </c>
      <c r="K1667" s="150">
        <v>36</v>
      </c>
    </row>
    <row r="1668" spans="1:11" ht="30" customHeight="1">
      <c r="A1668" s="31">
        <v>50282</v>
      </c>
      <c r="B1668" s="16" t="s">
        <v>833</v>
      </c>
      <c r="C1668" s="15" t="s">
        <v>1981</v>
      </c>
      <c r="D1668" s="15" t="s">
        <v>2113</v>
      </c>
      <c r="E1668" s="15">
        <v>0.21</v>
      </c>
      <c r="F1668" s="131">
        <v>17626.664084034001</v>
      </c>
      <c r="G1668" s="17" t="e">
        <f t="shared" si="25"/>
        <v>#VALUE!</v>
      </c>
      <c r="H1668" s="141">
        <v>443</v>
      </c>
      <c r="I1668" s="141">
        <v>0</v>
      </c>
      <c r="J1668" s="149">
        <v>0</v>
      </c>
      <c r="K1668" s="150">
        <v>24</v>
      </c>
    </row>
    <row r="1669" spans="1:11" ht="30" customHeight="1">
      <c r="A1669" s="31">
        <v>50010</v>
      </c>
      <c r="B1669" s="16" t="s">
        <v>2775</v>
      </c>
      <c r="C1669" s="15" t="s">
        <v>2776</v>
      </c>
      <c r="D1669" s="15" t="s">
        <v>2777</v>
      </c>
      <c r="E1669" s="15">
        <v>0.21</v>
      </c>
      <c r="F1669" s="131">
        <v>12054.685875453783</v>
      </c>
      <c r="G1669" s="17" t="e">
        <f t="shared" si="25"/>
        <v>#VALUE!</v>
      </c>
      <c r="H1669" s="141">
        <v>238</v>
      </c>
      <c r="I1669" s="141">
        <v>0</v>
      </c>
      <c r="J1669" s="149">
        <v>12</v>
      </c>
      <c r="K1669" s="150">
        <v>48</v>
      </c>
    </row>
    <row r="1670" spans="1:11" ht="30" customHeight="1">
      <c r="A1670" s="31">
        <v>50011</v>
      </c>
      <c r="B1670" s="16" t="s">
        <v>2775</v>
      </c>
      <c r="C1670" s="15" t="s">
        <v>2776</v>
      </c>
      <c r="D1670" s="15" t="s">
        <v>2778</v>
      </c>
      <c r="E1670" s="15">
        <v>0.21</v>
      </c>
      <c r="F1670" s="131">
        <v>14398.652573458685</v>
      </c>
      <c r="G1670" s="17" t="e">
        <f t="shared" si="25"/>
        <v>#VALUE!</v>
      </c>
      <c r="H1670" s="141">
        <v>170</v>
      </c>
      <c r="I1670" s="141">
        <v>0</v>
      </c>
      <c r="J1670" s="149">
        <v>12</v>
      </c>
      <c r="K1670" s="150">
        <v>48</v>
      </c>
    </row>
    <row r="1671" spans="1:11" ht="30" customHeight="1">
      <c r="A1671" s="30">
        <v>50105</v>
      </c>
      <c r="B1671" s="16" t="s">
        <v>833</v>
      </c>
      <c r="C1671" s="15" t="s">
        <v>839</v>
      </c>
      <c r="D1671" s="15" t="s">
        <v>840</v>
      </c>
      <c r="E1671" s="15">
        <v>0.21</v>
      </c>
      <c r="F1671" s="131">
        <v>2152.4343009568815</v>
      </c>
      <c r="G1671" s="17" t="e">
        <f t="shared" si="25"/>
        <v>#VALUE!</v>
      </c>
      <c r="H1671" s="141">
        <v>6007</v>
      </c>
      <c r="I1671" s="141">
        <v>0</v>
      </c>
      <c r="J1671" s="149">
        <v>200</v>
      </c>
      <c r="K1671" s="150">
        <v>400</v>
      </c>
    </row>
    <row r="1672" spans="1:11" ht="30" customHeight="1">
      <c r="A1672" s="30">
        <v>50108</v>
      </c>
      <c r="B1672" s="16" t="s">
        <v>833</v>
      </c>
      <c r="C1672" s="15" t="s">
        <v>839</v>
      </c>
      <c r="D1672" s="15" t="s">
        <v>841</v>
      </c>
      <c r="E1672" s="15">
        <v>0.21</v>
      </c>
      <c r="F1672" s="131">
        <v>6629.4976469471931</v>
      </c>
      <c r="G1672" s="17" t="e">
        <f t="shared" si="25"/>
        <v>#VALUE!</v>
      </c>
      <c r="H1672" s="141">
        <v>4591</v>
      </c>
      <c r="I1672" s="141">
        <v>0</v>
      </c>
      <c r="J1672" s="149">
        <v>100</v>
      </c>
      <c r="K1672" s="150">
        <v>200</v>
      </c>
    </row>
    <row r="1673" spans="1:11" ht="30" customHeight="1">
      <c r="A1673" s="30">
        <v>50110</v>
      </c>
      <c r="B1673" s="16" t="s">
        <v>833</v>
      </c>
      <c r="C1673" s="15" t="s">
        <v>839</v>
      </c>
      <c r="D1673" s="15" t="s">
        <v>842</v>
      </c>
      <c r="E1673" s="15">
        <v>0.21</v>
      </c>
      <c r="F1673" s="131">
        <v>13431.190037970944</v>
      </c>
      <c r="G1673" s="17" t="e">
        <f t="shared" si="25"/>
        <v>#VALUE!</v>
      </c>
      <c r="H1673" s="141">
        <v>1615</v>
      </c>
      <c r="I1673" s="141">
        <v>0</v>
      </c>
      <c r="J1673" s="149">
        <v>50</v>
      </c>
      <c r="K1673" s="150">
        <v>100</v>
      </c>
    </row>
    <row r="1674" spans="1:11" ht="30" customHeight="1">
      <c r="A1674" s="30">
        <v>50115</v>
      </c>
      <c r="B1674" s="16" t="s">
        <v>833</v>
      </c>
      <c r="C1674" s="15" t="s">
        <v>843</v>
      </c>
      <c r="D1674" s="15" t="s">
        <v>840</v>
      </c>
      <c r="E1674" s="15">
        <v>0.21</v>
      </c>
      <c r="F1674" s="131">
        <v>2159.0291999999999</v>
      </c>
      <c r="G1674" s="17" t="e">
        <f t="shared" si="25"/>
        <v>#VALUE!</v>
      </c>
      <c r="H1674" s="141">
        <v>5012</v>
      </c>
      <c r="I1674" s="141">
        <v>0</v>
      </c>
      <c r="J1674" s="149">
        <v>200</v>
      </c>
      <c r="K1674" s="150">
        <v>400</v>
      </c>
    </row>
    <row r="1675" spans="1:11" ht="30" customHeight="1">
      <c r="A1675" s="31">
        <v>50116</v>
      </c>
      <c r="B1675" s="16" t="s">
        <v>2775</v>
      </c>
      <c r="C1675" s="15" t="s">
        <v>4278</v>
      </c>
      <c r="D1675" s="15" t="s">
        <v>2779</v>
      </c>
      <c r="E1675" s="15">
        <v>0.21</v>
      </c>
      <c r="F1675" s="131">
        <v>3799.0525183248269</v>
      </c>
      <c r="G1675" s="17" t="e">
        <f t="shared" si="25"/>
        <v>#VALUE!</v>
      </c>
      <c r="H1675" s="141">
        <v>662</v>
      </c>
      <c r="I1675" s="141">
        <v>0</v>
      </c>
      <c r="J1675" s="149">
        <v>100</v>
      </c>
      <c r="K1675" s="150">
        <v>200</v>
      </c>
    </row>
    <row r="1676" spans="1:11" ht="30" customHeight="1">
      <c r="A1676" s="31">
        <v>50117</v>
      </c>
      <c r="B1676" s="16" t="s">
        <v>2775</v>
      </c>
      <c r="C1676" s="15" t="s">
        <v>4278</v>
      </c>
      <c r="D1676" s="15" t="s">
        <v>2780</v>
      </c>
      <c r="E1676" s="15">
        <v>0.21</v>
      </c>
      <c r="F1676" s="131">
        <v>5552.4613729362845</v>
      </c>
      <c r="G1676" s="17" t="e">
        <f t="shared" si="25"/>
        <v>#VALUE!</v>
      </c>
      <c r="H1676" s="141">
        <v>679</v>
      </c>
      <c r="I1676" s="141">
        <v>0</v>
      </c>
      <c r="J1676" s="149">
        <v>100</v>
      </c>
      <c r="K1676" s="150">
        <v>200</v>
      </c>
    </row>
    <row r="1677" spans="1:11" ht="30" customHeight="1">
      <c r="A1677" s="30">
        <v>50118</v>
      </c>
      <c r="B1677" s="16" t="s">
        <v>833</v>
      </c>
      <c r="C1677" s="15" t="s">
        <v>843</v>
      </c>
      <c r="D1677" s="15" t="s">
        <v>841</v>
      </c>
      <c r="E1677" s="15">
        <v>0.21</v>
      </c>
      <c r="F1677" s="131">
        <v>6629.4976469471931</v>
      </c>
      <c r="G1677" s="17" t="e">
        <f t="shared" si="25"/>
        <v>#VALUE!</v>
      </c>
      <c r="H1677" s="141">
        <v>3752</v>
      </c>
      <c r="I1677" s="141">
        <v>0</v>
      </c>
      <c r="J1677" s="149">
        <v>100</v>
      </c>
      <c r="K1677" s="150">
        <v>200</v>
      </c>
    </row>
    <row r="1678" spans="1:11" ht="30" customHeight="1">
      <c r="A1678" s="31">
        <v>50132</v>
      </c>
      <c r="B1678" s="16" t="s">
        <v>2775</v>
      </c>
      <c r="C1678" s="15" t="s">
        <v>4278</v>
      </c>
      <c r="D1678" s="15" t="s">
        <v>2781</v>
      </c>
      <c r="E1678" s="15">
        <v>0.21</v>
      </c>
      <c r="F1678" s="131">
        <v>9643.7487003630195</v>
      </c>
      <c r="G1678" s="17" t="e">
        <f t="shared" si="25"/>
        <v>#VALUE!</v>
      </c>
      <c r="H1678" s="141">
        <v>261</v>
      </c>
      <c r="I1678" s="141">
        <v>0</v>
      </c>
      <c r="J1678" s="149">
        <v>50</v>
      </c>
      <c r="K1678" s="150">
        <v>100</v>
      </c>
    </row>
    <row r="1679" spans="1:11" ht="30" customHeight="1">
      <c r="A1679" s="31">
        <v>50163</v>
      </c>
      <c r="B1679" s="16" t="s">
        <v>2775</v>
      </c>
      <c r="C1679" s="15" t="s">
        <v>4278</v>
      </c>
      <c r="D1679" s="15" t="s">
        <v>2782</v>
      </c>
      <c r="E1679" s="15">
        <v>0.21</v>
      </c>
      <c r="F1679" s="131">
        <v>11494.569158008449</v>
      </c>
      <c r="G1679" s="17" t="e">
        <f t="shared" si="25"/>
        <v>#VALUE!</v>
      </c>
      <c r="H1679" s="141">
        <v>235</v>
      </c>
      <c r="I1679" s="141">
        <v>0</v>
      </c>
      <c r="J1679" s="149">
        <v>50</v>
      </c>
      <c r="K1679" s="150">
        <v>100</v>
      </c>
    </row>
    <row r="1680" spans="1:11" ht="30" customHeight="1">
      <c r="A1680" s="31">
        <v>50166</v>
      </c>
      <c r="B1680" s="16" t="s">
        <v>2775</v>
      </c>
      <c r="C1680" s="15" t="s">
        <v>4278</v>
      </c>
      <c r="D1680" s="15" t="s">
        <v>2783</v>
      </c>
      <c r="E1680" s="15">
        <v>0.21</v>
      </c>
      <c r="F1680" s="131">
        <v>13053.154806551967</v>
      </c>
      <c r="G1680" s="17" t="e">
        <f t="shared" si="25"/>
        <v>#VALUE!</v>
      </c>
      <c r="H1680" s="141">
        <v>285</v>
      </c>
      <c r="I1680" s="141">
        <v>0</v>
      </c>
      <c r="J1680" s="149">
        <v>50</v>
      </c>
      <c r="K1680" s="150">
        <v>100</v>
      </c>
    </row>
    <row r="1681" spans="1:11" ht="30" customHeight="1">
      <c r="A1681" s="30">
        <v>50120</v>
      </c>
      <c r="B1681" s="16" t="s">
        <v>833</v>
      </c>
      <c r="C1681" s="15" t="s">
        <v>843</v>
      </c>
      <c r="D1681" s="15" t="s">
        <v>842</v>
      </c>
      <c r="E1681" s="15">
        <v>0.21</v>
      </c>
      <c r="F1681" s="131">
        <v>13431.190037970944</v>
      </c>
      <c r="G1681" s="17" t="e">
        <f t="shared" si="25"/>
        <v>#VALUE!</v>
      </c>
      <c r="H1681" s="141">
        <v>1491</v>
      </c>
      <c r="I1681" s="141">
        <v>0</v>
      </c>
      <c r="J1681" s="149">
        <v>50</v>
      </c>
      <c r="K1681" s="150">
        <v>100</v>
      </c>
    </row>
    <row r="1682" spans="1:11" ht="30" customHeight="1">
      <c r="A1682" s="31">
        <v>50521</v>
      </c>
      <c r="B1682" s="16" t="s">
        <v>2775</v>
      </c>
      <c r="C1682" s="15" t="s">
        <v>4278</v>
      </c>
      <c r="D1682" s="15" t="s">
        <v>2784</v>
      </c>
      <c r="E1682" s="15">
        <v>0.21</v>
      </c>
      <c r="F1682" s="131">
        <v>18605.616179488254</v>
      </c>
      <c r="G1682" s="17" t="e">
        <f t="shared" si="25"/>
        <v>#VALUE!</v>
      </c>
      <c r="H1682" s="141">
        <v>150</v>
      </c>
      <c r="I1682" s="141">
        <v>0</v>
      </c>
      <c r="J1682" s="149">
        <v>25</v>
      </c>
      <c r="K1682" s="150">
        <v>50</v>
      </c>
    </row>
    <row r="1683" spans="1:11" ht="30" customHeight="1">
      <c r="A1683" s="31">
        <v>50522</v>
      </c>
      <c r="B1683" s="16" t="s">
        <v>2775</v>
      </c>
      <c r="C1683" s="15" t="s">
        <v>4278</v>
      </c>
      <c r="D1683" s="15" t="s">
        <v>2785</v>
      </c>
      <c r="E1683" s="15">
        <v>0.21</v>
      </c>
      <c r="F1683" s="131">
        <v>21820.199079609261</v>
      </c>
      <c r="G1683" s="17" t="e">
        <f t="shared" si="25"/>
        <v>#VALUE!</v>
      </c>
      <c r="H1683" s="141">
        <v>98</v>
      </c>
      <c r="I1683" s="141">
        <v>0</v>
      </c>
      <c r="J1683" s="149">
        <v>25</v>
      </c>
      <c r="K1683" s="150">
        <v>50</v>
      </c>
    </row>
    <row r="1684" spans="1:11" ht="30" customHeight="1">
      <c r="A1684" s="31">
        <v>50170</v>
      </c>
      <c r="B1684" s="16" t="s">
        <v>2775</v>
      </c>
      <c r="C1684" s="15" t="s">
        <v>4278</v>
      </c>
      <c r="D1684" s="15" t="s">
        <v>2786</v>
      </c>
      <c r="E1684" s="15">
        <v>0.21</v>
      </c>
      <c r="F1684" s="131">
        <v>29223.480910190967</v>
      </c>
      <c r="G1684" s="17" t="e">
        <f t="shared" ref="G1684:G1747" si="26">(F1684*$G$6)</f>
        <v>#VALUE!</v>
      </c>
      <c r="H1684" s="141">
        <v>177</v>
      </c>
      <c r="I1684" s="141">
        <v>0</v>
      </c>
      <c r="J1684" s="149">
        <v>25</v>
      </c>
      <c r="K1684" s="150">
        <v>50</v>
      </c>
    </row>
    <row r="1685" spans="1:11" ht="30" customHeight="1">
      <c r="A1685" s="31">
        <v>50171</v>
      </c>
      <c r="B1685" s="16" t="s">
        <v>2775</v>
      </c>
      <c r="C1685" s="15" t="s">
        <v>4278</v>
      </c>
      <c r="D1685" s="15" t="s">
        <v>2787</v>
      </c>
      <c r="E1685" s="15">
        <v>0.21</v>
      </c>
      <c r="F1685" s="131">
        <v>35360.411901331077</v>
      </c>
      <c r="G1685" s="17" t="e">
        <f t="shared" si="26"/>
        <v>#VALUE!</v>
      </c>
      <c r="H1685" s="141">
        <v>0</v>
      </c>
      <c r="I1685" s="141">
        <v>0</v>
      </c>
      <c r="J1685" s="149">
        <v>15</v>
      </c>
      <c r="K1685" s="150">
        <v>30</v>
      </c>
    </row>
    <row r="1686" spans="1:11" ht="30" customHeight="1">
      <c r="A1686" s="31">
        <v>50173</v>
      </c>
      <c r="B1686" s="16" t="s">
        <v>2775</v>
      </c>
      <c r="C1686" s="15" t="s">
        <v>4279</v>
      </c>
      <c r="D1686" s="15" t="s">
        <v>2788</v>
      </c>
      <c r="E1686" s="15">
        <v>0.21</v>
      </c>
      <c r="F1686" s="131">
        <v>43737.809762252487</v>
      </c>
      <c r="G1686" s="17" t="e">
        <f t="shared" si="26"/>
        <v>#VALUE!</v>
      </c>
      <c r="H1686" s="141">
        <v>7</v>
      </c>
      <c r="I1686" s="141">
        <v>0</v>
      </c>
      <c r="J1686" s="149">
        <v>15</v>
      </c>
      <c r="K1686" s="150">
        <v>30</v>
      </c>
    </row>
    <row r="1687" spans="1:11" ht="30" customHeight="1">
      <c r="A1687" s="30">
        <v>62661</v>
      </c>
      <c r="B1687" s="16" t="s">
        <v>833</v>
      </c>
      <c r="C1687" s="15" t="s">
        <v>1984</v>
      </c>
      <c r="D1687" s="15" t="s">
        <v>844</v>
      </c>
      <c r="E1687" s="15">
        <v>0.21</v>
      </c>
      <c r="F1687" s="131">
        <v>14203.035758819664</v>
      </c>
      <c r="G1687" s="17" t="e">
        <f t="shared" si="26"/>
        <v>#VALUE!</v>
      </c>
      <c r="H1687" s="141">
        <v>250</v>
      </c>
      <c r="I1687" s="141">
        <v>0</v>
      </c>
      <c r="J1687" s="149">
        <v>6</v>
      </c>
      <c r="K1687" s="150">
        <v>24</v>
      </c>
    </row>
    <row r="1688" spans="1:11" ht="30" customHeight="1">
      <c r="A1688" s="30">
        <v>62662</v>
      </c>
      <c r="B1688" s="16" t="s">
        <v>833</v>
      </c>
      <c r="C1688" s="15" t="s">
        <v>1985</v>
      </c>
      <c r="D1688" s="15" t="s">
        <v>845</v>
      </c>
      <c r="E1688" s="15">
        <v>0.21</v>
      </c>
      <c r="F1688" s="131">
        <v>24617.620199999998</v>
      </c>
      <c r="G1688" s="17" t="e">
        <f t="shared" si="26"/>
        <v>#VALUE!</v>
      </c>
      <c r="H1688" s="141">
        <v>196</v>
      </c>
      <c r="I1688" s="141">
        <v>0</v>
      </c>
      <c r="J1688" s="149">
        <v>6</v>
      </c>
      <c r="K1688" s="150">
        <v>12</v>
      </c>
    </row>
    <row r="1689" spans="1:11" ht="30" customHeight="1">
      <c r="A1689" s="30">
        <v>62663</v>
      </c>
      <c r="B1689" s="16" t="s">
        <v>833</v>
      </c>
      <c r="C1689" s="15" t="s">
        <v>1986</v>
      </c>
      <c r="D1689" s="15" t="s">
        <v>846</v>
      </c>
      <c r="E1689" s="15">
        <v>0.21</v>
      </c>
      <c r="F1689" s="131">
        <v>34169.622260348777</v>
      </c>
      <c r="G1689" s="17" t="e">
        <f t="shared" si="26"/>
        <v>#VALUE!</v>
      </c>
      <c r="H1689" s="141">
        <v>128</v>
      </c>
      <c r="I1689" s="141">
        <v>0</v>
      </c>
      <c r="J1689" s="149">
        <v>0</v>
      </c>
      <c r="K1689" s="150">
        <v>10</v>
      </c>
    </row>
    <row r="1690" spans="1:11" ht="30" customHeight="1">
      <c r="A1690" s="30">
        <v>62242</v>
      </c>
      <c r="B1690" s="16" t="s">
        <v>833</v>
      </c>
      <c r="C1690" s="15" t="s">
        <v>847</v>
      </c>
      <c r="D1690" s="15" t="s">
        <v>36</v>
      </c>
      <c r="E1690" s="15">
        <v>0.21</v>
      </c>
      <c r="F1690" s="131">
        <v>4123.5551621531586</v>
      </c>
      <c r="G1690" s="17" t="e">
        <f t="shared" si="26"/>
        <v>#VALUE!</v>
      </c>
      <c r="H1690" s="141">
        <v>590</v>
      </c>
      <c r="I1690" s="141">
        <v>0</v>
      </c>
      <c r="J1690" s="149">
        <v>12</v>
      </c>
      <c r="K1690" s="150">
        <v>72</v>
      </c>
    </row>
    <row r="1691" spans="1:11" ht="30" customHeight="1">
      <c r="A1691" s="30">
        <v>62243</v>
      </c>
      <c r="B1691" s="16" t="s">
        <v>833</v>
      </c>
      <c r="C1691" s="15" t="s">
        <v>847</v>
      </c>
      <c r="D1691" s="15" t="s">
        <v>38</v>
      </c>
      <c r="E1691" s="15">
        <v>0.21</v>
      </c>
      <c r="F1691" s="131">
        <v>5075.14481495773</v>
      </c>
      <c r="G1691" s="17" t="e">
        <f t="shared" si="26"/>
        <v>#VALUE!</v>
      </c>
      <c r="H1691" s="141">
        <v>592</v>
      </c>
      <c r="I1691" s="141">
        <v>0</v>
      </c>
      <c r="J1691" s="149">
        <v>12</v>
      </c>
      <c r="K1691" s="150">
        <v>72</v>
      </c>
    </row>
    <row r="1692" spans="1:11" ht="30" customHeight="1">
      <c r="A1692" s="30">
        <v>62237</v>
      </c>
      <c r="B1692" s="16" t="s">
        <v>833</v>
      </c>
      <c r="C1692" s="15" t="s">
        <v>1866</v>
      </c>
      <c r="D1692" s="15" t="s">
        <v>2127</v>
      </c>
      <c r="E1692" s="15">
        <v>0.21</v>
      </c>
      <c r="F1692" s="131">
        <v>2984.6959203316696</v>
      </c>
      <c r="G1692" s="17" t="e">
        <f t="shared" si="26"/>
        <v>#VALUE!</v>
      </c>
      <c r="H1692" s="141">
        <v>179</v>
      </c>
      <c r="I1692" s="141">
        <v>0</v>
      </c>
      <c r="J1692" s="149">
        <v>36</v>
      </c>
      <c r="K1692" s="150">
        <v>108</v>
      </c>
    </row>
    <row r="1693" spans="1:11" ht="30" customHeight="1">
      <c r="A1693" s="30">
        <v>62239</v>
      </c>
      <c r="B1693" s="16" t="s">
        <v>833</v>
      </c>
      <c r="C1693" s="15" t="s">
        <v>1866</v>
      </c>
      <c r="D1693" s="15" t="s">
        <v>2128</v>
      </c>
      <c r="E1693" s="15">
        <v>0.21</v>
      </c>
      <c r="F1693" s="131">
        <v>4481.6270000000004</v>
      </c>
      <c r="G1693" s="17" t="e">
        <f t="shared" si="26"/>
        <v>#VALUE!</v>
      </c>
      <c r="H1693" s="141">
        <v>600</v>
      </c>
      <c r="I1693" s="141">
        <v>0</v>
      </c>
      <c r="J1693" s="149">
        <v>24</v>
      </c>
      <c r="K1693" s="150">
        <v>72</v>
      </c>
    </row>
    <row r="1694" spans="1:11" ht="30" customHeight="1">
      <c r="A1694" s="30">
        <v>62240</v>
      </c>
      <c r="B1694" s="16" t="s">
        <v>833</v>
      </c>
      <c r="C1694" s="15" t="s">
        <v>1866</v>
      </c>
      <c r="D1694" s="15" t="s">
        <v>2129</v>
      </c>
      <c r="E1694" s="15">
        <v>0.21</v>
      </c>
      <c r="F1694" s="131">
        <v>5124.9728000000005</v>
      </c>
      <c r="G1694" s="17" t="e">
        <f t="shared" si="26"/>
        <v>#VALUE!</v>
      </c>
      <c r="H1694" s="141">
        <v>335</v>
      </c>
      <c r="I1694" s="141">
        <v>0</v>
      </c>
      <c r="J1694" s="149">
        <v>16</v>
      </c>
      <c r="K1694" s="150">
        <v>48</v>
      </c>
    </row>
    <row r="1695" spans="1:11" ht="30" customHeight="1">
      <c r="A1695" s="30">
        <v>62246</v>
      </c>
      <c r="B1695" s="16" t="s">
        <v>833</v>
      </c>
      <c r="C1695" s="15" t="s">
        <v>4280</v>
      </c>
      <c r="D1695" s="15" t="s">
        <v>848</v>
      </c>
      <c r="E1695" s="15">
        <v>0.21</v>
      </c>
      <c r="F1695" s="131">
        <v>11218.339838488002</v>
      </c>
      <c r="G1695" s="17" t="e">
        <f t="shared" si="26"/>
        <v>#VALUE!</v>
      </c>
      <c r="H1695" s="141">
        <v>441</v>
      </c>
      <c r="I1695" s="141">
        <v>0</v>
      </c>
      <c r="J1695" s="149">
        <v>6</v>
      </c>
      <c r="K1695" s="150">
        <v>48</v>
      </c>
    </row>
    <row r="1696" spans="1:11" ht="30" customHeight="1">
      <c r="A1696" s="30">
        <v>62248</v>
      </c>
      <c r="B1696" s="16" t="s">
        <v>833</v>
      </c>
      <c r="C1696" s="15" t="s">
        <v>4281</v>
      </c>
      <c r="D1696" s="15" t="s">
        <v>849</v>
      </c>
      <c r="E1696" s="15">
        <v>0.21</v>
      </c>
      <c r="F1696" s="131">
        <v>13379.671367004034</v>
      </c>
      <c r="G1696" s="17" t="e">
        <f t="shared" si="26"/>
        <v>#VALUE!</v>
      </c>
      <c r="H1696" s="141">
        <v>788</v>
      </c>
      <c r="I1696" s="141">
        <v>0</v>
      </c>
      <c r="J1696" s="149">
        <v>6</v>
      </c>
      <c r="K1696" s="150">
        <v>36</v>
      </c>
    </row>
    <row r="1697" spans="1:11" ht="30" customHeight="1">
      <c r="A1697" s="30">
        <v>62261</v>
      </c>
      <c r="B1697" s="16" t="s">
        <v>833</v>
      </c>
      <c r="C1697" s="15" t="s">
        <v>4281</v>
      </c>
      <c r="D1697" s="15" t="s">
        <v>850</v>
      </c>
      <c r="E1697" s="15">
        <v>0.21</v>
      </c>
      <c r="F1697" s="131">
        <v>45593.803196790686</v>
      </c>
      <c r="G1697" s="17" t="e">
        <f t="shared" si="26"/>
        <v>#VALUE!</v>
      </c>
      <c r="H1697" s="141">
        <v>366</v>
      </c>
      <c r="I1697" s="141">
        <v>0</v>
      </c>
      <c r="J1697" s="149">
        <v>6</v>
      </c>
      <c r="K1697" s="150">
        <v>12</v>
      </c>
    </row>
    <row r="1698" spans="1:11" ht="30" customHeight="1">
      <c r="A1698" s="30">
        <v>62265</v>
      </c>
      <c r="B1698" s="16" t="s">
        <v>833</v>
      </c>
      <c r="C1698" s="15" t="s">
        <v>4281</v>
      </c>
      <c r="D1698" s="15" t="s">
        <v>851</v>
      </c>
      <c r="E1698" s="15">
        <v>0.21</v>
      </c>
      <c r="F1698" s="131">
        <v>87231.848410499588</v>
      </c>
      <c r="G1698" s="17" t="e">
        <f t="shared" si="26"/>
        <v>#VALUE!</v>
      </c>
      <c r="H1698" s="141">
        <v>411</v>
      </c>
      <c r="I1698" s="141">
        <v>0</v>
      </c>
      <c r="J1698" s="149">
        <v>0</v>
      </c>
      <c r="K1698" s="150">
        <v>6</v>
      </c>
    </row>
    <row r="1699" spans="1:11" ht="30" customHeight="1">
      <c r="A1699" s="30">
        <v>62252</v>
      </c>
      <c r="B1699" s="16" t="s">
        <v>833</v>
      </c>
      <c r="C1699" s="15" t="s">
        <v>4282</v>
      </c>
      <c r="D1699" s="15" t="s">
        <v>849</v>
      </c>
      <c r="E1699" s="15">
        <v>0.21</v>
      </c>
      <c r="F1699" s="131">
        <v>33552.098966487036</v>
      </c>
      <c r="G1699" s="17" t="e">
        <f t="shared" si="26"/>
        <v>#VALUE!</v>
      </c>
      <c r="H1699" s="141">
        <v>301</v>
      </c>
      <c r="I1699" s="141">
        <v>0</v>
      </c>
      <c r="J1699" s="149">
        <v>6</v>
      </c>
      <c r="K1699" s="150">
        <v>12</v>
      </c>
    </row>
    <row r="1700" spans="1:11" ht="30" customHeight="1">
      <c r="A1700" s="30">
        <v>62254</v>
      </c>
      <c r="B1700" s="16" t="s">
        <v>833</v>
      </c>
      <c r="C1700" s="15" t="s">
        <v>4283</v>
      </c>
      <c r="D1700" s="15" t="s">
        <v>849</v>
      </c>
      <c r="E1700" s="15">
        <v>0.21</v>
      </c>
      <c r="F1700" s="131">
        <v>63439.310186971612</v>
      </c>
      <c r="G1700" s="17" t="e">
        <f t="shared" si="26"/>
        <v>#VALUE!</v>
      </c>
      <c r="H1700" s="141">
        <v>146</v>
      </c>
      <c r="I1700" s="141">
        <v>0</v>
      </c>
      <c r="J1700" s="149">
        <v>0</v>
      </c>
      <c r="K1700" s="150">
        <v>6</v>
      </c>
    </row>
    <row r="1701" spans="1:11" ht="30" customHeight="1">
      <c r="A1701" s="31">
        <v>62600</v>
      </c>
      <c r="B1701" s="16" t="s">
        <v>2775</v>
      </c>
      <c r="C1701" s="15" t="s">
        <v>2789</v>
      </c>
      <c r="D1701" s="15" t="s">
        <v>2790</v>
      </c>
      <c r="E1701" s="15">
        <v>0.105</v>
      </c>
      <c r="F1701" s="131">
        <v>133083.73206500971</v>
      </c>
      <c r="G1701" s="17" t="e">
        <f t="shared" si="26"/>
        <v>#VALUE!</v>
      </c>
      <c r="H1701" s="141">
        <v>23</v>
      </c>
      <c r="I1701" s="141">
        <v>0</v>
      </c>
      <c r="J1701" s="149">
        <v>0</v>
      </c>
      <c r="K1701" s="150">
        <v>1</v>
      </c>
    </row>
    <row r="1702" spans="1:11" ht="30" customHeight="1">
      <c r="A1702" s="31">
        <v>62602</v>
      </c>
      <c r="B1702" s="16" t="s">
        <v>2775</v>
      </c>
      <c r="C1702" s="15" t="s">
        <v>4284</v>
      </c>
      <c r="D1702" s="15" t="s">
        <v>2791</v>
      </c>
      <c r="E1702" s="15">
        <v>0.105</v>
      </c>
      <c r="F1702" s="131">
        <v>166408.24146293083</v>
      </c>
      <c r="G1702" s="17" t="e">
        <f t="shared" si="26"/>
        <v>#VALUE!</v>
      </c>
      <c r="H1702" s="141">
        <v>18</v>
      </c>
      <c r="I1702" s="141">
        <v>0</v>
      </c>
      <c r="J1702" s="149">
        <v>0</v>
      </c>
      <c r="K1702" s="150">
        <v>1</v>
      </c>
    </row>
    <row r="1703" spans="1:11" ht="30" customHeight="1">
      <c r="A1703" s="31">
        <v>62610</v>
      </c>
      <c r="B1703" s="16" t="s">
        <v>2775</v>
      </c>
      <c r="C1703" s="15" t="s">
        <v>2792</v>
      </c>
      <c r="D1703" s="15" t="s">
        <v>2793</v>
      </c>
      <c r="E1703" s="15">
        <v>0.105</v>
      </c>
      <c r="F1703" s="131">
        <v>198768.37599081564</v>
      </c>
      <c r="G1703" s="17" t="e">
        <f t="shared" si="26"/>
        <v>#VALUE!</v>
      </c>
      <c r="H1703" s="141">
        <v>86</v>
      </c>
      <c r="I1703" s="141">
        <v>0</v>
      </c>
      <c r="J1703" s="149">
        <v>0</v>
      </c>
      <c r="K1703" s="150">
        <v>1</v>
      </c>
    </row>
    <row r="1704" spans="1:11" ht="30" customHeight="1">
      <c r="A1704" s="31">
        <v>80101</v>
      </c>
      <c r="B1704" s="16" t="s">
        <v>833</v>
      </c>
      <c r="C1704" s="15" t="s">
        <v>4285</v>
      </c>
      <c r="D1704" s="15" t="s">
        <v>4286</v>
      </c>
      <c r="E1704" s="15">
        <v>0.21</v>
      </c>
      <c r="F1704" s="131">
        <v>85533.369386470047</v>
      </c>
      <c r="G1704" s="17" t="e">
        <f t="shared" si="26"/>
        <v>#VALUE!</v>
      </c>
      <c r="H1704" s="141">
        <v>170</v>
      </c>
      <c r="I1704" s="141">
        <v>0</v>
      </c>
      <c r="J1704" s="149">
        <v>0</v>
      </c>
      <c r="K1704" s="150">
        <v>10</v>
      </c>
    </row>
    <row r="1705" spans="1:11" ht="30" customHeight="1">
      <c r="A1705" s="31">
        <v>80102</v>
      </c>
      <c r="B1705" s="16" t="s">
        <v>833</v>
      </c>
      <c r="C1705" s="15" t="s">
        <v>4285</v>
      </c>
      <c r="D1705" s="15" t="s">
        <v>4286</v>
      </c>
      <c r="E1705" s="15">
        <v>0.21</v>
      </c>
      <c r="F1705" s="131">
        <v>153034.73856941241</v>
      </c>
      <c r="G1705" s="17" t="e">
        <f t="shared" si="26"/>
        <v>#VALUE!</v>
      </c>
      <c r="H1705" s="141">
        <v>85</v>
      </c>
      <c r="I1705" s="141">
        <v>0</v>
      </c>
      <c r="J1705" s="149">
        <v>0</v>
      </c>
      <c r="K1705" s="150">
        <v>4</v>
      </c>
    </row>
    <row r="1706" spans="1:11" ht="30" customHeight="1">
      <c r="A1706" s="31">
        <v>80103</v>
      </c>
      <c r="B1706" s="16" t="s">
        <v>2775</v>
      </c>
      <c r="C1706" s="15" t="s">
        <v>4287</v>
      </c>
      <c r="D1706" s="15" t="s">
        <v>3005</v>
      </c>
      <c r="E1706" s="15">
        <v>0.21</v>
      </c>
      <c r="F1706" s="131">
        <v>139886.64180000001</v>
      </c>
      <c r="G1706" s="17" t="e">
        <f t="shared" si="26"/>
        <v>#VALUE!</v>
      </c>
      <c r="H1706" s="141">
        <v>22</v>
      </c>
      <c r="I1706" s="141">
        <v>0</v>
      </c>
      <c r="J1706" s="149">
        <v>0</v>
      </c>
      <c r="K1706" s="150">
        <v>6</v>
      </c>
    </row>
    <row r="1707" spans="1:11" ht="30" customHeight="1">
      <c r="A1707" s="31">
        <v>80112</v>
      </c>
      <c r="B1707" s="16" t="s">
        <v>833</v>
      </c>
      <c r="C1707" s="15" t="s">
        <v>4285</v>
      </c>
      <c r="D1707" s="15" t="s">
        <v>4288</v>
      </c>
      <c r="E1707" s="15">
        <v>0.21</v>
      </c>
      <c r="F1707" s="131">
        <v>92414.00104307929</v>
      </c>
      <c r="G1707" s="17" t="e">
        <f t="shared" si="26"/>
        <v>#VALUE!</v>
      </c>
      <c r="H1707" s="141">
        <v>76</v>
      </c>
      <c r="I1707" s="141">
        <v>0</v>
      </c>
      <c r="J1707" s="149">
        <v>0</v>
      </c>
      <c r="K1707" s="150">
        <v>10</v>
      </c>
    </row>
    <row r="1708" spans="1:11" ht="30" customHeight="1">
      <c r="A1708" s="31">
        <v>80120</v>
      </c>
      <c r="B1708" s="16" t="s">
        <v>833</v>
      </c>
      <c r="C1708" s="15" t="s">
        <v>4289</v>
      </c>
      <c r="D1708" s="15" t="s">
        <v>2796</v>
      </c>
      <c r="E1708" s="15">
        <v>0.21</v>
      </c>
      <c r="F1708" s="131">
        <v>49469.368979414707</v>
      </c>
      <c r="G1708" s="17" t="e">
        <f t="shared" si="26"/>
        <v>#VALUE!</v>
      </c>
      <c r="H1708" s="141">
        <v>21</v>
      </c>
      <c r="I1708" s="141">
        <v>0</v>
      </c>
      <c r="J1708" s="149">
        <v>0</v>
      </c>
      <c r="K1708" s="150">
        <v>20</v>
      </c>
    </row>
    <row r="1709" spans="1:11" ht="30" customHeight="1">
      <c r="A1709" s="31">
        <v>80130</v>
      </c>
      <c r="B1709" s="16" t="s">
        <v>833</v>
      </c>
      <c r="C1709" s="15" t="s">
        <v>2797</v>
      </c>
      <c r="D1709" s="15" t="s">
        <v>2798</v>
      </c>
      <c r="E1709" s="15">
        <v>0.21</v>
      </c>
      <c r="F1709" s="131">
        <v>69755.369208383316</v>
      </c>
      <c r="G1709" s="17" t="e">
        <f t="shared" si="26"/>
        <v>#VALUE!</v>
      </c>
      <c r="H1709" s="141">
        <v>305</v>
      </c>
      <c r="I1709" s="141">
        <v>0</v>
      </c>
      <c r="J1709" s="149">
        <v>0</v>
      </c>
      <c r="K1709" s="150">
        <v>24</v>
      </c>
    </row>
    <row r="1710" spans="1:11" ht="30" customHeight="1">
      <c r="A1710" s="31">
        <v>65499</v>
      </c>
      <c r="B1710" s="16" t="s">
        <v>2775</v>
      </c>
      <c r="C1710" s="15" t="s">
        <v>2794</v>
      </c>
      <c r="D1710" s="15" t="s">
        <v>2795</v>
      </c>
      <c r="E1710" s="15">
        <v>0.21</v>
      </c>
      <c r="F1710" s="131">
        <v>80303.956541968495</v>
      </c>
      <c r="G1710" s="17" t="e">
        <f t="shared" si="26"/>
        <v>#VALUE!</v>
      </c>
      <c r="H1710" s="141">
        <v>0</v>
      </c>
      <c r="I1710" s="141">
        <v>0</v>
      </c>
      <c r="J1710" s="149">
        <v>0</v>
      </c>
      <c r="K1710" s="150">
        <v>6</v>
      </c>
    </row>
    <row r="1711" spans="1:11" ht="30" customHeight="1">
      <c r="A1711" s="31">
        <v>66026</v>
      </c>
      <c r="B1711" s="16" t="s">
        <v>2775</v>
      </c>
      <c r="C1711" s="15" t="s">
        <v>3006</v>
      </c>
      <c r="D1711" s="15" t="s">
        <v>3007</v>
      </c>
      <c r="E1711" s="15">
        <v>0.21</v>
      </c>
      <c r="F1711" s="131">
        <v>18889.359000000004</v>
      </c>
      <c r="G1711" s="17" t="e">
        <f t="shared" si="26"/>
        <v>#VALUE!</v>
      </c>
      <c r="H1711" s="141">
        <v>183</v>
      </c>
      <c r="I1711" s="141">
        <v>0</v>
      </c>
      <c r="J1711" s="149">
        <v>0</v>
      </c>
      <c r="K1711" s="150">
        <v>48</v>
      </c>
    </row>
    <row r="1712" spans="1:11" ht="30" customHeight="1">
      <c r="A1712" s="31">
        <v>80040</v>
      </c>
      <c r="B1712" s="16" t="s">
        <v>2775</v>
      </c>
      <c r="C1712" s="15" t="s">
        <v>3008</v>
      </c>
      <c r="D1712" s="15" t="s">
        <v>3009</v>
      </c>
      <c r="E1712" s="15">
        <v>0.21</v>
      </c>
      <c r="F1712" s="131">
        <v>159440.84390487618</v>
      </c>
      <c r="G1712" s="17" t="e">
        <f t="shared" si="26"/>
        <v>#VALUE!</v>
      </c>
      <c r="H1712" s="141">
        <v>35</v>
      </c>
      <c r="I1712" s="141">
        <v>0</v>
      </c>
      <c r="J1712" s="149">
        <v>0</v>
      </c>
      <c r="K1712" s="150">
        <v>6</v>
      </c>
    </row>
    <row r="1713" spans="1:11" ht="30" customHeight="1">
      <c r="A1713" s="31">
        <v>80128</v>
      </c>
      <c r="B1713" s="16" t="s">
        <v>2775</v>
      </c>
      <c r="C1713" s="15" t="s">
        <v>2804</v>
      </c>
      <c r="D1713" s="15" t="s">
        <v>2805</v>
      </c>
      <c r="E1713" s="15">
        <v>0.21</v>
      </c>
      <c r="F1713" s="131">
        <v>45791.789990537356</v>
      </c>
      <c r="G1713" s="17" t="e">
        <f t="shared" si="26"/>
        <v>#VALUE!</v>
      </c>
      <c r="H1713" s="141">
        <v>36</v>
      </c>
      <c r="I1713" s="141">
        <v>0</v>
      </c>
      <c r="J1713" s="149">
        <v>0</v>
      </c>
      <c r="K1713" s="150">
        <v>12</v>
      </c>
    </row>
    <row r="1714" spans="1:11" ht="30" customHeight="1">
      <c r="A1714" s="31">
        <v>90009</v>
      </c>
      <c r="B1714" s="16" t="s">
        <v>2775</v>
      </c>
      <c r="C1714" s="15" t="s">
        <v>3008</v>
      </c>
      <c r="D1714" s="15" t="s">
        <v>3010</v>
      </c>
      <c r="E1714" s="15">
        <v>0.21</v>
      </c>
      <c r="F1714" s="131">
        <v>249126.31860136898</v>
      </c>
      <c r="G1714" s="17" t="e">
        <f t="shared" si="26"/>
        <v>#VALUE!</v>
      </c>
      <c r="H1714" s="141">
        <v>42</v>
      </c>
      <c r="I1714" s="141">
        <v>0</v>
      </c>
      <c r="J1714" s="149">
        <v>0</v>
      </c>
      <c r="K1714" s="150">
        <v>4</v>
      </c>
    </row>
    <row r="1715" spans="1:11" ht="30" customHeight="1">
      <c r="A1715" s="31">
        <v>45071</v>
      </c>
      <c r="B1715" s="16" t="s">
        <v>2775</v>
      </c>
      <c r="C1715" s="15" t="s">
        <v>3063</v>
      </c>
      <c r="D1715" s="15" t="s">
        <v>3014</v>
      </c>
      <c r="E1715" s="15">
        <v>0.21</v>
      </c>
      <c r="F1715" s="131">
        <v>5184.1915239197515</v>
      </c>
      <c r="G1715" s="17" t="e">
        <f t="shared" si="26"/>
        <v>#VALUE!</v>
      </c>
      <c r="H1715" s="141">
        <v>74</v>
      </c>
      <c r="I1715" s="141">
        <v>0</v>
      </c>
      <c r="J1715" s="149">
        <v>0</v>
      </c>
      <c r="K1715" s="150">
        <v>100</v>
      </c>
    </row>
    <row r="1716" spans="1:11" ht="30" customHeight="1">
      <c r="A1716" s="31">
        <v>45069</v>
      </c>
      <c r="B1716" s="16" t="s">
        <v>2775</v>
      </c>
      <c r="C1716" s="15" t="s">
        <v>4290</v>
      </c>
      <c r="D1716" s="15" t="s">
        <v>3014</v>
      </c>
      <c r="E1716" s="15">
        <v>0.21</v>
      </c>
      <c r="F1716" s="131">
        <v>15805.461963169977</v>
      </c>
      <c r="G1716" s="17" t="e">
        <f t="shared" si="26"/>
        <v>#VALUE!</v>
      </c>
      <c r="H1716" s="141">
        <v>253</v>
      </c>
      <c r="I1716" s="141">
        <v>0</v>
      </c>
      <c r="J1716" s="149">
        <v>20</v>
      </c>
      <c r="K1716" s="150">
        <v>80</v>
      </c>
    </row>
    <row r="1717" spans="1:11" ht="30" customHeight="1">
      <c r="A1717" s="31">
        <v>45073</v>
      </c>
      <c r="B1717" s="16" t="s">
        <v>2775</v>
      </c>
      <c r="C1717" s="15" t="s">
        <v>3063</v>
      </c>
      <c r="D1717" s="15" t="s">
        <v>3012</v>
      </c>
      <c r="E1717" s="15">
        <v>0.21</v>
      </c>
      <c r="F1717" s="131">
        <v>6322.1847852679912</v>
      </c>
      <c r="G1717" s="17" t="e">
        <f t="shared" si="26"/>
        <v>#VALUE!</v>
      </c>
      <c r="H1717" s="141">
        <v>1</v>
      </c>
      <c r="I1717" s="141">
        <v>0</v>
      </c>
      <c r="J1717" s="149">
        <v>0</v>
      </c>
      <c r="K1717" s="150">
        <v>100</v>
      </c>
    </row>
    <row r="1718" spans="1:11" ht="30" customHeight="1">
      <c r="A1718" s="31">
        <v>45072</v>
      </c>
      <c r="B1718" s="16" t="s">
        <v>2775</v>
      </c>
      <c r="C1718" s="15" t="s">
        <v>3063</v>
      </c>
      <c r="D1718" s="15" t="s">
        <v>3014</v>
      </c>
      <c r="E1718" s="15">
        <v>0.21</v>
      </c>
      <c r="F1718" s="131">
        <v>5184.1915239197515</v>
      </c>
      <c r="G1718" s="17" t="e">
        <f t="shared" si="26"/>
        <v>#VALUE!</v>
      </c>
      <c r="H1718" s="141">
        <v>139</v>
      </c>
      <c r="I1718" s="141">
        <v>0</v>
      </c>
      <c r="J1718" s="149">
        <v>0</v>
      </c>
      <c r="K1718" s="150">
        <v>100</v>
      </c>
    </row>
    <row r="1719" spans="1:11" ht="30" customHeight="1">
      <c r="A1719" s="31">
        <v>45074</v>
      </c>
      <c r="B1719" s="16" t="s">
        <v>2775</v>
      </c>
      <c r="C1719" s="15" t="s">
        <v>3063</v>
      </c>
      <c r="D1719" s="15" t="s">
        <v>3012</v>
      </c>
      <c r="E1719" s="15">
        <v>0.21</v>
      </c>
      <c r="F1719" s="131">
        <v>6827.9595680894299</v>
      </c>
      <c r="G1719" s="17" t="e">
        <f t="shared" si="26"/>
        <v>#VALUE!</v>
      </c>
      <c r="H1719" s="141">
        <v>199</v>
      </c>
      <c r="I1719" s="141">
        <v>0</v>
      </c>
      <c r="J1719" s="149">
        <v>0</v>
      </c>
      <c r="K1719" s="150">
        <v>100</v>
      </c>
    </row>
    <row r="1720" spans="1:11" ht="30" customHeight="1">
      <c r="A1720" s="31">
        <v>45081</v>
      </c>
      <c r="B1720" s="16" t="s">
        <v>2775</v>
      </c>
      <c r="C1720" s="15" t="s">
        <v>3011</v>
      </c>
      <c r="D1720" s="15" t="s">
        <v>3012</v>
      </c>
      <c r="E1720" s="15">
        <v>0.21</v>
      </c>
      <c r="F1720" s="131">
        <v>632.21579999999994</v>
      </c>
      <c r="G1720" s="17" t="e">
        <f t="shared" si="26"/>
        <v>#VALUE!</v>
      </c>
      <c r="H1720" s="141">
        <v>7402</v>
      </c>
      <c r="I1720" s="141">
        <v>0</v>
      </c>
      <c r="J1720" s="149">
        <v>100</v>
      </c>
      <c r="K1720" s="150">
        <v>2000</v>
      </c>
    </row>
    <row r="1721" spans="1:11" ht="30" customHeight="1">
      <c r="A1721" s="31">
        <v>45083</v>
      </c>
      <c r="B1721" s="16" t="s">
        <v>2775</v>
      </c>
      <c r="C1721" s="15" t="s">
        <v>3013</v>
      </c>
      <c r="D1721" s="15" t="s">
        <v>3014</v>
      </c>
      <c r="E1721" s="15">
        <v>0.21</v>
      </c>
      <c r="F1721" s="131">
        <v>17955.000800000002</v>
      </c>
      <c r="G1721" s="17" t="e">
        <f t="shared" si="26"/>
        <v>#VALUE!</v>
      </c>
      <c r="H1721" s="141">
        <v>0</v>
      </c>
      <c r="I1721" s="141">
        <v>0</v>
      </c>
      <c r="J1721" s="149">
        <v>0</v>
      </c>
      <c r="K1721" s="150">
        <v>60</v>
      </c>
    </row>
    <row r="1722" spans="1:11" ht="30" customHeight="1">
      <c r="A1722" s="31">
        <v>45182</v>
      </c>
      <c r="B1722" s="16" t="s">
        <v>2775</v>
      </c>
      <c r="C1722" s="15" t="s">
        <v>3598</v>
      </c>
      <c r="D1722" s="15"/>
      <c r="E1722" s="15">
        <v>0.21</v>
      </c>
      <c r="F1722" s="131">
        <v>33421.248800000001</v>
      </c>
      <c r="G1722" s="17" t="e">
        <f t="shared" si="26"/>
        <v>#VALUE!</v>
      </c>
      <c r="H1722" s="141">
        <v>215</v>
      </c>
      <c r="I1722" s="141">
        <v>0</v>
      </c>
      <c r="J1722" s="149">
        <v>0</v>
      </c>
      <c r="K1722" s="150">
        <v>40</v>
      </c>
    </row>
    <row r="1723" spans="1:11" ht="30" customHeight="1">
      <c r="A1723" s="31">
        <v>45106</v>
      </c>
      <c r="B1723" s="16" t="s">
        <v>2775</v>
      </c>
      <c r="C1723" s="15" t="s">
        <v>3015</v>
      </c>
      <c r="D1723" s="15" t="s">
        <v>3012</v>
      </c>
      <c r="E1723" s="15">
        <v>0.21</v>
      </c>
      <c r="F1723" s="131">
        <v>38185.991199999997</v>
      </c>
      <c r="G1723" s="17" t="e">
        <f t="shared" si="26"/>
        <v>#VALUE!</v>
      </c>
      <c r="H1723" s="141">
        <v>169</v>
      </c>
      <c r="I1723" s="141">
        <v>0</v>
      </c>
      <c r="J1723" s="149">
        <v>6</v>
      </c>
      <c r="K1723" s="150">
        <v>24</v>
      </c>
    </row>
    <row r="1724" spans="1:11" ht="30" customHeight="1">
      <c r="A1724" s="31">
        <v>45105</v>
      </c>
      <c r="B1724" s="16" t="s">
        <v>2775</v>
      </c>
      <c r="C1724" s="15" t="s">
        <v>3015</v>
      </c>
      <c r="D1724" s="15" t="s">
        <v>3012</v>
      </c>
      <c r="E1724" s="15">
        <v>0.21</v>
      </c>
      <c r="F1724" s="131">
        <v>60060.755400000002</v>
      </c>
      <c r="G1724" s="17" t="e">
        <f t="shared" si="26"/>
        <v>#VALUE!</v>
      </c>
      <c r="H1724" s="141">
        <v>93</v>
      </c>
      <c r="I1724" s="141">
        <v>0</v>
      </c>
      <c r="J1724" s="149">
        <v>0</v>
      </c>
      <c r="K1724" s="150">
        <v>8</v>
      </c>
    </row>
    <row r="1725" spans="1:11" ht="30" customHeight="1">
      <c r="A1725" s="31">
        <v>45271</v>
      </c>
      <c r="B1725" s="16" t="s">
        <v>2775</v>
      </c>
      <c r="C1725" s="15" t="s">
        <v>3265</v>
      </c>
      <c r="D1725" s="15" t="s">
        <v>2799</v>
      </c>
      <c r="E1725" s="15">
        <v>0.21</v>
      </c>
      <c r="F1725" s="131">
        <v>57755.339438840769</v>
      </c>
      <c r="G1725" s="17" t="e">
        <f t="shared" si="26"/>
        <v>#VALUE!</v>
      </c>
      <c r="H1725" s="141">
        <v>32</v>
      </c>
      <c r="I1725" s="141">
        <v>0</v>
      </c>
      <c r="J1725" s="149">
        <v>0</v>
      </c>
      <c r="K1725" s="150">
        <v>10</v>
      </c>
    </row>
    <row r="1726" spans="1:11" ht="30" customHeight="1">
      <c r="A1726" s="31">
        <v>45276</v>
      </c>
      <c r="B1726" s="16" t="s">
        <v>2775</v>
      </c>
      <c r="C1726" s="15" t="s">
        <v>3266</v>
      </c>
      <c r="D1726" s="15" t="s">
        <v>2800</v>
      </c>
      <c r="E1726" s="15">
        <v>0.21</v>
      </c>
      <c r="F1726" s="131">
        <v>73613.948412771075</v>
      </c>
      <c r="G1726" s="17" t="e">
        <f t="shared" si="26"/>
        <v>#VALUE!</v>
      </c>
      <c r="H1726" s="141">
        <v>85</v>
      </c>
      <c r="I1726" s="141">
        <v>0</v>
      </c>
      <c r="J1726" s="149">
        <v>0</v>
      </c>
      <c r="K1726" s="150">
        <v>10</v>
      </c>
    </row>
    <row r="1727" spans="1:11" ht="30" customHeight="1">
      <c r="A1727" s="31">
        <v>45197</v>
      </c>
      <c r="B1727" s="16" t="s">
        <v>2775</v>
      </c>
      <c r="C1727" s="15" t="s">
        <v>3267</v>
      </c>
      <c r="D1727" s="15" t="s">
        <v>2801</v>
      </c>
      <c r="E1727" s="15">
        <v>0.21</v>
      </c>
      <c r="F1727" s="131">
        <v>58599.167450122513</v>
      </c>
      <c r="G1727" s="17" t="e">
        <f t="shared" si="26"/>
        <v>#VALUE!</v>
      </c>
      <c r="H1727" s="141">
        <v>42</v>
      </c>
      <c r="I1727" s="141">
        <v>0</v>
      </c>
      <c r="J1727" s="149">
        <v>0</v>
      </c>
      <c r="K1727" s="150">
        <v>12</v>
      </c>
    </row>
    <row r="1728" spans="1:11" ht="30" customHeight="1">
      <c r="A1728" s="31">
        <v>45198</v>
      </c>
      <c r="B1728" s="16" t="s">
        <v>2775</v>
      </c>
      <c r="C1728" s="15" t="s">
        <v>3267</v>
      </c>
      <c r="D1728" s="15" t="s">
        <v>2802</v>
      </c>
      <c r="E1728" s="15">
        <v>0.21</v>
      </c>
      <c r="F1728" s="131">
        <v>58599.167450122513</v>
      </c>
      <c r="G1728" s="17" t="e">
        <f t="shared" si="26"/>
        <v>#VALUE!</v>
      </c>
      <c r="H1728" s="141">
        <v>123</v>
      </c>
      <c r="I1728" s="141">
        <v>0</v>
      </c>
      <c r="J1728" s="149">
        <v>0</v>
      </c>
      <c r="K1728" s="150">
        <v>12</v>
      </c>
    </row>
    <row r="1729" spans="1:11" ht="30" customHeight="1">
      <c r="A1729" s="31">
        <v>45199</v>
      </c>
      <c r="B1729" s="16" t="s">
        <v>2775</v>
      </c>
      <c r="C1729" s="15" t="s">
        <v>3267</v>
      </c>
      <c r="D1729" s="15" t="s">
        <v>2803</v>
      </c>
      <c r="E1729" s="15">
        <v>0.21</v>
      </c>
      <c r="F1729" s="131">
        <v>58599.167450122513</v>
      </c>
      <c r="G1729" s="17" t="e">
        <f t="shared" si="26"/>
        <v>#VALUE!</v>
      </c>
      <c r="H1729" s="141">
        <v>121</v>
      </c>
      <c r="I1729" s="141">
        <v>0</v>
      </c>
      <c r="J1729" s="149">
        <v>0</v>
      </c>
      <c r="K1729" s="150">
        <v>12</v>
      </c>
    </row>
    <row r="1730" spans="1:11" ht="30" customHeight="1">
      <c r="A1730" s="31">
        <v>45096</v>
      </c>
      <c r="B1730" s="16" t="s">
        <v>2775</v>
      </c>
      <c r="C1730" s="15" t="s">
        <v>4182</v>
      </c>
      <c r="D1730" s="15" t="s">
        <v>4291</v>
      </c>
      <c r="E1730" s="15">
        <v>0.21</v>
      </c>
      <c r="F1730" s="131">
        <v>36498.910011790598</v>
      </c>
      <c r="G1730" s="17" t="e">
        <f t="shared" si="26"/>
        <v>#VALUE!</v>
      </c>
      <c r="H1730" s="141">
        <v>95</v>
      </c>
      <c r="I1730" s="141">
        <v>0</v>
      </c>
      <c r="J1730" s="149">
        <v>0</v>
      </c>
      <c r="K1730" s="150">
        <v>16</v>
      </c>
    </row>
    <row r="1731" spans="1:11" ht="30" customHeight="1">
      <c r="A1731" s="31">
        <v>45097</v>
      </c>
      <c r="B1731" s="16" t="s">
        <v>2775</v>
      </c>
      <c r="C1731" s="15" t="s">
        <v>4182</v>
      </c>
      <c r="D1731" s="15" t="s">
        <v>2801</v>
      </c>
      <c r="E1731" s="15">
        <v>0.21</v>
      </c>
      <c r="F1731" s="131">
        <v>36498.910011790598</v>
      </c>
      <c r="G1731" s="17" t="e">
        <f t="shared" si="26"/>
        <v>#VALUE!</v>
      </c>
      <c r="H1731" s="141">
        <v>74</v>
      </c>
      <c r="I1731" s="141">
        <v>0</v>
      </c>
      <c r="J1731" s="149">
        <v>0</v>
      </c>
      <c r="K1731" s="150">
        <v>16</v>
      </c>
    </row>
    <row r="1732" spans="1:11" ht="30" customHeight="1">
      <c r="A1732" s="31">
        <v>45098</v>
      </c>
      <c r="B1732" s="16" t="s">
        <v>2775</v>
      </c>
      <c r="C1732" s="15" t="s">
        <v>4182</v>
      </c>
      <c r="D1732" s="15" t="s">
        <v>2802</v>
      </c>
      <c r="E1732" s="15">
        <v>0.21</v>
      </c>
      <c r="F1732" s="131">
        <v>36498.910011790598</v>
      </c>
      <c r="G1732" s="17" t="e">
        <f t="shared" si="26"/>
        <v>#VALUE!</v>
      </c>
      <c r="H1732" s="141">
        <v>88</v>
      </c>
      <c r="I1732" s="141">
        <v>0</v>
      </c>
      <c r="J1732" s="149">
        <v>0</v>
      </c>
      <c r="K1732" s="150">
        <v>16</v>
      </c>
    </row>
    <row r="1733" spans="1:11" ht="30" customHeight="1">
      <c r="A1733" s="31">
        <v>45099</v>
      </c>
      <c r="B1733" s="16" t="s">
        <v>2775</v>
      </c>
      <c r="C1733" s="15" t="s">
        <v>4182</v>
      </c>
      <c r="D1733" s="15" t="s">
        <v>2803</v>
      </c>
      <c r="E1733" s="15">
        <v>0.21</v>
      </c>
      <c r="F1733" s="131">
        <v>36498.910011790598</v>
      </c>
      <c r="G1733" s="17" t="e">
        <f t="shared" si="26"/>
        <v>#VALUE!</v>
      </c>
      <c r="H1733" s="141">
        <v>104</v>
      </c>
      <c r="I1733" s="141">
        <v>0</v>
      </c>
      <c r="J1733" s="149">
        <v>0</v>
      </c>
      <c r="K1733" s="150">
        <v>16</v>
      </c>
    </row>
    <row r="1734" spans="1:11" ht="30" customHeight="1">
      <c r="A1734" s="31">
        <v>45100</v>
      </c>
      <c r="B1734" s="16" t="s">
        <v>2775</v>
      </c>
      <c r="C1734" s="15" t="s">
        <v>4182</v>
      </c>
      <c r="D1734" s="15" t="s">
        <v>4292</v>
      </c>
      <c r="E1734" s="15">
        <v>0.21</v>
      </c>
      <c r="F1734" s="131">
        <v>36498.910011790598</v>
      </c>
      <c r="G1734" s="17" t="e">
        <f t="shared" si="26"/>
        <v>#VALUE!</v>
      </c>
      <c r="H1734" s="141">
        <v>59</v>
      </c>
      <c r="I1734" s="141">
        <v>0</v>
      </c>
      <c r="J1734" s="149">
        <v>0</v>
      </c>
      <c r="K1734" s="150">
        <v>16</v>
      </c>
    </row>
    <row r="1735" spans="1:11" ht="30" customHeight="1">
      <c r="A1735" s="30">
        <v>50100</v>
      </c>
      <c r="B1735" s="16" t="s">
        <v>833</v>
      </c>
      <c r="C1735" s="15" t="s">
        <v>853</v>
      </c>
      <c r="D1735" s="15" t="s">
        <v>854</v>
      </c>
      <c r="E1735" s="15">
        <v>0.21</v>
      </c>
      <c r="F1735" s="131">
        <v>11321.260387464956</v>
      </c>
      <c r="G1735" s="17" t="e">
        <f t="shared" si="26"/>
        <v>#VALUE!</v>
      </c>
      <c r="H1735" s="141">
        <v>280</v>
      </c>
      <c r="I1735" s="141">
        <v>0</v>
      </c>
      <c r="J1735" s="149">
        <v>10</v>
      </c>
      <c r="K1735" s="150">
        <v>40</v>
      </c>
    </row>
    <row r="1736" spans="1:11" ht="30" customHeight="1">
      <c r="A1736" s="30">
        <v>50101</v>
      </c>
      <c r="B1736" s="16" t="s">
        <v>833</v>
      </c>
      <c r="C1736" s="15" t="s">
        <v>853</v>
      </c>
      <c r="D1736" s="15" t="s">
        <v>855</v>
      </c>
      <c r="E1736" s="15">
        <v>0.21</v>
      </c>
      <c r="F1736" s="131">
        <v>28920.674262524106</v>
      </c>
      <c r="G1736" s="17" t="e">
        <f t="shared" si="26"/>
        <v>#VALUE!</v>
      </c>
      <c r="H1736" s="141">
        <v>57</v>
      </c>
      <c r="I1736" s="141">
        <v>0</v>
      </c>
      <c r="J1736" s="149">
        <v>5</v>
      </c>
      <c r="K1736" s="150">
        <v>10</v>
      </c>
    </row>
    <row r="1737" spans="1:11" ht="30" customHeight="1">
      <c r="A1737" s="30">
        <v>50102</v>
      </c>
      <c r="B1737" s="16" t="s">
        <v>833</v>
      </c>
      <c r="C1737" s="15" t="s">
        <v>853</v>
      </c>
      <c r="D1737" s="15" t="s">
        <v>856</v>
      </c>
      <c r="E1737" s="15">
        <v>0.21</v>
      </c>
      <c r="F1737" s="131">
        <v>51254.433390523162</v>
      </c>
      <c r="G1737" s="17" t="e">
        <f t="shared" si="26"/>
        <v>#VALUE!</v>
      </c>
      <c r="H1737" s="141">
        <v>26</v>
      </c>
      <c r="I1737" s="141">
        <v>0</v>
      </c>
      <c r="J1737" s="149">
        <v>0</v>
      </c>
      <c r="K1737" s="150">
        <v>5</v>
      </c>
    </row>
    <row r="1738" spans="1:11" ht="30" customHeight="1">
      <c r="A1738" s="30">
        <v>50004</v>
      </c>
      <c r="B1738" s="16" t="s">
        <v>833</v>
      </c>
      <c r="C1738" s="15" t="s">
        <v>852</v>
      </c>
      <c r="D1738" s="15" t="s">
        <v>2112</v>
      </c>
      <c r="E1738" s="15">
        <v>0.21</v>
      </c>
      <c r="F1738" s="131">
        <v>5876.1456416122846</v>
      </c>
      <c r="G1738" s="17" t="e">
        <f t="shared" si="26"/>
        <v>#VALUE!</v>
      </c>
      <c r="H1738" s="141">
        <v>310</v>
      </c>
      <c r="I1738" s="141">
        <v>0</v>
      </c>
      <c r="J1738" s="149">
        <v>12</v>
      </c>
      <c r="K1738" s="150">
        <v>48</v>
      </c>
    </row>
    <row r="1739" spans="1:11" ht="30" customHeight="1">
      <c r="A1739" s="31">
        <v>62605</v>
      </c>
      <c r="B1739" s="16" t="s">
        <v>2775</v>
      </c>
      <c r="C1739" s="15" t="s">
        <v>3599</v>
      </c>
      <c r="D1739" s="15" t="s">
        <v>3600</v>
      </c>
      <c r="E1739" s="15">
        <v>0.105</v>
      </c>
      <c r="F1739" s="131">
        <v>234417.15560000003</v>
      </c>
      <c r="G1739" s="17" t="e">
        <f t="shared" si="26"/>
        <v>#VALUE!</v>
      </c>
      <c r="H1739" s="141">
        <v>41</v>
      </c>
      <c r="I1739" s="141">
        <v>0</v>
      </c>
      <c r="J1739" s="149" t="e">
        <v>#N/A</v>
      </c>
      <c r="K1739" s="150" t="e">
        <v>#N/A</v>
      </c>
    </row>
    <row r="1740" spans="1:11" ht="30" customHeight="1">
      <c r="A1740" s="31">
        <v>62606</v>
      </c>
      <c r="B1740" s="16" t="s">
        <v>2775</v>
      </c>
      <c r="C1740" s="15" t="s">
        <v>3599</v>
      </c>
      <c r="D1740" s="15" t="s">
        <v>3607</v>
      </c>
      <c r="E1740" s="15">
        <v>0.105</v>
      </c>
      <c r="F1740" s="131">
        <v>391159.2708</v>
      </c>
      <c r="G1740" s="17" t="e">
        <f t="shared" si="26"/>
        <v>#VALUE!</v>
      </c>
      <c r="H1740" s="141">
        <v>44</v>
      </c>
      <c r="I1740" s="141">
        <v>0</v>
      </c>
      <c r="J1740" s="149" t="e">
        <v>#N/A</v>
      </c>
      <c r="K1740" s="150" t="e">
        <v>#N/A</v>
      </c>
    </row>
    <row r="1741" spans="1:11" ht="30" customHeight="1">
      <c r="A1741" s="31">
        <v>62626</v>
      </c>
      <c r="B1741" s="16" t="s">
        <v>2775</v>
      </c>
      <c r="C1741" s="15" t="s">
        <v>3601</v>
      </c>
      <c r="D1741" s="15" t="s">
        <v>3602</v>
      </c>
      <c r="E1741" s="15">
        <v>0.105</v>
      </c>
      <c r="F1741" s="131">
        <v>305702.52659999998</v>
      </c>
      <c r="G1741" s="17" t="e">
        <f t="shared" si="26"/>
        <v>#VALUE!</v>
      </c>
      <c r="H1741" s="141">
        <v>76</v>
      </c>
      <c r="I1741" s="141">
        <v>0</v>
      </c>
      <c r="J1741" s="149" t="e">
        <v>#N/A</v>
      </c>
      <c r="K1741" s="150" t="e">
        <v>#N/A</v>
      </c>
    </row>
    <row r="1742" spans="1:11" ht="30" customHeight="1">
      <c r="A1742" s="31">
        <v>63112</v>
      </c>
      <c r="B1742" s="16" t="s">
        <v>2775</v>
      </c>
      <c r="C1742" s="15" t="s">
        <v>3603</v>
      </c>
      <c r="D1742" s="15" t="s">
        <v>3604</v>
      </c>
      <c r="E1742" s="15">
        <v>0.105</v>
      </c>
      <c r="F1742" s="131">
        <v>1427752.84</v>
      </c>
      <c r="G1742" s="17" t="e">
        <f t="shared" si="26"/>
        <v>#VALUE!</v>
      </c>
      <c r="H1742" s="141">
        <v>43</v>
      </c>
      <c r="I1742" s="141">
        <v>0</v>
      </c>
      <c r="J1742" s="149" t="e">
        <v>#N/A</v>
      </c>
      <c r="K1742" s="150" t="e">
        <v>#N/A</v>
      </c>
    </row>
    <row r="1743" spans="1:11" ht="30" customHeight="1">
      <c r="A1743" s="31">
        <v>80317</v>
      </c>
      <c r="B1743" s="16" t="s">
        <v>2775</v>
      </c>
      <c r="C1743" s="15" t="s">
        <v>3605</v>
      </c>
      <c r="D1743" s="15" t="s">
        <v>3606</v>
      </c>
      <c r="E1743" s="15">
        <v>0.21</v>
      </c>
      <c r="F1743" s="131">
        <v>1973240.8800000001</v>
      </c>
      <c r="G1743" s="17" t="e">
        <f t="shared" si="26"/>
        <v>#VALUE!</v>
      </c>
      <c r="H1743" s="141">
        <v>8</v>
      </c>
      <c r="I1743" s="141">
        <v>0</v>
      </c>
      <c r="J1743" s="149" t="e">
        <v>#N/A</v>
      </c>
      <c r="K1743" s="150" t="e">
        <v>#N/A</v>
      </c>
    </row>
    <row r="1744" spans="1:11" ht="30" customHeight="1">
      <c r="A1744" s="31">
        <v>45025</v>
      </c>
      <c r="B1744" s="16" t="s">
        <v>375</v>
      </c>
      <c r="C1744" s="15" t="s">
        <v>3064</v>
      </c>
      <c r="D1744" s="15">
        <v>14</v>
      </c>
      <c r="E1744" s="15">
        <v>0.21</v>
      </c>
      <c r="F1744" s="131">
        <v>27374.794484342059</v>
      </c>
      <c r="G1744" s="17" t="e">
        <f t="shared" si="26"/>
        <v>#VALUE!</v>
      </c>
      <c r="H1744" s="141">
        <v>1246</v>
      </c>
      <c r="I1744" s="141">
        <v>0</v>
      </c>
      <c r="J1744" s="149">
        <v>12</v>
      </c>
      <c r="K1744" s="150">
        <v>72</v>
      </c>
    </row>
    <row r="1745" spans="1:11" ht="30" customHeight="1">
      <c r="A1745" s="31">
        <v>45026</v>
      </c>
      <c r="B1745" s="16" t="s">
        <v>375</v>
      </c>
      <c r="C1745" s="15" t="s">
        <v>3268</v>
      </c>
      <c r="D1745" s="15">
        <v>14</v>
      </c>
      <c r="E1745" s="15">
        <v>0.21</v>
      </c>
      <c r="F1745" s="131">
        <v>39881.045771604942</v>
      </c>
      <c r="G1745" s="17" t="e">
        <f t="shared" si="26"/>
        <v>#VALUE!</v>
      </c>
      <c r="H1745" s="141">
        <v>828</v>
      </c>
      <c r="I1745" s="141">
        <v>0</v>
      </c>
      <c r="J1745" s="149">
        <v>12</v>
      </c>
      <c r="K1745" s="150">
        <v>48</v>
      </c>
    </row>
    <row r="1746" spans="1:11" ht="30" customHeight="1">
      <c r="A1746" s="31">
        <v>45087</v>
      </c>
      <c r="B1746" s="16" t="s">
        <v>375</v>
      </c>
      <c r="C1746" s="15" t="s">
        <v>2378</v>
      </c>
      <c r="D1746" s="15" t="s">
        <v>4293</v>
      </c>
      <c r="E1746" s="15">
        <v>0.21</v>
      </c>
      <c r="F1746" s="131">
        <v>103437.1387907539</v>
      </c>
      <c r="G1746" s="17" t="e">
        <f t="shared" si="26"/>
        <v>#VALUE!</v>
      </c>
      <c r="H1746" s="141">
        <v>211</v>
      </c>
      <c r="I1746" s="141">
        <v>200</v>
      </c>
      <c r="J1746" s="149">
        <v>0</v>
      </c>
      <c r="K1746" s="150">
        <v>4</v>
      </c>
    </row>
    <row r="1747" spans="1:11" ht="30" customHeight="1">
      <c r="A1747" s="31">
        <v>38090</v>
      </c>
      <c r="B1747" s="16" t="s">
        <v>375</v>
      </c>
      <c r="C1747" s="15" t="s">
        <v>2806</v>
      </c>
      <c r="D1747" s="15" t="s">
        <v>2807</v>
      </c>
      <c r="E1747" s="15">
        <v>0.21</v>
      </c>
      <c r="F1747" s="131">
        <v>22769.962209190471</v>
      </c>
      <c r="G1747" s="17" t="e">
        <f t="shared" si="26"/>
        <v>#VALUE!</v>
      </c>
      <c r="H1747" s="141">
        <v>22</v>
      </c>
      <c r="I1747" s="141">
        <v>0</v>
      </c>
      <c r="J1747" s="149">
        <v>0</v>
      </c>
      <c r="K1747" s="150">
        <v>24</v>
      </c>
    </row>
    <row r="1748" spans="1:11" ht="30" customHeight="1">
      <c r="A1748" s="31">
        <v>45085</v>
      </c>
      <c r="B1748" s="16" t="s">
        <v>375</v>
      </c>
      <c r="C1748" s="15" t="s">
        <v>2808</v>
      </c>
      <c r="D1748" s="15" t="s">
        <v>2809</v>
      </c>
      <c r="E1748" s="15">
        <v>0.21</v>
      </c>
      <c r="F1748" s="131">
        <v>9112.2444548008571</v>
      </c>
      <c r="G1748" s="17" t="e">
        <f t="shared" ref="G1748:G1799" si="27">(F1748*$G$6)</f>
        <v>#VALUE!</v>
      </c>
      <c r="H1748" s="141">
        <v>1178</v>
      </c>
      <c r="I1748" s="141">
        <v>0</v>
      </c>
      <c r="J1748" s="149">
        <v>0</v>
      </c>
      <c r="K1748" s="150">
        <v>50</v>
      </c>
    </row>
    <row r="1749" spans="1:11" ht="30" customHeight="1">
      <c r="A1749" s="31">
        <v>45086</v>
      </c>
      <c r="B1749" s="16" t="s">
        <v>375</v>
      </c>
      <c r="C1749" s="15" t="s">
        <v>2808</v>
      </c>
      <c r="D1749" s="15" t="s">
        <v>2809</v>
      </c>
      <c r="E1749" s="15">
        <v>0.21</v>
      </c>
      <c r="F1749" s="131">
        <v>22180.622010834944</v>
      </c>
      <c r="G1749" s="17" t="e">
        <f t="shared" si="27"/>
        <v>#VALUE!</v>
      </c>
      <c r="H1749" s="141">
        <v>191</v>
      </c>
      <c r="I1749" s="141">
        <v>175</v>
      </c>
      <c r="J1749" s="149">
        <v>0</v>
      </c>
      <c r="K1749" s="150">
        <v>25</v>
      </c>
    </row>
    <row r="1750" spans="1:11" ht="30" customHeight="1">
      <c r="A1750" s="31">
        <v>45075</v>
      </c>
      <c r="B1750" s="16" t="s">
        <v>375</v>
      </c>
      <c r="C1750" s="15" t="s">
        <v>2377</v>
      </c>
      <c r="D1750" s="15"/>
      <c r="E1750" s="15">
        <v>0.21</v>
      </c>
      <c r="F1750" s="131">
        <v>11553.568716353966</v>
      </c>
      <c r="G1750" s="17" t="e">
        <f t="shared" si="27"/>
        <v>#VALUE!</v>
      </c>
      <c r="H1750" s="141">
        <v>1421</v>
      </c>
      <c r="I1750" s="141">
        <v>0</v>
      </c>
      <c r="J1750" s="149">
        <v>10</v>
      </c>
      <c r="K1750" s="150">
        <v>100</v>
      </c>
    </row>
    <row r="1751" spans="1:11" ht="30" customHeight="1">
      <c r="A1751" s="31">
        <v>44928</v>
      </c>
      <c r="B1751" s="16" t="s">
        <v>375</v>
      </c>
      <c r="C1751" s="15" t="s">
        <v>3269</v>
      </c>
      <c r="D1751" s="15" t="s">
        <v>2027</v>
      </c>
      <c r="E1751" s="15">
        <v>0.21</v>
      </c>
      <c r="F1751" s="131">
        <v>26536.409591998294</v>
      </c>
      <c r="G1751" s="17" t="e">
        <f t="shared" si="27"/>
        <v>#VALUE!</v>
      </c>
      <c r="H1751" s="141">
        <v>708</v>
      </c>
      <c r="I1751" s="141">
        <v>0</v>
      </c>
      <c r="J1751" s="149">
        <v>0</v>
      </c>
      <c r="K1751" s="150">
        <v>25</v>
      </c>
    </row>
    <row r="1752" spans="1:11" ht="30" customHeight="1">
      <c r="A1752" s="30">
        <v>44929</v>
      </c>
      <c r="B1752" s="16" t="s">
        <v>375</v>
      </c>
      <c r="C1752" s="15" t="s">
        <v>3270</v>
      </c>
      <c r="D1752" s="15" t="s">
        <v>379</v>
      </c>
      <c r="E1752" s="15">
        <v>0.21</v>
      </c>
      <c r="F1752" s="131">
        <v>31391.550200000001</v>
      </c>
      <c r="G1752" s="17" t="e">
        <f t="shared" si="27"/>
        <v>#VALUE!</v>
      </c>
      <c r="H1752" s="141">
        <v>721</v>
      </c>
      <c r="I1752" s="141">
        <v>0</v>
      </c>
      <c r="J1752" s="149">
        <v>0</v>
      </c>
      <c r="K1752" s="150">
        <v>25</v>
      </c>
    </row>
    <row r="1753" spans="1:11" ht="30" customHeight="1">
      <c r="A1753" s="31">
        <v>44935</v>
      </c>
      <c r="B1753" s="16" t="s">
        <v>375</v>
      </c>
      <c r="C1753" s="15" t="s">
        <v>3269</v>
      </c>
      <c r="D1753" s="15" t="s">
        <v>2028</v>
      </c>
      <c r="E1753" s="15">
        <v>0.21</v>
      </c>
      <c r="F1753" s="131">
        <v>30271.182482878714</v>
      </c>
      <c r="G1753" s="17" t="e">
        <f t="shared" si="27"/>
        <v>#VALUE!</v>
      </c>
      <c r="H1753" s="141">
        <v>662</v>
      </c>
      <c r="I1753" s="141">
        <v>0</v>
      </c>
      <c r="J1753" s="149">
        <v>0</v>
      </c>
      <c r="K1753" s="150">
        <v>25</v>
      </c>
    </row>
    <row r="1754" spans="1:11" ht="30" customHeight="1">
      <c r="A1754" s="30">
        <v>44936</v>
      </c>
      <c r="B1754" s="16" t="s">
        <v>375</v>
      </c>
      <c r="C1754" s="15" t="s">
        <v>3271</v>
      </c>
      <c r="D1754" s="15" t="s">
        <v>718</v>
      </c>
      <c r="E1754" s="15">
        <v>0.21</v>
      </c>
      <c r="F1754" s="131">
        <v>33201.839400000004</v>
      </c>
      <c r="G1754" s="17" t="e">
        <f t="shared" si="27"/>
        <v>#VALUE!</v>
      </c>
      <c r="H1754" s="141">
        <v>709</v>
      </c>
      <c r="I1754" s="141">
        <v>0</v>
      </c>
      <c r="J1754" s="149">
        <v>0</v>
      </c>
      <c r="K1754" s="150">
        <v>25</v>
      </c>
    </row>
    <row r="1755" spans="1:11" ht="30" customHeight="1">
      <c r="A1755" s="30">
        <v>44940</v>
      </c>
      <c r="B1755" s="16" t="s">
        <v>375</v>
      </c>
      <c r="C1755" s="15" t="s">
        <v>380</v>
      </c>
      <c r="D1755" s="15" t="s">
        <v>381</v>
      </c>
      <c r="E1755" s="15">
        <v>0.21</v>
      </c>
      <c r="F1755" s="131">
        <v>8714.0493215667957</v>
      </c>
      <c r="G1755" s="17" t="e">
        <f t="shared" si="27"/>
        <v>#VALUE!</v>
      </c>
      <c r="H1755" s="141">
        <v>1647</v>
      </c>
      <c r="I1755" s="141">
        <v>0</v>
      </c>
      <c r="J1755" s="149">
        <v>0</v>
      </c>
      <c r="K1755" s="150">
        <v>60</v>
      </c>
    </row>
    <row r="1756" spans="1:11" ht="30" customHeight="1">
      <c r="A1756" s="30">
        <v>44941</v>
      </c>
      <c r="B1756" s="16" t="s">
        <v>375</v>
      </c>
      <c r="C1756" s="15" t="s">
        <v>380</v>
      </c>
      <c r="D1756" s="15" t="s">
        <v>382</v>
      </c>
      <c r="E1756" s="15">
        <v>0.21</v>
      </c>
      <c r="F1756" s="131">
        <v>12038.968520887889</v>
      </c>
      <c r="G1756" s="17" t="e">
        <f t="shared" si="27"/>
        <v>#VALUE!</v>
      </c>
      <c r="H1756" s="141">
        <v>698</v>
      </c>
      <c r="I1756" s="141">
        <v>0</v>
      </c>
      <c r="J1756" s="149">
        <v>0</v>
      </c>
      <c r="K1756" s="150">
        <v>40</v>
      </c>
    </row>
    <row r="1757" spans="1:11" ht="30" customHeight="1">
      <c r="A1757" s="30">
        <v>44910</v>
      </c>
      <c r="B1757" s="16" t="s">
        <v>375</v>
      </c>
      <c r="C1757" s="15" t="s">
        <v>1921</v>
      </c>
      <c r="D1757" s="15" t="s">
        <v>376</v>
      </c>
      <c r="E1757" s="15">
        <v>0.21</v>
      </c>
      <c r="F1757" s="131">
        <v>9304.1020051419273</v>
      </c>
      <c r="G1757" s="17" t="e">
        <f t="shared" si="27"/>
        <v>#VALUE!</v>
      </c>
      <c r="H1757" s="141">
        <v>404</v>
      </c>
      <c r="I1757" s="141">
        <v>0</v>
      </c>
      <c r="J1757" s="149">
        <v>6</v>
      </c>
      <c r="K1757" s="150">
        <v>48</v>
      </c>
    </row>
    <row r="1758" spans="1:11" ht="30" customHeight="1">
      <c r="A1758" s="30">
        <v>44911</v>
      </c>
      <c r="B1758" s="16" t="s">
        <v>375</v>
      </c>
      <c r="C1758" s="15" t="s">
        <v>1921</v>
      </c>
      <c r="D1758" s="15" t="s">
        <v>377</v>
      </c>
      <c r="E1758" s="15">
        <v>0.21</v>
      </c>
      <c r="F1758" s="131">
        <v>14131.702102149529</v>
      </c>
      <c r="G1758" s="17" t="e">
        <f t="shared" si="27"/>
        <v>#VALUE!</v>
      </c>
      <c r="H1758" s="141">
        <v>464</v>
      </c>
      <c r="I1758" s="141">
        <v>0</v>
      </c>
      <c r="J1758" s="149">
        <v>6</v>
      </c>
      <c r="K1758" s="150">
        <v>30</v>
      </c>
    </row>
    <row r="1759" spans="1:11" ht="30" customHeight="1">
      <c r="A1759" s="30">
        <v>44912</v>
      </c>
      <c r="B1759" s="16" t="s">
        <v>375</v>
      </c>
      <c r="C1759" s="15" t="s">
        <v>1921</v>
      </c>
      <c r="D1759" s="15" t="s">
        <v>378</v>
      </c>
      <c r="E1759" s="15">
        <v>0.21</v>
      </c>
      <c r="F1759" s="131">
        <v>24489.0986739113</v>
      </c>
      <c r="G1759" s="17" t="e">
        <f t="shared" si="27"/>
        <v>#VALUE!</v>
      </c>
      <c r="H1759" s="141">
        <v>195</v>
      </c>
      <c r="I1759" s="141">
        <v>0</v>
      </c>
      <c r="J1759" s="149">
        <v>6</v>
      </c>
      <c r="K1759" s="150">
        <v>18</v>
      </c>
    </row>
    <row r="1760" spans="1:11" ht="30" customHeight="1">
      <c r="A1760" s="30">
        <v>44945</v>
      </c>
      <c r="B1760" s="16" t="s">
        <v>375</v>
      </c>
      <c r="C1760" s="15" t="s">
        <v>1922</v>
      </c>
      <c r="D1760" s="15" t="s">
        <v>271</v>
      </c>
      <c r="E1760" s="15">
        <v>0.21</v>
      </c>
      <c r="F1760" s="131">
        <v>11994.623011392152</v>
      </c>
      <c r="G1760" s="17" t="e">
        <f t="shared" si="27"/>
        <v>#VALUE!</v>
      </c>
      <c r="H1760" s="141">
        <v>212</v>
      </c>
      <c r="I1760" s="141">
        <v>0</v>
      </c>
      <c r="J1760" s="149">
        <v>8</v>
      </c>
      <c r="K1760" s="150">
        <v>48</v>
      </c>
    </row>
    <row r="1761" spans="1:11" ht="30" customHeight="1">
      <c r="A1761" s="30">
        <v>73175</v>
      </c>
      <c r="B1761" s="16" t="s">
        <v>730</v>
      </c>
      <c r="C1761" s="15" t="s">
        <v>731</v>
      </c>
      <c r="D1761" s="15" t="s">
        <v>732</v>
      </c>
      <c r="E1761" s="15">
        <v>0.105</v>
      </c>
      <c r="F1761" s="131">
        <v>79504.737842517308</v>
      </c>
      <c r="G1761" s="17" t="e">
        <f t="shared" si="27"/>
        <v>#VALUE!</v>
      </c>
      <c r="H1761" s="141">
        <v>104</v>
      </c>
      <c r="I1761" s="141">
        <v>0</v>
      </c>
      <c r="J1761" s="149">
        <v>0</v>
      </c>
      <c r="K1761" s="150">
        <v>18</v>
      </c>
    </row>
    <row r="1762" spans="1:11" ht="30" customHeight="1">
      <c r="A1762" s="30">
        <v>73185</v>
      </c>
      <c r="B1762" s="16" t="s">
        <v>730</v>
      </c>
      <c r="C1762" s="15" t="s">
        <v>733</v>
      </c>
      <c r="D1762" s="15" t="s">
        <v>734</v>
      </c>
      <c r="E1762" s="15">
        <v>0.105</v>
      </c>
      <c r="F1762" s="131">
        <v>93661.710516410734</v>
      </c>
      <c r="G1762" s="17" t="e">
        <f t="shared" si="27"/>
        <v>#VALUE!</v>
      </c>
      <c r="H1762" s="141">
        <v>33</v>
      </c>
      <c r="I1762" s="141">
        <v>0</v>
      </c>
      <c r="J1762" s="149">
        <v>0</v>
      </c>
      <c r="K1762" s="150">
        <v>10</v>
      </c>
    </row>
    <row r="1763" spans="1:11" ht="30" customHeight="1">
      <c r="A1763" s="30">
        <v>73160</v>
      </c>
      <c r="B1763" s="16" t="s">
        <v>730</v>
      </c>
      <c r="C1763" s="15" t="s">
        <v>735</v>
      </c>
      <c r="D1763" s="15" t="s">
        <v>736</v>
      </c>
      <c r="E1763" s="15">
        <v>0.105</v>
      </c>
      <c r="F1763" s="131">
        <v>66886.566546221016</v>
      </c>
      <c r="G1763" s="17" t="e">
        <f t="shared" si="27"/>
        <v>#VALUE!</v>
      </c>
      <c r="H1763" s="141">
        <v>100</v>
      </c>
      <c r="I1763" s="141">
        <v>0</v>
      </c>
      <c r="J1763" s="149">
        <v>0</v>
      </c>
      <c r="K1763" s="150">
        <v>20</v>
      </c>
    </row>
    <row r="1764" spans="1:11" ht="30" customHeight="1">
      <c r="A1764" s="30">
        <v>73170</v>
      </c>
      <c r="B1764" s="16" t="s">
        <v>730</v>
      </c>
      <c r="C1764" s="15" t="s">
        <v>735</v>
      </c>
      <c r="D1764" s="15" t="s">
        <v>737</v>
      </c>
      <c r="E1764" s="15">
        <v>0.105</v>
      </c>
      <c r="F1764" s="131">
        <v>124335.15130984642</v>
      </c>
      <c r="G1764" s="17" t="e">
        <f t="shared" si="27"/>
        <v>#VALUE!</v>
      </c>
      <c r="H1764" s="141">
        <v>129</v>
      </c>
      <c r="I1764" s="141">
        <v>0</v>
      </c>
      <c r="J1764" s="149">
        <v>0</v>
      </c>
      <c r="K1764" s="150">
        <v>18</v>
      </c>
    </row>
    <row r="1765" spans="1:11" ht="30" customHeight="1">
      <c r="A1765" s="30">
        <v>73180</v>
      </c>
      <c r="B1765" s="16" t="s">
        <v>730</v>
      </c>
      <c r="C1765" s="15" t="s">
        <v>735</v>
      </c>
      <c r="D1765" s="15" t="s">
        <v>738</v>
      </c>
      <c r="E1765" s="15">
        <v>0.105</v>
      </c>
      <c r="F1765" s="131">
        <v>146288.7176302319</v>
      </c>
      <c r="G1765" s="17" t="e">
        <f t="shared" si="27"/>
        <v>#VALUE!</v>
      </c>
      <c r="H1765" s="141">
        <v>60</v>
      </c>
      <c r="I1765" s="141">
        <v>0</v>
      </c>
      <c r="J1765" s="149">
        <v>0</v>
      </c>
      <c r="K1765" s="150">
        <v>10</v>
      </c>
    </row>
    <row r="1766" spans="1:11" ht="30" customHeight="1">
      <c r="A1766" s="30">
        <v>73191</v>
      </c>
      <c r="B1766" s="16" t="s">
        <v>730</v>
      </c>
      <c r="C1766" s="15" t="s">
        <v>3272</v>
      </c>
      <c r="D1766" s="15" t="s">
        <v>4294</v>
      </c>
      <c r="E1766" s="15">
        <v>0.105</v>
      </c>
      <c r="F1766" s="131">
        <v>33648.456790123455</v>
      </c>
      <c r="G1766" s="17" t="e">
        <f t="shared" si="27"/>
        <v>#VALUE!</v>
      </c>
      <c r="H1766" s="141">
        <v>1</v>
      </c>
      <c r="I1766" s="141">
        <v>0</v>
      </c>
      <c r="J1766" s="149" t="e">
        <v>#N/A</v>
      </c>
      <c r="K1766" s="150" t="e">
        <v>#N/A</v>
      </c>
    </row>
    <row r="1767" spans="1:11" ht="30" customHeight="1">
      <c r="A1767" s="31">
        <v>73190</v>
      </c>
      <c r="B1767" s="16" t="s">
        <v>730</v>
      </c>
      <c r="C1767" s="15" t="s">
        <v>3273</v>
      </c>
      <c r="D1767" s="15" t="s">
        <v>4295</v>
      </c>
      <c r="E1767" s="15">
        <v>0.105</v>
      </c>
      <c r="F1767" s="131">
        <v>62885.682964468542</v>
      </c>
      <c r="G1767" s="17" t="e">
        <f t="shared" si="27"/>
        <v>#VALUE!</v>
      </c>
      <c r="H1767" s="141">
        <v>93</v>
      </c>
      <c r="I1767" s="141">
        <v>0</v>
      </c>
      <c r="J1767" s="149">
        <v>2</v>
      </c>
      <c r="K1767" s="150">
        <v>10</v>
      </c>
    </row>
    <row r="1768" spans="1:11" ht="30" customHeight="1">
      <c r="A1768" s="30">
        <v>73193</v>
      </c>
      <c r="B1768" s="16" t="s">
        <v>730</v>
      </c>
      <c r="C1768" s="15" t="s">
        <v>1944</v>
      </c>
      <c r="D1768" s="15" t="s">
        <v>739</v>
      </c>
      <c r="E1768" s="15">
        <v>0.105</v>
      </c>
      <c r="F1768" s="131">
        <v>35495.018443239984</v>
      </c>
      <c r="G1768" s="17" t="e">
        <f t="shared" si="27"/>
        <v>#VALUE!</v>
      </c>
      <c r="H1768" s="141">
        <v>414</v>
      </c>
      <c r="I1768" s="141">
        <v>0</v>
      </c>
      <c r="J1768" s="149">
        <v>6</v>
      </c>
      <c r="K1768" s="150">
        <v>36</v>
      </c>
    </row>
    <row r="1769" spans="1:11" ht="30" customHeight="1">
      <c r="A1769" s="30">
        <v>73195</v>
      </c>
      <c r="B1769" s="16" t="s">
        <v>730</v>
      </c>
      <c r="C1769" s="15" t="s">
        <v>740</v>
      </c>
      <c r="D1769" s="15" t="s">
        <v>741</v>
      </c>
      <c r="E1769" s="15">
        <v>0.105</v>
      </c>
      <c r="F1769" s="131">
        <v>13336.278605841617</v>
      </c>
      <c r="G1769" s="17" t="e">
        <f t="shared" si="27"/>
        <v>#VALUE!</v>
      </c>
      <c r="H1769" s="141">
        <v>442</v>
      </c>
      <c r="I1769" s="141">
        <v>0</v>
      </c>
      <c r="J1769" s="149">
        <v>10</v>
      </c>
      <c r="K1769" s="150">
        <v>40</v>
      </c>
    </row>
    <row r="1770" spans="1:11" ht="30" customHeight="1">
      <c r="A1770" s="30">
        <v>73198</v>
      </c>
      <c r="B1770" s="16" t="s">
        <v>730</v>
      </c>
      <c r="C1770" s="15" t="s">
        <v>1945</v>
      </c>
      <c r="D1770" s="15" t="s">
        <v>742</v>
      </c>
      <c r="E1770" s="15">
        <v>0.105</v>
      </c>
      <c r="F1770" s="131">
        <v>117769.59876543211</v>
      </c>
      <c r="G1770" s="17" t="e">
        <f t="shared" si="27"/>
        <v>#VALUE!</v>
      </c>
      <c r="H1770" s="141">
        <v>88</v>
      </c>
      <c r="I1770" s="141">
        <v>0</v>
      </c>
      <c r="J1770" s="149">
        <v>0</v>
      </c>
      <c r="K1770" s="150">
        <v>8</v>
      </c>
    </row>
    <row r="1771" spans="1:11" ht="30" customHeight="1">
      <c r="A1771" s="30">
        <v>73151</v>
      </c>
      <c r="B1771" s="16" t="s">
        <v>730</v>
      </c>
      <c r="C1771" s="15" t="s">
        <v>1943</v>
      </c>
      <c r="D1771" s="15" t="s">
        <v>743</v>
      </c>
      <c r="E1771" s="15">
        <v>0.21</v>
      </c>
      <c r="F1771" s="131">
        <v>30681.618475860683</v>
      </c>
      <c r="G1771" s="17" t="e">
        <f t="shared" si="27"/>
        <v>#VALUE!</v>
      </c>
      <c r="H1771" s="141">
        <v>132</v>
      </c>
      <c r="I1771" s="141">
        <v>0</v>
      </c>
      <c r="J1771" s="149">
        <v>0</v>
      </c>
      <c r="K1771" s="150">
        <v>25</v>
      </c>
    </row>
    <row r="1772" spans="1:11" ht="30" customHeight="1">
      <c r="A1772" s="30">
        <v>73152</v>
      </c>
      <c r="B1772" s="16" t="s">
        <v>730</v>
      </c>
      <c r="C1772" s="15" t="s">
        <v>1943</v>
      </c>
      <c r="D1772" s="15" t="s">
        <v>744</v>
      </c>
      <c r="E1772" s="15">
        <v>0.21</v>
      </c>
      <c r="F1772" s="131">
        <v>41409.457103783992</v>
      </c>
      <c r="G1772" s="17" t="e">
        <f t="shared" si="27"/>
        <v>#VALUE!</v>
      </c>
      <c r="H1772" s="141">
        <v>117</v>
      </c>
      <c r="I1772" s="141">
        <v>0</v>
      </c>
      <c r="J1772" s="149">
        <v>0</v>
      </c>
      <c r="K1772" s="150">
        <v>25</v>
      </c>
    </row>
    <row r="1773" spans="1:11" ht="30" customHeight="1">
      <c r="A1773" s="31">
        <v>73159</v>
      </c>
      <c r="B1773" s="16" t="s">
        <v>730</v>
      </c>
      <c r="C1773" s="15" t="s">
        <v>3274</v>
      </c>
      <c r="D1773" s="15" t="s">
        <v>3065</v>
      </c>
      <c r="E1773" s="15">
        <v>0.105</v>
      </c>
      <c r="F1773" s="131">
        <v>357100.30480000004</v>
      </c>
      <c r="G1773" s="17" t="e">
        <f t="shared" si="27"/>
        <v>#VALUE!</v>
      </c>
      <c r="H1773" s="141">
        <v>4</v>
      </c>
      <c r="I1773" s="141">
        <v>0</v>
      </c>
      <c r="J1773" s="149">
        <v>0</v>
      </c>
      <c r="K1773" s="150">
        <v>1</v>
      </c>
    </row>
    <row r="1774" spans="1:11" ht="30" customHeight="1">
      <c r="A1774" s="31">
        <v>73302</v>
      </c>
      <c r="B1774" s="16" t="s">
        <v>730</v>
      </c>
      <c r="C1774" s="15" t="s">
        <v>3275</v>
      </c>
      <c r="D1774" s="15" t="s">
        <v>98</v>
      </c>
      <c r="E1774" s="15">
        <v>0.105</v>
      </c>
      <c r="F1774" s="131">
        <v>262557.02560492634</v>
      </c>
      <c r="G1774" s="17" t="e">
        <f t="shared" si="27"/>
        <v>#VALUE!</v>
      </c>
      <c r="H1774" s="141">
        <v>65</v>
      </c>
      <c r="I1774" s="141">
        <v>0</v>
      </c>
      <c r="J1774" s="149">
        <v>0</v>
      </c>
      <c r="K1774" s="150">
        <v>6</v>
      </c>
    </row>
    <row r="1775" spans="1:11" ht="30" customHeight="1">
      <c r="A1775" s="31">
        <v>73301</v>
      </c>
      <c r="B1775" s="16" t="s">
        <v>730</v>
      </c>
      <c r="C1775" s="15" t="s">
        <v>3276</v>
      </c>
      <c r="D1775" s="15" t="s">
        <v>98</v>
      </c>
      <c r="E1775" s="15">
        <v>0.105</v>
      </c>
      <c r="F1775" s="131">
        <v>251613.21857288486</v>
      </c>
      <c r="G1775" s="17" t="e">
        <f t="shared" si="27"/>
        <v>#VALUE!</v>
      </c>
      <c r="H1775" s="141">
        <v>70</v>
      </c>
      <c r="I1775" s="141">
        <v>0</v>
      </c>
      <c r="J1775" s="149">
        <v>0</v>
      </c>
      <c r="K1775" s="150">
        <v>6</v>
      </c>
    </row>
    <row r="1776" spans="1:11" ht="30" customHeight="1">
      <c r="A1776" s="31">
        <v>73395</v>
      </c>
      <c r="B1776" s="16" t="s">
        <v>730</v>
      </c>
      <c r="C1776" s="15" t="s">
        <v>3277</v>
      </c>
      <c r="D1776" s="15" t="s">
        <v>62</v>
      </c>
      <c r="E1776" s="15">
        <v>0.105</v>
      </c>
      <c r="F1776" s="131">
        <v>891996.47335928329</v>
      </c>
      <c r="G1776" s="17" t="e">
        <f t="shared" si="27"/>
        <v>#VALUE!</v>
      </c>
      <c r="H1776" s="141">
        <v>14</v>
      </c>
      <c r="I1776" s="141">
        <v>0</v>
      </c>
      <c r="J1776" s="149">
        <v>0</v>
      </c>
      <c r="K1776" s="150">
        <v>1</v>
      </c>
    </row>
    <row r="1777" spans="1:11" ht="30" customHeight="1">
      <c r="A1777" s="31">
        <v>73315</v>
      </c>
      <c r="B1777" s="16" t="s">
        <v>730</v>
      </c>
      <c r="C1777" s="15" t="s">
        <v>3278</v>
      </c>
      <c r="D1777" s="15" t="s">
        <v>98</v>
      </c>
      <c r="E1777" s="15">
        <v>0.105</v>
      </c>
      <c r="F1777" s="131">
        <v>116477.52179327969</v>
      </c>
      <c r="G1777" s="17" t="e">
        <f t="shared" si="27"/>
        <v>#VALUE!</v>
      </c>
      <c r="H1777" s="141">
        <v>123</v>
      </c>
      <c r="I1777" s="141">
        <v>0</v>
      </c>
      <c r="J1777" s="149">
        <v>0</v>
      </c>
      <c r="K1777" s="150">
        <v>12</v>
      </c>
    </row>
    <row r="1778" spans="1:11" ht="30" customHeight="1">
      <c r="A1778" s="31">
        <v>73325</v>
      </c>
      <c r="B1778" s="16" t="s">
        <v>730</v>
      </c>
      <c r="C1778" s="15" t="s">
        <v>3279</v>
      </c>
      <c r="D1778" s="15" t="s">
        <v>96</v>
      </c>
      <c r="E1778" s="15">
        <v>0.105</v>
      </c>
      <c r="F1778" s="131">
        <v>63696.057200000003</v>
      </c>
      <c r="G1778" s="17" t="e">
        <f t="shared" si="27"/>
        <v>#VALUE!</v>
      </c>
      <c r="H1778" s="141">
        <v>179</v>
      </c>
      <c r="I1778" s="141">
        <v>0</v>
      </c>
      <c r="J1778" s="149">
        <v>0</v>
      </c>
      <c r="K1778" s="150">
        <v>20</v>
      </c>
    </row>
    <row r="1779" spans="1:11" ht="30" customHeight="1">
      <c r="A1779" s="31">
        <v>73382</v>
      </c>
      <c r="B1779" s="16" t="s">
        <v>730</v>
      </c>
      <c r="C1779" s="15" t="s">
        <v>3280</v>
      </c>
      <c r="D1779" s="15" t="s">
        <v>2810</v>
      </c>
      <c r="E1779" s="15">
        <v>0.105</v>
      </c>
      <c r="F1779" s="131">
        <v>197213.49873721972</v>
      </c>
      <c r="G1779" s="17" t="e">
        <f t="shared" si="27"/>
        <v>#VALUE!</v>
      </c>
      <c r="H1779" s="141">
        <v>46</v>
      </c>
      <c r="I1779" s="141">
        <v>0</v>
      </c>
      <c r="J1779" s="149">
        <v>0</v>
      </c>
      <c r="K1779" s="150">
        <v>4</v>
      </c>
    </row>
    <row r="1780" spans="1:11" ht="30" customHeight="1">
      <c r="A1780" s="31">
        <v>73384</v>
      </c>
      <c r="B1780" s="16" t="s">
        <v>730</v>
      </c>
      <c r="C1780" s="15" t="s">
        <v>3281</v>
      </c>
      <c r="D1780" s="15" t="s">
        <v>2590</v>
      </c>
      <c r="E1780" s="15">
        <v>0.105</v>
      </c>
      <c r="F1780" s="131">
        <v>72390.235507038335</v>
      </c>
      <c r="G1780" s="17" t="e">
        <f t="shared" si="27"/>
        <v>#VALUE!</v>
      </c>
      <c r="H1780" s="141">
        <v>68</v>
      </c>
      <c r="I1780" s="141">
        <v>0</v>
      </c>
      <c r="J1780" s="149">
        <v>0</v>
      </c>
      <c r="K1780" s="150">
        <v>6</v>
      </c>
    </row>
    <row r="1781" spans="1:11" ht="30" customHeight="1">
      <c r="A1781" s="31">
        <v>72801</v>
      </c>
      <c r="B1781" s="16" t="s">
        <v>730</v>
      </c>
      <c r="C1781" s="15" t="s">
        <v>3282</v>
      </c>
      <c r="D1781" s="15" t="s">
        <v>96</v>
      </c>
      <c r="E1781" s="15">
        <v>0.21</v>
      </c>
      <c r="F1781" s="131">
        <v>2277.1441196843598</v>
      </c>
      <c r="G1781" s="17" t="e">
        <f t="shared" si="27"/>
        <v>#VALUE!</v>
      </c>
      <c r="H1781" s="141">
        <v>780</v>
      </c>
      <c r="I1781" s="141">
        <v>0</v>
      </c>
      <c r="J1781" s="149">
        <v>50</v>
      </c>
      <c r="K1781" s="150">
        <v>250</v>
      </c>
    </row>
    <row r="1782" spans="1:11" ht="30" customHeight="1">
      <c r="A1782" s="31">
        <v>72802</v>
      </c>
      <c r="B1782" s="16" t="s">
        <v>730</v>
      </c>
      <c r="C1782" s="15" t="s">
        <v>3283</v>
      </c>
      <c r="D1782" s="15" t="s">
        <v>96</v>
      </c>
      <c r="E1782" s="15">
        <v>0.21</v>
      </c>
      <c r="F1782" s="131">
        <v>2277.1441196843598</v>
      </c>
      <c r="G1782" s="17" t="e">
        <f t="shared" si="27"/>
        <v>#VALUE!</v>
      </c>
      <c r="H1782" s="141">
        <v>734</v>
      </c>
      <c r="I1782" s="141">
        <v>0</v>
      </c>
      <c r="J1782" s="149">
        <v>50</v>
      </c>
      <c r="K1782" s="150">
        <v>250</v>
      </c>
    </row>
    <row r="1783" spans="1:11" ht="30" customHeight="1">
      <c r="A1783" s="31">
        <v>72811</v>
      </c>
      <c r="B1783" s="16" t="s">
        <v>730</v>
      </c>
      <c r="C1783" s="15" t="s">
        <v>3284</v>
      </c>
      <c r="D1783" s="15" t="s">
        <v>96</v>
      </c>
      <c r="E1783" s="15">
        <v>0.21</v>
      </c>
      <c r="F1783" s="131">
        <v>9315.5895805269247</v>
      </c>
      <c r="G1783" s="17" t="e">
        <f t="shared" si="27"/>
        <v>#VALUE!</v>
      </c>
      <c r="H1783" s="141">
        <v>146</v>
      </c>
      <c r="I1783" s="141">
        <v>0</v>
      </c>
      <c r="J1783" s="149">
        <v>20</v>
      </c>
      <c r="K1783" s="150">
        <v>120</v>
      </c>
    </row>
    <row r="1784" spans="1:11" ht="30" customHeight="1">
      <c r="A1784" s="31">
        <v>72812</v>
      </c>
      <c r="B1784" s="16" t="s">
        <v>730</v>
      </c>
      <c r="C1784" s="15" t="s">
        <v>3285</v>
      </c>
      <c r="D1784" s="15" t="s">
        <v>96</v>
      </c>
      <c r="E1784" s="15">
        <v>0.21</v>
      </c>
      <c r="F1784" s="131">
        <v>9315.5895805269247</v>
      </c>
      <c r="G1784" s="17" t="e">
        <f t="shared" si="27"/>
        <v>#VALUE!</v>
      </c>
      <c r="H1784" s="141">
        <v>543</v>
      </c>
      <c r="I1784" s="141">
        <v>0</v>
      </c>
      <c r="J1784" s="149">
        <v>20</v>
      </c>
      <c r="K1784" s="150">
        <v>120</v>
      </c>
    </row>
    <row r="1785" spans="1:11" ht="30" customHeight="1">
      <c r="A1785" s="31">
        <v>73420</v>
      </c>
      <c r="B1785" s="16" t="s">
        <v>730</v>
      </c>
      <c r="C1785" s="15" t="s">
        <v>3286</v>
      </c>
      <c r="D1785" s="15" t="s">
        <v>2665</v>
      </c>
      <c r="E1785" s="15">
        <v>0.105</v>
      </c>
      <c r="F1785" s="131">
        <v>154255.228</v>
      </c>
      <c r="G1785" s="17" t="e">
        <f t="shared" si="27"/>
        <v>#VALUE!</v>
      </c>
      <c r="H1785" s="141">
        <v>39</v>
      </c>
      <c r="I1785" s="141">
        <v>0</v>
      </c>
      <c r="J1785" s="149">
        <v>0</v>
      </c>
      <c r="K1785" s="150">
        <v>6</v>
      </c>
    </row>
    <row r="1786" spans="1:11" ht="30" customHeight="1">
      <c r="A1786" s="31">
        <v>73425</v>
      </c>
      <c r="B1786" s="16" t="s">
        <v>730</v>
      </c>
      <c r="C1786" s="15" t="s">
        <v>2811</v>
      </c>
      <c r="D1786" s="15" t="s">
        <v>2665</v>
      </c>
      <c r="E1786" s="15">
        <v>0.105</v>
      </c>
      <c r="F1786" s="131">
        <v>138008.12040000001</v>
      </c>
      <c r="G1786" s="17" t="e">
        <f t="shared" si="27"/>
        <v>#VALUE!</v>
      </c>
      <c r="H1786" s="141">
        <v>60</v>
      </c>
      <c r="I1786" s="141">
        <v>0</v>
      </c>
      <c r="J1786" s="149">
        <v>0</v>
      </c>
      <c r="K1786" s="150">
        <v>8</v>
      </c>
    </row>
    <row r="1787" spans="1:11" ht="30" customHeight="1">
      <c r="A1787" s="31">
        <v>73443</v>
      </c>
      <c r="B1787" s="16" t="s">
        <v>730</v>
      </c>
      <c r="C1787" s="15" t="s">
        <v>2812</v>
      </c>
      <c r="D1787" s="15" t="s">
        <v>2813</v>
      </c>
      <c r="E1787" s="15">
        <v>0.21</v>
      </c>
      <c r="F1787" s="131">
        <v>15908.019074790953</v>
      </c>
      <c r="G1787" s="17" t="e">
        <f t="shared" si="27"/>
        <v>#VALUE!</v>
      </c>
      <c r="H1787" s="141">
        <v>58</v>
      </c>
      <c r="I1787" s="141">
        <v>0</v>
      </c>
      <c r="J1787" s="149">
        <v>0</v>
      </c>
      <c r="K1787" s="150">
        <v>10</v>
      </c>
    </row>
    <row r="1788" spans="1:11" ht="30" customHeight="1">
      <c r="A1788" s="31">
        <v>73444</v>
      </c>
      <c r="B1788" s="16" t="s">
        <v>730</v>
      </c>
      <c r="C1788" s="15" t="s">
        <v>2812</v>
      </c>
      <c r="D1788" s="15" t="s">
        <v>2814</v>
      </c>
      <c r="E1788" s="15">
        <v>0.21</v>
      </c>
      <c r="F1788" s="131">
        <v>18759.554995616912</v>
      </c>
      <c r="G1788" s="17" t="e">
        <f t="shared" si="27"/>
        <v>#VALUE!</v>
      </c>
      <c r="H1788" s="141">
        <v>47</v>
      </c>
      <c r="I1788" s="141">
        <v>0</v>
      </c>
      <c r="J1788" s="149">
        <v>0</v>
      </c>
      <c r="K1788" s="150">
        <v>10</v>
      </c>
    </row>
    <row r="1789" spans="1:11" ht="30" customHeight="1">
      <c r="A1789" s="31">
        <v>73445</v>
      </c>
      <c r="B1789" s="16" t="s">
        <v>730</v>
      </c>
      <c r="C1789" s="15" t="s">
        <v>2812</v>
      </c>
      <c r="D1789" s="15" t="s">
        <v>133</v>
      </c>
      <c r="E1789" s="15">
        <v>0.21</v>
      </c>
      <c r="F1789" s="131">
        <v>20263.744400000003</v>
      </c>
      <c r="G1789" s="17" t="e">
        <f t="shared" si="27"/>
        <v>#VALUE!</v>
      </c>
      <c r="H1789" s="141">
        <v>34</v>
      </c>
      <c r="I1789" s="141">
        <v>0</v>
      </c>
      <c r="J1789" s="149">
        <v>0</v>
      </c>
      <c r="K1789" s="150">
        <v>10</v>
      </c>
    </row>
    <row r="1790" spans="1:11" ht="30" customHeight="1">
      <c r="A1790" s="31">
        <v>73448</v>
      </c>
      <c r="B1790" s="16" t="s">
        <v>730</v>
      </c>
      <c r="C1790" s="15" t="s">
        <v>2812</v>
      </c>
      <c r="D1790" s="15" t="s">
        <v>2815</v>
      </c>
      <c r="E1790" s="15">
        <v>0.21</v>
      </c>
      <c r="F1790" s="131">
        <v>24901.324671242048</v>
      </c>
      <c r="G1790" s="17" t="e">
        <f t="shared" si="27"/>
        <v>#VALUE!</v>
      </c>
      <c r="H1790" s="141">
        <v>97</v>
      </c>
      <c r="I1790" s="141">
        <v>0</v>
      </c>
      <c r="J1790" s="149">
        <v>0</v>
      </c>
      <c r="K1790" s="150">
        <v>10</v>
      </c>
    </row>
    <row r="1791" spans="1:11" ht="30" customHeight="1">
      <c r="A1791" s="31">
        <v>73449</v>
      </c>
      <c r="B1791" s="16" t="s">
        <v>730</v>
      </c>
      <c r="C1791" s="15" t="s">
        <v>2812</v>
      </c>
      <c r="D1791" s="15" t="s">
        <v>2749</v>
      </c>
      <c r="E1791" s="15">
        <v>0.21</v>
      </c>
      <c r="F1791" s="131">
        <v>30050.801627165853</v>
      </c>
      <c r="G1791" s="17" t="e">
        <f t="shared" si="27"/>
        <v>#VALUE!</v>
      </c>
      <c r="H1791" s="141">
        <v>50</v>
      </c>
      <c r="I1791" s="141">
        <v>0</v>
      </c>
      <c r="J1791" s="149">
        <v>0</v>
      </c>
      <c r="K1791" s="150">
        <v>10</v>
      </c>
    </row>
    <row r="1792" spans="1:11" ht="30" customHeight="1">
      <c r="A1792" s="31">
        <v>73455</v>
      </c>
      <c r="B1792" s="16" t="s">
        <v>730</v>
      </c>
      <c r="C1792" s="15" t="s">
        <v>2812</v>
      </c>
      <c r="D1792" s="15" t="s">
        <v>2813</v>
      </c>
      <c r="E1792" s="15">
        <v>0.21</v>
      </c>
      <c r="F1792" s="131">
        <v>28076.086854234763</v>
      </c>
      <c r="G1792" s="17" t="e">
        <f t="shared" si="27"/>
        <v>#VALUE!</v>
      </c>
      <c r="H1792" s="141">
        <v>25</v>
      </c>
      <c r="I1792" s="141">
        <v>0</v>
      </c>
      <c r="J1792" s="149">
        <v>0</v>
      </c>
      <c r="K1792" s="150">
        <v>6</v>
      </c>
    </row>
    <row r="1793" spans="1:11" ht="30" customHeight="1">
      <c r="A1793" s="31">
        <v>73456</v>
      </c>
      <c r="B1793" s="16" t="s">
        <v>730</v>
      </c>
      <c r="C1793" s="15" t="s">
        <v>2812</v>
      </c>
      <c r="D1793" s="15" t="s">
        <v>2814</v>
      </c>
      <c r="E1793" s="15">
        <v>0.21</v>
      </c>
      <c r="F1793" s="131">
        <v>32923.756526908386</v>
      </c>
      <c r="G1793" s="17" t="e">
        <f t="shared" si="27"/>
        <v>#VALUE!</v>
      </c>
      <c r="H1793" s="141">
        <v>28</v>
      </c>
      <c r="I1793" s="141">
        <v>0</v>
      </c>
      <c r="J1793" s="149">
        <v>0</v>
      </c>
      <c r="K1793" s="150">
        <v>6</v>
      </c>
    </row>
    <row r="1794" spans="1:11" ht="30" customHeight="1">
      <c r="A1794" s="31">
        <v>73457</v>
      </c>
      <c r="B1794" s="16" t="s">
        <v>730</v>
      </c>
      <c r="C1794" s="15" t="s">
        <v>2812</v>
      </c>
      <c r="D1794" s="15" t="s">
        <v>2816</v>
      </c>
      <c r="E1794" s="15">
        <v>0.21</v>
      </c>
      <c r="F1794" s="131">
        <v>45119.877846253941</v>
      </c>
      <c r="G1794" s="17" t="e">
        <f t="shared" si="27"/>
        <v>#VALUE!</v>
      </c>
      <c r="H1794" s="141">
        <v>36</v>
      </c>
      <c r="I1794" s="141">
        <v>0</v>
      </c>
      <c r="J1794" s="149">
        <v>0</v>
      </c>
      <c r="K1794" s="150">
        <v>6</v>
      </c>
    </row>
    <row r="1795" spans="1:11" ht="30" customHeight="1">
      <c r="A1795" s="31">
        <v>73459</v>
      </c>
      <c r="B1795" s="16" t="s">
        <v>730</v>
      </c>
      <c r="C1795" s="15" t="s">
        <v>2812</v>
      </c>
      <c r="D1795" s="15" t="s">
        <v>2815</v>
      </c>
      <c r="E1795" s="15">
        <v>0.21</v>
      </c>
      <c r="F1795" s="131">
        <v>51535.345448780354</v>
      </c>
      <c r="G1795" s="17" t="e">
        <f t="shared" si="27"/>
        <v>#VALUE!</v>
      </c>
      <c r="H1795" s="141">
        <v>39</v>
      </c>
      <c r="I1795" s="141">
        <v>0</v>
      </c>
      <c r="J1795" s="149">
        <v>0</v>
      </c>
      <c r="K1795" s="150">
        <v>6</v>
      </c>
    </row>
    <row r="1796" spans="1:11" ht="30" customHeight="1">
      <c r="A1796" s="31">
        <v>73462</v>
      </c>
      <c r="B1796" s="16" t="s">
        <v>730</v>
      </c>
      <c r="C1796" s="15" t="s">
        <v>2817</v>
      </c>
      <c r="D1796" s="15" t="s">
        <v>2818</v>
      </c>
      <c r="E1796" s="15">
        <v>0.21</v>
      </c>
      <c r="F1796" s="131">
        <v>17164.5376</v>
      </c>
      <c r="G1796" s="17" t="e">
        <f t="shared" si="27"/>
        <v>#VALUE!</v>
      </c>
      <c r="H1796" s="141">
        <v>49</v>
      </c>
      <c r="I1796" s="141">
        <v>0</v>
      </c>
      <c r="J1796" s="149">
        <v>0</v>
      </c>
      <c r="K1796" s="150">
        <v>10</v>
      </c>
    </row>
    <row r="1797" spans="1:11" ht="30" customHeight="1">
      <c r="A1797" s="31">
        <v>73463</v>
      </c>
      <c r="B1797" s="16" t="s">
        <v>730</v>
      </c>
      <c r="C1797" s="15" t="s">
        <v>2817</v>
      </c>
      <c r="D1797" s="15" t="s">
        <v>2819</v>
      </c>
      <c r="E1797" s="15">
        <v>0.21</v>
      </c>
      <c r="F1797" s="131">
        <v>19631.942000000003</v>
      </c>
      <c r="G1797" s="17" t="e">
        <f t="shared" si="27"/>
        <v>#VALUE!</v>
      </c>
      <c r="H1797" s="141">
        <v>40</v>
      </c>
      <c r="I1797" s="141">
        <v>0</v>
      </c>
      <c r="J1797" s="149">
        <v>0</v>
      </c>
      <c r="K1797" s="150">
        <v>10</v>
      </c>
    </row>
    <row r="1798" spans="1:11" ht="30" customHeight="1">
      <c r="A1798" s="31">
        <v>73464</v>
      </c>
      <c r="B1798" s="16" t="s">
        <v>730</v>
      </c>
      <c r="C1798" s="15" t="s">
        <v>2817</v>
      </c>
      <c r="D1798" s="15" t="s">
        <v>2820</v>
      </c>
      <c r="E1798" s="15">
        <v>0.21</v>
      </c>
      <c r="F1798" s="131">
        <v>23329.410299741834</v>
      </c>
      <c r="G1798" s="17" t="e">
        <f t="shared" si="27"/>
        <v>#VALUE!</v>
      </c>
      <c r="H1798" s="141">
        <v>14</v>
      </c>
      <c r="I1798" s="141">
        <v>0</v>
      </c>
      <c r="J1798" s="149">
        <v>0</v>
      </c>
      <c r="K1798" s="150">
        <v>10</v>
      </c>
    </row>
    <row r="1799" spans="1:11" ht="30" customHeight="1">
      <c r="A1799" s="31">
        <v>73465</v>
      </c>
      <c r="B1799" s="16" t="s">
        <v>730</v>
      </c>
      <c r="C1799" s="15" t="s">
        <v>2817</v>
      </c>
      <c r="D1799" s="15" t="s">
        <v>2821</v>
      </c>
      <c r="E1799" s="15">
        <v>0.21</v>
      </c>
      <c r="F1799" s="131">
        <v>25773.443759714788</v>
      </c>
      <c r="G1799" s="17" t="e">
        <f t="shared" si="27"/>
        <v>#VALUE!</v>
      </c>
      <c r="H1799" s="141">
        <v>25</v>
      </c>
      <c r="I1799" s="141">
        <v>0</v>
      </c>
      <c r="J1799" s="149">
        <v>0</v>
      </c>
      <c r="K1799" s="150">
        <v>10</v>
      </c>
    </row>
  </sheetData>
  <autoFilter ref="A2:K1799" xr:uid="{00000000-0001-0000-0100-000000000000}"/>
  <conditionalFormatting sqref="A1079">
    <cfRule type="duplicateValues" dxfId="15" priority="8"/>
  </conditionalFormatting>
  <conditionalFormatting sqref="A1080:A1081">
    <cfRule type="duplicateValues" dxfId="14" priority="9"/>
  </conditionalFormatting>
  <conditionalFormatting sqref="A1082">
    <cfRule type="duplicateValues" dxfId="13" priority="10"/>
  </conditionalFormatting>
  <conditionalFormatting sqref="A1083:A1086">
    <cfRule type="duplicateValues" dxfId="12" priority="11"/>
  </conditionalFormatting>
  <conditionalFormatting sqref="A1087:A1090">
    <cfRule type="duplicateValues" dxfId="11" priority="12"/>
  </conditionalFormatting>
  <conditionalFormatting sqref="A1141:A1179 A170">
    <cfRule type="duplicateValues" dxfId="10" priority="13"/>
  </conditionalFormatting>
  <conditionalFormatting sqref="A1189:A1190">
    <cfRule type="duplicateValues" dxfId="9" priority="1"/>
    <cfRule type="duplicateValues" dxfId="8" priority="2"/>
    <cfRule type="duplicateValues" dxfId="7" priority="3"/>
  </conditionalFormatting>
  <conditionalFormatting sqref="A1486:A1487">
    <cfRule type="duplicateValues" dxfId="6" priority="14"/>
  </conditionalFormatting>
  <conditionalFormatting sqref="A1711:A1739 A1181:A1188 A1091:A1140 A1488:A1643 A171:A1078 A1:A169 A1741:A1048576 A1191:A1485">
    <cfRule type="duplicateValues" dxfId="5" priority="16"/>
  </conditionalFormatting>
  <conditionalFormatting sqref="A1711:A1739 A1181:A1188 A1488:A1643 A171:A1140 A1:A169 A1741:A1048576 A1191:A1485">
    <cfRule type="duplicateValues" dxfId="4" priority="15"/>
  </conditionalFormatting>
  <conditionalFormatting sqref="A1740">
    <cfRule type="duplicateValues" dxfId="3" priority="4"/>
    <cfRule type="duplicateValues" dxfId="2" priority="5"/>
    <cfRule type="duplicateValues" dxfId="1" priority="6"/>
  </conditionalFormatting>
  <conditionalFormatting sqref="A1741:A1048576 A1:A1188 A1191:A1739">
    <cfRule type="duplicateValues" dxfId="0" priority="7"/>
  </conditionalFormatting>
  <dataValidations disablePrompts="1" count="1">
    <dataValidation type="textLength" showInputMessage="1" showErrorMessage="1" errorTitle="Error" error="Se superó el tamaño máximo del campo: 15" sqref="A1018:A1024" xr:uid="{0440C57B-5DBF-485F-80C9-B4EBEAD060E5}">
      <formula1>0</formula1>
      <formula2>15</formula2>
    </dataValidation>
  </dataValidations>
  <pageMargins left="0" right="0" top="0" bottom="0" header="0" footer="0"/>
  <pageSetup paperSize="9" scale="45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>
    <pageSetUpPr fitToPage="1"/>
  </sheetPr>
  <dimension ref="A1:O517"/>
  <sheetViews>
    <sheetView windowProtection="1" zoomScale="80" zoomScaleNormal="80" workbookViewId="0">
      <selection activeCell="O21" sqref="A21:O24"/>
    </sheetView>
  </sheetViews>
  <sheetFormatPr baseColWidth="10" defaultColWidth="11" defaultRowHeight="15.75"/>
  <cols>
    <col min="1" max="1" width="10.875" style="163" customWidth="1" collapsed="1"/>
    <col min="2" max="2" width="9.25" style="163" customWidth="1" collapsed="1"/>
    <col min="3" max="3" width="11.375" style="163" customWidth="1" collapsed="1"/>
    <col min="4" max="4" width="10.625" style="163" customWidth="1" collapsed="1"/>
    <col min="5" max="5" width="8.75" style="163" customWidth="1" collapsed="1"/>
    <col min="6" max="6" width="9" style="163" customWidth="1" collapsed="1"/>
    <col min="7" max="7" width="8.875" style="163" customWidth="1" collapsed="1"/>
    <col min="8" max="8" width="8.5" style="163" customWidth="1" collapsed="1"/>
    <col min="9" max="9" width="25.625" style="164" customWidth="1" collapsed="1"/>
    <col min="10" max="10" width="27.375" style="164" customWidth="1" collapsed="1"/>
    <col min="11" max="11" width="25.75" style="164" customWidth="1" collapsed="1"/>
    <col min="12" max="12" width="27.625" style="164" customWidth="1" collapsed="1"/>
    <col min="13" max="13" width="21.25" style="164" customWidth="1" collapsed="1"/>
    <col min="14" max="14" width="19.875" style="164" customWidth="1" collapsed="1"/>
    <col min="15" max="15" width="10.25" style="163" customWidth="1" collapsed="1"/>
    <col min="16" max="16384" width="11" style="5"/>
  </cols>
  <sheetData>
    <row r="1" spans="1:15">
      <c r="A1" s="162" t="s">
        <v>857</v>
      </c>
      <c r="B1" s="162" t="s">
        <v>862</v>
      </c>
      <c r="C1" s="162" t="s">
        <v>858</v>
      </c>
      <c r="D1" s="162" t="s">
        <v>861</v>
      </c>
      <c r="E1" s="162" t="s">
        <v>3510</v>
      </c>
      <c r="F1" s="162" t="s">
        <v>860</v>
      </c>
      <c r="G1" s="162" t="s">
        <v>859</v>
      </c>
      <c r="H1" s="162" t="s">
        <v>3667</v>
      </c>
      <c r="I1" s="162" t="s">
        <v>4302</v>
      </c>
      <c r="J1" s="162" t="s">
        <v>4303</v>
      </c>
      <c r="K1" s="162" t="s">
        <v>4304</v>
      </c>
      <c r="L1" s="162" t="s">
        <v>4305</v>
      </c>
      <c r="M1" s="162" t="s">
        <v>4306</v>
      </c>
      <c r="N1" s="162" t="s">
        <v>4307</v>
      </c>
      <c r="O1" s="162" t="s">
        <v>4308</v>
      </c>
    </row>
    <row r="2" spans="1:15" customFormat="1">
      <c r="A2" s="163" t="s">
        <v>1311</v>
      </c>
      <c r="B2" s="163" t="s">
        <v>874</v>
      </c>
      <c r="C2" s="163" t="s">
        <v>1312</v>
      </c>
      <c r="D2" s="163" t="s">
        <v>1306</v>
      </c>
      <c r="E2" s="163" t="s">
        <v>3525</v>
      </c>
      <c r="F2" s="163" t="s">
        <v>1314</v>
      </c>
      <c r="G2" s="163" t="s">
        <v>1313</v>
      </c>
      <c r="H2" s="163" t="s">
        <v>3668</v>
      </c>
      <c r="I2" s="164">
        <v>25</v>
      </c>
      <c r="J2" s="164">
        <v>25</v>
      </c>
      <c r="K2" s="164">
        <v>25</v>
      </c>
      <c r="L2" s="164">
        <v>25</v>
      </c>
      <c r="M2" s="164">
        <v>25</v>
      </c>
      <c r="N2" s="164">
        <v>55</v>
      </c>
      <c r="O2" s="163" t="s">
        <v>4309</v>
      </c>
    </row>
    <row r="3" spans="1:15">
      <c r="A3" s="163" t="s">
        <v>1397</v>
      </c>
      <c r="B3" s="163" t="s">
        <v>2213</v>
      </c>
      <c r="C3" s="163" t="s">
        <v>1398</v>
      </c>
      <c r="D3" s="163" t="s">
        <v>1086</v>
      </c>
      <c r="E3" s="163" t="s">
        <v>3517</v>
      </c>
      <c r="F3" s="163" t="s">
        <v>1400</v>
      </c>
      <c r="G3" s="163" t="s">
        <v>1399</v>
      </c>
      <c r="H3" s="163" t="s">
        <v>3669</v>
      </c>
      <c r="I3" s="164">
        <v>25</v>
      </c>
      <c r="J3" s="164">
        <v>25</v>
      </c>
      <c r="K3" s="164">
        <v>25</v>
      </c>
      <c r="L3" s="164">
        <v>25</v>
      </c>
      <c r="M3" s="164">
        <v>25</v>
      </c>
      <c r="N3" s="164">
        <v>55</v>
      </c>
      <c r="O3" s="163" t="s">
        <v>4310</v>
      </c>
    </row>
    <row r="4" spans="1:15">
      <c r="A4" s="163" t="s">
        <v>1263</v>
      </c>
      <c r="B4" s="163" t="s">
        <v>874</v>
      </c>
      <c r="C4" s="163" t="s">
        <v>1264</v>
      </c>
      <c r="D4" s="163" t="s">
        <v>1267</v>
      </c>
      <c r="E4" s="163" t="s">
        <v>3524</v>
      </c>
      <c r="F4" s="163" t="s">
        <v>1266</v>
      </c>
      <c r="G4" s="163" t="s">
        <v>1265</v>
      </c>
      <c r="H4" s="163" t="s">
        <v>3670</v>
      </c>
      <c r="I4" s="164">
        <v>25</v>
      </c>
      <c r="J4" s="164">
        <v>25</v>
      </c>
      <c r="K4" s="164">
        <v>25</v>
      </c>
      <c r="L4" s="164">
        <v>25</v>
      </c>
      <c r="M4" s="164">
        <v>25</v>
      </c>
      <c r="N4" s="164">
        <v>55</v>
      </c>
      <c r="O4" s="163" t="s">
        <v>4311</v>
      </c>
    </row>
    <row r="5" spans="1:15">
      <c r="A5" s="163" t="s">
        <v>1268</v>
      </c>
      <c r="B5" s="163" t="s">
        <v>874</v>
      </c>
      <c r="C5" s="163" t="s">
        <v>1269</v>
      </c>
      <c r="D5" s="163" t="s">
        <v>1267</v>
      </c>
      <c r="E5" s="163" t="s">
        <v>3524</v>
      </c>
      <c r="F5" s="163" t="s">
        <v>1266</v>
      </c>
      <c r="G5" s="163" t="s">
        <v>1270</v>
      </c>
      <c r="H5" s="163" t="s">
        <v>3671</v>
      </c>
      <c r="I5" s="164">
        <v>25</v>
      </c>
      <c r="J5" s="164">
        <v>25</v>
      </c>
      <c r="K5" s="164">
        <v>25</v>
      </c>
      <c r="L5" s="164">
        <v>25</v>
      </c>
      <c r="M5" s="164">
        <v>25</v>
      </c>
      <c r="N5" s="164">
        <v>55</v>
      </c>
      <c r="O5" s="163" t="s">
        <v>4312</v>
      </c>
    </row>
    <row r="6" spans="1:15">
      <c r="A6" s="163" t="s">
        <v>1271</v>
      </c>
      <c r="B6" s="163" t="s">
        <v>874</v>
      </c>
      <c r="C6" s="163" t="s">
        <v>1272</v>
      </c>
      <c r="D6" s="163" t="s">
        <v>1267</v>
      </c>
      <c r="E6" s="163" t="s">
        <v>3524</v>
      </c>
      <c r="F6" s="163" t="s">
        <v>1266</v>
      </c>
      <c r="G6" s="163" t="s">
        <v>1273</v>
      </c>
      <c r="H6" s="163" t="s">
        <v>3672</v>
      </c>
      <c r="I6" s="164">
        <v>25</v>
      </c>
      <c r="J6" s="164">
        <v>25</v>
      </c>
      <c r="K6" s="164">
        <v>25</v>
      </c>
      <c r="L6" s="164">
        <v>25</v>
      </c>
      <c r="M6" s="164">
        <v>25</v>
      </c>
      <c r="N6" s="164">
        <v>55</v>
      </c>
      <c r="O6" s="163" t="s">
        <v>4309</v>
      </c>
    </row>
    <row r="7" spans="1:15">
      <c r="A7" s="163" t="s">
        <v>1368</v>
      </c>
      <c r="B7" s="163" t="s">
        <v>874</v>
      </c>
      <c r="C7" s="163" t="s">
        <v>1369</v>
      </c>
      <c r="D7" s="163" t="s">
        <v>1306</v>
      </c>
      <c r="E7" s="163" t="s">
        <v>3525</v>
      </c>
      <c r="F7" s="163" t="s">
        <v>1371</v>
      </c>
      <c r="G7" s="163" t="s">
        <v>1370</v>
      </c>
      <c r="H7" s="163" t="s">
        <v>3673</v>
      </c>
      <c r="I7" s="164">
        <v>25</v>
      </c>
      <c r="J7" s="164">
        <v>25</v>
      </c>
      <c r="K7" s="164">
        <v>25</v>
      </c>
      <c r="L7" s="164">
        <v>25</v>
      </c>
      <c r="M7" s="164">
        <v>25</v>
      </c>
      <c r="N7" s="164">
        <v>55</v>
      </c>
      <c r="O7" s="163" t="s">
        <v>4309</v>
      </c>
    </row>
    <row r="8" spans="1:15">
      <c r="A8" s="163" t="s">
        <v>1329</v>
      </c>
      <c r="B8" s="163" t="s">
        <v>874</v>
      </c>
      <c r="C8" s="163" t="s">
        <v>1330</v>
      </c>
      <c r="D8" s="163" t="s">
        <v>1306</v>
      </c>
      <c r="E8" s="163" t="s">
        <v>3525</v>
      </c>
      <c r="F8" s="163" t="s">
        <v>1332</v>
      </c>
      <c r="G8" s="163" t="s">
        <v>1331</v>
      </c>
      <c r="H8" s="163" t="s">
        <v>3674</v>
      </c>
      <c r="I8" s="164">
        <v>25</v>
      </c>
      <c r="J8" s="164">
        <v>25</v>
      </c>
      <c r="K8" s="164">
        <v>25</v>
      </c>
      <c r="L8" s="164">
        <v>25</v>
      </c>
      <c r="M8" s="164">
        <v>25</v>
      </c>
      <c r="N8" s="164">
        <v>55</v>
      </c>
      <c r="O8" s="163" t="s">
        <v>4313</v>
      </c>
    </row>
    <row r="9" spans="1:15">
      <c r="A9" s="163" t="s">
        <v>1336</v>
      </c>
      <c r="B9" s="163" t="s">
        <v>874</v>
      </c>
      <c r="C9" s="163" t="s">
        <v>1337</v>
      </c>
      <c r="D9" s="163" t="s">
        <v>1306</v>
      </c>
      <c r="E9" s="163" t="s">
        <v>3525</v>
      </c>
      <c r="F9" s="163" t="s">
        <v>1339</v>
      </c>
      <c r="G9" s="163" t="s">
        <v>1338</v>
      </c>
      <c r="H9" s="163" t="s">
        <v>3675</v>
      </c>
      <c r="I9" s="164">
        <v>25</v>
      </c>
      <c r="J9" s="164">
        <v>25</v>
      </c>
      <c r="K9" s="164">
        <v>25</v>
      </c>
      <c r="L9" s="164">
        <v>25</v>
      </c>
      <c r="M9" s="164">
        <v>25</v>
      </c>
      <c r="N9" s="164">
        <v>55</v>
      </c>
      <c r="O9" s="163" t="s">
        <v>4313</v>
      </c>
    </row>
    <row r="10" spans="1:15">
      <c r="A10" s="163" t="s">
        <v>1348</v>
      </c>
      <c r="B10" s="163" t="s">
        <v>874</v>
      </c>
      <c r="C10" s="163" t="s">
        <v>1349</v>
      </c>
      <c r="D10" s="163" t="s">
        <v>1306</v>
      </c>
      <c r="E10" s="163" t="s">
        <v>3525</v>
      </c>
      <c r="F10" s="163" t="s">
        <v>1351</v>
      </c>
      <c r="G10" s="163" t="s">
        <v>1350</v>
      </c>
      <c r="H10" s="163" t="s">
        <v>3676</v>
      </c>
      <c r="I10" s="164">
        <v>25</v>
      </c>
      <c r="J10" s="164">
        <v>25</v>
      </c>
      <c r="K10" s="164">
        <v>25</v>
      </c>
      <c r="L10" s="164">
        <v>25</v>
      </c>
      <c r="M10" s="164">
        <v>25</v>
      </c>
      <c r="N10" s="164">
        <v>55</v>
      </c>
      <c r="O10" s="163" t="s">
        <v>4313</v>
      </c>
    </row>
    <row r="11" spans="1:15">
      <c r="A11" s="163" t="s">
        <v>1274</v>
      </c>
      <c r="B11" s="163" t="s">
        <v>874</v>
      </c>
      <c r="C11" s="163" t="s">
        <v>1275</v>
      </c>
      <c r="D11" s="163" t="s">
        <v>1267</v>
      </c>
      <c r="E11" s="163" t="s">
        <v>3524</v>
      </c>
      <c r="F11" s="163" t="s">
        <v>1266</v>
      </c>
      <c r="G11" s="163" t="s">
        <v>1276</v>
      </c>
      <c r="H11" s="163" t="s">
        <v>3677</v>
      </c>
      <c r="I11" s="164">
        <v>25</v>
      </c>
      <c r="J11" s="164">
        <v>25</v>
      </c>
      <c r="K11" s="164">
        <v>25</v>
      </c>
      <c r="L11" s="164">
        <v>25</v>
      </c>
      <c r="M11" s="164">
        <v>25</v>
      </c>
      <c r="N11" s="164">
        <v>55</v>
      </c>
      <c r="O11" s="163" t="s">
        <v>4314</v>
      </c>
    </row>
    <row r="12" spans="1:15">
      <c r="A12" s="163" t="s">
        <v>1319</v>
      </c>
      <c r="B12" s="163" t="s">
        <v>3382</v>
      </c>
      <c r="C12" s="163" t="s">
        <v>1320</v>
      </c>
      <c r="D12" s="163" t="s">
        <v>1306</v>
      </c>
      <c r="E12" s="163" t="s">
        <v>3525</v>
      </c>
      <c r="F12" s="163" t="s">
        <v>1318</v>
      </c>
      <c r="G12" s="163" t="s">
        <v>1321</v>
      </c>
      <c r="H12" s="163" t="s">
        <v>3679</v>
      </c>
      <c r="I12" s="164">
        <v>9</v>
      </c>
      <c r="J12" s="164">
        <v>9</v>
      </c>
      <c r="K12" s="164">
        <v>9</v>
      </c>
      <c r="L12" s="164">
        <v>9</v>
      </c>
      <c r="M12" s="164">
        <v>9</v>
      </c>
      <c r="N12" s="164">
        <v>50</v>
      </c>
      <c r="O12" s="163" t="s">
        <v>4313</v>
      </c>
    </row>
    <row r="13" spans="1:15">
      <c r="A13" s="163" t="s">
        <v>1352</v>
      </c>
      <c r="B13" s="163" t="s">
        <v>3382</v>
      </c>
      <c r="C13" s="163" t="s">
        <v>1353</v>
      </c>
      <c r="D13" s="163" t="s">
        <v>1306</v>
      </c>
      <c r="E13" s="163" t="s">
        <v>3525</v>
      </c>
      <c r="F13" s="163" t="s">
        <v>1355</v>
      </c>
      <c r="G13" s="163" t="s">
        <v>1354</v>
      </c>
      <c r="H13" s="163" t="s">
        <v>3680</v>
      </c>
      <c r="I13" s="164">
        <v>18</v>
      </c>
      <c r="J13" s="164">
        <v>9</v>
      </c>
      <c r="K13" s="164">
        <v>18</v>
      </c>
      <c r="L13" s="164">
        <v>9</v>
      </c>
      <c r="M13" s="164">
        <v>18</v>
      </c>
      <c r="N13" s="164">
        <v>50</v>
      </c>
      <c r="O13" s="163" t="s">
        <v>4313</v>
      </c>
    </row>
    <row r="14" spans="1:15">
      <c r="A14" s="163" t="s">
        <v>1277</v>
      </c>
      <c r="B14" s="163" t="s">
        <v>874</v>
      </c>
      <c r="C14" s="163" t="s">
        <v>1278</v>
      </c>
      <c r="D14" s="163" t="s">
        <v>1267</v>
      </c>
      <c r="E14" s="163" t="s">
        <v>3524</v>
      </c>
      <c r="F14" s="163" t="s">
        <v>1266</v>
      </c>
      <c r="G14" s="163" t="s">
        <v>1279</v>
      </c>
      <c r="H14" s="163" t="s">
        <v>3681</v>
      </c>
      <c r="I14" s="164">
        <v>25</v>
      </c>
      <c r="J14" s="164">
        <v>25</v>
      </c>
      <c r="K14" s="164">
        <v>25</v>
      </c>
      <c r="L14" s="164">
        <v>25</v>
      </c>
      <c r="M14" s="164">
        <v>25</v>
      </c>
      <c r="N14" s="164">
        <v>55</v>
      </c>
      <c r="O14" s="163" t="s">
        <v>4309</v>
      </c>
    </row>
    <row r="15" spans="1:15">
      <c r="A15" s="163" t="s">
        <v>1333</v>
      </c>
      <c r="B15" s="163" t="s">
        <v>874</v>
      </c>
      <c r="C15" s="163" t="s">
        <v>1334</v>
      </c>
      <c r="D15" s="163" t="s">
        <v>1306</v>
      </c>
      <c r="E15" s="163" t="s">
        <v>3525</v>
      </c>
      <c r="F15" s="163" t="s">
        <v>1335</v>
      </c>
      <c r="G15" s="163" t="s">
        <v>4315</v>
      </c>
      <c r="H15" s="163" t="s">
        <v>3682</v>
      </c>
      <c r="I15" s="164">
        <v>25</v>
      </c>
      <c r="J15" s="164">
        <v>25</v>
      </c>
      <c r="K15" s="164">
        <v>25</v>
      </c>
      <c r="L15" s="164">
        <v>25</v>
      </c>
      <c r="M15" s="164">
        <v>25</v>
      </c>
      <c r="N15" s="164">
        <v>55</v>
      </c>
      <c r="O15" s="163" t="s">
        <v>4309</v>
      </c>
    </row>
    <row r="16" spans="1:15">
      <c r="A16" s="163" t="s">
        <v>866</v>
      </c>
      <c r="B16" s="163" t="s">
        <v>865</v>
      </c>
      <c r="C16" s="163" t="s">
        <v>2211</v>
      </c>
      <c r="D16" s="163" t="s">
        <v>864</v>
      </c>
      <c r="E16" s="163" t="s">
        <v>3511</v>
      </c>
      <c r="F16" s="163" t="s">
        <v>2212</v>
      </c>
      <c r="G16" s="163" t="s">
        <v>867</v>
      </c>
      <c r="H16" s="163" t="s">
        <v>3683</v>
      </c>
      <c r="I16" s="164">
        <v>25</v>
      </c>
      <c r="J16" s="164">
        <v>25</v>
      </c>
      <c r="K16" s="164">
        <v>25</v>
      </c>
      <c r="L16" s="164">
        <v>25</v>
      </c>
      <c r="M16" s="164">
        <v>25</v>
      </c>
      <c r="N16" s="164">
        <v>55</v>
      </c>
      <c r="O16" s="163" t="s">
        <v>4316</v>
      </c>
    </row>
    <row r="17" spans="1:15">
      <c r="A17" s="163" t="s">
        <v>870</v>
      </c>
      <c r="B17" s="163" t="s">
        <v>874</v>
      </c>
      <c r="C17" s="163" t="s">
        <v>871</v>
      </c>
      <c r="D17" s="163" t="s">
        <v>3309</v>
      </c>
      <c r="E17" s="163" t="s">
        <v>3512</v>
      </c>
      <c r="F17" s="163" t="s">
        <v>873</v>
      </c>
      <c r="G17" s="163" t="s">
        <v>872</v>
      </c>
      <c r="H17" s="163" t="s">
        <v>3684</v>
      </c>
      <c r="I17" s="164">
        <v>25</v>
      </c>
      <c r="J17" s="164">
        <v>25</v>
      </c>
      <c r="K17" s="164">
        <v>25</v>
      </c>
      <c r="L17" s="164">
        <v>25</v>
      </c>
      <c r="M17" s="164">
        <v>25</v>
      </c>
      <c r="N17" s="164">
        <v>60</v>
      </c>
      <c r="O17" s="163" t="s">
        <v>4317</v>
      </c>
    </row>
    <row r="18" spans="1:15">
      <c r="A18" s="163" t="s">
        <v>1414</v>
      </c>
      <c r="B18" s="163" t="s">
        <v>874</v>
      </c>
      <c r="C18" s="163" t="s">
        <v>1415</v>
      </c>
      <c r="D18" s="163" t="s">
        <v>1409</v>
      </c>
      <c r="E18" s="163" t="s">
        <v>3516</v>
      </c>
      <c r="F18" s="163" t="s">
        <v>1417</v>
      </c>
      <c r="G18" s="163" t="s">
        <v>1416</v>
      </c>
      <c r="H18" s="163" t="s">
        <v>3685</v>
      </c>
      <c r="I18" s="164">
        <v>28.75</v>
      </c>
      <c r="J18" s="164">
        <v>18</v>
      </c>
      <c r="K18" s="164">
        <v>28.75</v>
      </c>
      <c r="L18" s="164">
        <v>18</v>
      </c>
      <c r="M18" s="164">
        <v>28.75</v>
      </c>
      <c r="N18" s="164">
        <v>55</v>
      </c>
      <c r="O18" s="163" t="s">
        <v>4318</v>
      </c>
    </row>
    <row r="19" spans="1:15">
      <c r="A19" s="163" t="s">
        <v>1418</v>
      </c>
      <c r="B19" s="163" t="s">
        <v>874</v>
      </c>
      <c r="C19" s="163" t="s">
        <v>1419</v>
      </c>
      <c r="D19" s="163" t="s">
        <v>1409</v>
      </c>
      <c r="E19" s="163" t="s">
        <v>3516</v>
      </c>
      <c r="F19" s="163" t="s">
        <v>1421</v>
      </c>
      <c r="G19" s="163" t="s">
        <v>1420</v>
      </c>
      <c r="H19" s="163" t="s">
        <v>3686</v>
      </c>
      <c r="I19" s="164">
        <v>25</v>
      </c>
      <c r="J19" s="164">
        <v>18</v>
      </c>
      <c r="K19" s="164">
        <v>25</v>
      </c>
      <c r="L19" s="164">
        <v>18</v>
      </c>
      <c r="M19" s="164">
        <v>18</v>
      </c>
      <c r="N19" s="164">
        <v>55</v>
      </c>
    </row>
    <row r="20" spans="1:15">
      <c r="A20" s="163" t="s">
        <v>1422</v>
      </c>
      <c r="B20" s="163" t="s">
        <v>874</v>
      </c>
      <c r="C20" s="163" t="s">
        <v>1423</v>
      </c>
      <c r="D20" s="163" t="s">
        <v>1409</v>
      </c>
      <c r="E20" s="163" t="s">
        <v>3516</v>
      </c>
      <c r="F20" s="163" t="s">
        <v>1421</v>
      </c>
      <c r="G20" s="163" t="s">
        <v>1424</v>
      </c>
      <c r="H20" s="163" t="s">
        <v>3687</v>
      </c>
      <c r="I20" s="164">
        <v>25</v>
      </c>
      <c r="J20" s="164">
        <v>25</v>
      </c>
      <c r="K20" s="164">
        <v>25</v>
      </c>
      <c r="L20" s="164">
        <v>25</v>
      </c>
      <c r="M20" s="164">
        <v>25</v>
      </c>
      <c r="N20" s="164">
        <v>55</v>
      </c>
    </row>
    <row r="21" spans="1:15">
      <c r="A21" s="163" t="s">
        <v>1446</v>
      </c>
      <c r="B21" s="163" t="s">
        <v>874</v>
      </c>
      <c r="C21" s="163" t="s">
        <v>1447</v>
      </c>
      <c r="D21" s="163" t="s">
        <v>1409</v>
      </c>
      <c r="E21" s="163" t="s">
        <v>3514</v>
      </c>
      <c r="F21" s="163" t="s">
        <v>1449</v>
      </c>
      <c r="G21" s="163" t="s">
        <v>1448</v>
      </c>
      <c r="H21" s="163" t="s">
        <v>3688</v>
      </c>
      <c r="I21" s="164">
        <v>25</v>
      </c>
      <c r="J21" s="164">
        <v>25</v>
      </c>
      <c r="K21" s="164">
        <v>25</v>
      </c>
      <c r="L21" s="164">
        <v>25</v>
      </c>
      <c r="M21" s="164">
        <v>25</v>
      </c>
      <c r="N21" s="164">
        <v>55</v>
      </c>
      <c r="O21" s="163" t="s">
        <v>4319</v>
      </c>
    </row>
    <row r="22" spans="1:15">
      <c r="A22" s="163" t="s">
        <v>876</v>
      </c>
      <c r="B22" s="163" t="s">
        <v>865</v>
      </c>
      <c r="C22" s="163" t="s">
        <v>877</v>
      </c>
      <c r="D22" s="163" t="s">
        <v>864</v>
      </c>
      <c r="E22" s="163" t="s">
        <v>3511</v>
      </c>
      <c r="F22" s="163" t="s">
        <v>868</v>
      </c>
      <c r="G22" s="163" t="s">
        <v>878</v>
      </c>
      <c r="H22" s="163" t="s">
        <v>3689</v>
      </c>
      <c r="I22" s="164">
        <v>25</v>
      </c>
      <c r="J22" s="164">
        <v>25</v>
      </c>
      <c r="K22" s="164">
        <v>25</v>
      </c>
      <c r="L22" s="164">
        <v>25</v>
      </c>
      <c r="M22" s="164">
        <v>25</v>
      </c>
      <c r="N22" s="164">
        <v>55</v>
      </c>
    </row>
    <row r="23" spans="1:15">
      <c r="A23" s="163" t="s">
        <v>880</v>
      </c>
      <c r="B23" s="163" t="s">
        <v>865</v>
      </c>
      <c r="C23" s="163" t="s">
        <v>881</v>
      </c>
      <c r="D23" s="163" t="s">
        <v>864</v>
      </c>
      <c r="E23" s="163" t="s">
        <v>3511</v>
      </c>
      <c r="F23" s="163" t="s">
        <v>868</v>
      </c>
      <c r="G23" s="163" t="s">
        <v>882</v>
      </c>
      <c r="H23" s="163" t="s">
        <v>3690</v>
      </c>
      <c r="I23" s="164">
        <v>25</v>
      </c>
      <c r="J23" s="164">
        <v>25</v>
      </c>
      <c r="K23" s="164">
        <v>25</v>
      </c>
      <c r="L23" s="164">
        <v>25</v>
      </c>
      <c r="M23" s="164">
        <v>25</v>
      </c>
      <c r="N23" s="164">
        <v>55</v>
      </c>
    </row>
    <row r="24" spans="1:15">
      <c r="A24" s="163" t="s">
        <v>883</v>
      </c>
      <c r="B24" s="163" t="s">
        <v>886</v>
      </c>
      <c r="C24" s="163" t="s">
        <v>884</v>
      </c>
      <c r="D24" s="163" t="s">
        <v>864</v>
      </c>
      <c r="E24" s="163" t="s">
        <v>3511</v>
      </c>
      <c r="F24" s="163" t="s">
        <v>868</v>
      </c>
      <c r="G24" s="163" t="s">
        <v>885</v>
      </c>
      <c r="H24" s="163" t="s">
        <v>3691</v>
      </c>
      <c r="I24" s="164">
        <v>9</v>
      </c>
      <c r="J24" s="164">
        <v>9</v>
      </c>
      <c r="K24" s="164">
        <v>9</v>
      </c>
      <c r="L24" s="164">
        <v>9</v>
      </c>
      <c r="M24" s="164">
        <v>9</v>
      </c>
      <c r="N24" s="164">
        <v>50</v>
      </c>
    </row>
    <row r="25" spans="1:15">
      <c r="A25" s="163" t="s">
        <v>2256</v>
      </c>
      <c r="B25" s="163" t="s">
        <v>874</v>
      </c>
      <c r="C25" s="163" t="s">
        <v>2257</v>
      </c>
      <c r="D25" s="163" t="s">
        <v>1267</v>
      </c>
      <c r="E25" s="163" t="s">
        <v>3524</v>
      </c>
      <c r="F25" s="163" t="s">
        <v>2259</v>
      </c>
      <c r="G25" s="163" t="s">
        <v>2258</v>
      </c>
      <c r="H25" s="163" t="s">
        <v>3692</v>
      </c>
      <c r="I25" s="164">
        <v>25</v>
      </c>
      <c r="J25" s="164">
        <v>25</v>
      </c>
      <c r="K25" s="164">
        <v>25</v>
      </c>
      <c r="L25" s="164">
        <v>25</v>
      </c>
      <c r="M25" s="164">
        <v>25</v>
      </c>
      <c r="N25" s="164">
        <v>55</v>
      </c>
      <c r="O25" s="163" t="s">
        <v>4314</v>
      </c>
    </row>
    <row r="26" spans="1:15">
      <c r="A26" s="163" t="s">
        <v>4193</v>
      </c>
      <c r="B26" s="163" t="s">
        <v>865</v>
      </c>
      <c r="C26" s="163" t="s">
        <v>4194</v>
      </c>
      <c r="D26" s="163" t="s">
        <v>864</v>
      </c>
      <c r="E26" s="163" t="s">
        <v>863</v>
      </c>
      <c r="F26" s="163" t="s">
        <v>863</v>
      </c>
      <c r="G26" s="163" t="s">
        <v>4195</v>
      </c>
      <c r="H26" s="163" t="s">
        <v>4196</v>
      </c>
      <c r="I26" s="164">
        <v>0</v>
      </c>
      <c r="J26" s="164">
        <v>0</v>
      </c>
      <c r="K26" s="164">
        <v>0</v>
      </c>
      <c r="L26" s="164">
        <v>0</v>
      </c>
      <c r="M26" s="164">
        <v>0</v>
      </c>
      <c r="N26" s="164">
        <v>55</v>
      </c>
      <c r="O26" s="163" t="s">
        <v>4320</v>
      </c>
    </row>
    <row r="27" spans="1:15">
      <c r="A27" s="163" t="s">
        <v>1425</v>
      </c>
      <c r="B27" s="163" t="s">
        <v>874</v>
      </c>
      <c r="C27" s="163" t="s">
        <v>1426</v>
      </c>
      <c r="D27" s="163" t="s">
        <v>1409</v>
      </c>
      <c r="E27" s="163" t="s">
        <v>3516</v>
      </c>
      <c r="F27" s="163" t="s">
        <v>1417</v>
      </c>
      <c r="G27" s="163" t="s">
        <v>2016</v>
      </c>
      <c r="H27" s="163" t="s">
        <v>3693</v>
      </c>
      <c r="I27" s="164">
        <v>28.75</v>
      </c>
      <c r="J27" s="164">
        <v>18</v>
      </c>
      <c r="K27" s="164">
        <v>28.75</v>
      </c>
      <c r="L27" s="164">
        <v>18</v>
      </c>
      <c r="M27" s="164">
        <v>28.75</v>
      </c>
      <c r="N27" s="164">
        <v>55</v>
      </c>
      <c r="O27" s="163" t="s">
        <v>4318</v>
      </c>
    </row>
    <row r="28" spans="1:15">
      <c r="A28" s="163" t="s">
        <v>1427</v>
      </c>
      <c r="B28" s="163" t="s">
        <v>874</v>
      </c>
      <c r="C28" s="163" t="s">
        <v>1428</v>
      </c>
      <c r="D28" s="163" t="s">
        <v>1409</v>
      </c>
      <c r="E28" s="163" t="s">
        <v>3516</v>
      </c>
      <c r="F28" s="163" t="s">
        <v>1417</v>
      </c>
      <c r="G28" s="163" t="s">
        <v>1429</v>
      </c>
      <c r="H28" s="163" t="s">
        <v>3694</v>
      </c>
      <c r="I28" s="164">
        <v>25</v>
      </c>
      <c r="J28" s="164">
        <v>25</v>
      </c>
      <c r="K28" s="164">
        <v>25</v>
      </c>
      <c r="L28" s="164">
        <v>25</v>
      </c>
      <c r="M28" s="164">
        <v>25</v>
      </c>
      <c r="N28" s="164">
        <v>55</v>
      </c>
      <c r="O28" s="163" t="s">
        <v>4321</v>
      </c>
    </row>
    <row r="29" spans="1:15">
      <c r="A29" s="163" t="s">
        <v>1430</v>
      </c>
      <c r="B29" s="163" t="s">
        <v>874</v>
      </c>
      <c r="C29" s="163" t="s">
        <v>1431</v>
      </c>
      <c r="D29" s="163" t="s">
        <v>1409</v>
      </c>
      <c r="E29" s="163" t="s">
        <v>3516</v>
      </c>
      <c r="F29" s="163" t="s">
        <v>1421</v>
      </c>
      <c r="G29" s="163" t="s">
        <v>2167</v>
      </c>
      <c r="H29" s="163" t="s">
        <v>3695</v>
      </c>
      <c r="I29" s="164">
        <v>9</v>
      </c>
      <c r="J29" s="164">
        <v>9</v>
      </c>
      <c r="K29" s="164">
        <v>9</v>
      </c>
      <c r="L29" s="164">
        <v>0</v>
      </c>
      <c r="M29" s="164">
        <v>9</v>
      </c>
      <c r="N29" s="164">
        <v>50</v>
      </c>
      <c r="O29" s="163" t="s">
        <v>4319</v>
      </c>
    </row>
    <row r="30" spans="1:15">
      <c r="A30" s="163" t="s">
        <v>1410</v>
      </c>
      <c r="B30" s="163" t="s">
        <v>874</v>
      </c>
      <c r="C30" s="163" t="s">
        <v>1411</v>
      </c>
      <c r="D30" s="163" t="s">
        <v>1409</v>
      </c>
      <c r="E30" s="163" t="s">
        <v>3516</v>
      </c>
      <c r="F30" s="163" t="s">
        <v>1413</v>
      </c>
      <c r="G30" s="163" t="s">
        <v>1412</v>
      </c>
      <c r="H30" s="163" t="s">
        <v>3696</v>
      </c>
      <c r="I30" s="164">
        <v>25</v>
      </c>
      <c r="J30" s="164">
        <v>25</v>
      </c>
      <c r="K30" s="164">
        <v>25</v>
      </c>
      <c r="L30" s="164">
        <v>18</v>
      </c>
      <c r="M30" s="164">
        <v>25</v>
      </c>
      <c r="N30" s="164">
        <v>60</v>
      </c>
      <c r="O30" s="163" t="s">
        <v>4322</v>
      </c>
    </row>
    <row r="31" spans="1:15">
      <c r="A31" s="163" t="s">
        <v>1711</v>
      </c>
      <c r="B31" s="163" t="s">
        <v>2063</v>
      </c>
      <c r="C31" s="163" t="s">
        <v>1712</v>
      </c>
      <c r="D31" s="163" t="s">
        <v>868</v>
      </c>
      <c r="E31" s="163" t="s">
        <v>3511</v>
      </c>
      <c r="F31" s="163" t="s">
        <v>868</v>
      </c>
      <c r="G31" s="163" t="s">
        <v>1713</v>
      </c>
      <c r="H31" s="163" t="s">
        <v>3697</v>
      </c>
      <c r="I31" s="164">
        <v>25</v>
      </c>
      <c r="J31" s="164">
        <v>25</v>
      </c>
      <c r="K31" s="164">
        <v>25</v>
      </c>
      <c r="L31" s="164">
        <v>25</v>
      </c>
      <c r="M31" s="164">
        <v>25</v>
      </c>
      <c r="N31" s="164">
        <v>55</v>
      </c>
      <c r="O31" s="163" t="s">
        <v>4323</v>
      </c>
    </row>
    <row r="32" spans="1:15">
      <c r="A32" s="163" t="s">
        <v>1714</v>
      </c>
      <c r="B32" s="163" t="s">
        <v>2063</v>
      </c>
      <c r="C32" s="163" t="s">
        <v>1715</v>
      </c>
      <c r="D32" s="163" t="s">
        <v>868</v>
      </c>
      <c r="E32" s="163" t="s">
        <v>3511</v>
      </c>
      <c r="F32" s="163" t="s">
        <v>868</v>
      </c>
      <c r="G32" s="163" t="s">
        <v>1716</v>
      </c>
      <c r="H32" s="163" t="s">
        <v>3698</v>
      </c>
      <c r="I32" s="164">
        <v>25</v>
      </c>
      <c r="J32" s="164">
        <v>25</v>
      </c>
      <c r="K32" s="164">
        <v>25</v>
      </c>
      <c r="L32" s="164">
        <v>25</v>
      </c>
      <c r="M32" s="164">
        <v>25</v>
      </c>
      <c r="N32" s="164">
        <v>55</v>
      </c>
      <c r="O32" s="163" t="s">
        <v>4323</v>
      </c>
    </row>
    <row r="33" spans="1:15">
      <c r="A33" s="163" t="s">
        <v>1717</v>
      </c>
      <c r="B33" s="163" t="s">
        <v>2063</v>
      </c>
      <c r="C33" s="163" t="s">
        <v>1718</v>
      </c>
      <c r="D33" s="163" t="s">
        <v>868</v>
      </c>
      <c r="E33" s="163" t="s">
        <v>3511</v>
      </c>
      <c r="F33" s="163" t="s">
        <v>868</v>
      </c>
      <c r="G33" s="163" t="s">
        <v>1719</v>
      </c>
      <c r="H33" s="163" t="s">
        <v>3699</v>
      </c>
      <c r="I33" s="164">
        <v>18</v>
      </c>
      <c r="J33" s="164">
        <v>18</v>
      </c>
      <c r="K33" s="164">
        <v>18</v>
      </c>
      <c r="L33" s="164">
        <v>18</v>
      </c>
      <c r="M33" s="164">
        <v>18</v>
      </c>
      <c r="N33" s="164">
        <v>55</v>
      </c>
      <c r="O33" s="163" t="s">
        <v>4323</v>
      </c>
    </row>
    <row r="34" spans="1:15">
      <c r="A34" s="163" t="s">
        <v>1720</v>
      </c>
      <c r="B34" s="163" t="s">
        <v>2063</v>
      </c>
      <c r="C34" s="163" t="s">
        <v>1721</v>
      </c>
      <c r="D34" s="163" t="s">
        <v>868</v>
      </c>
      <c r="E34" s="163" t="s">
        <v>3511</v>
      </c>
      <c r="F34" s="163" t="s">
        <v>868</v>
      </c>
      <c r="G34" s="163" t="s">
        <v>1722</v>
      </c>
      <c r="H34" s="163" t="s">
        <v>3700</v>
      </c>
      <c r="I34" s="164">
        <v>18</v>
      </c>
      <c r="J34" s="164">
        <v>18</v>
      </c>
      <c r="K34" s="164">
        <v>18</v>
      </c>
      <c r="L34" s="164">
        <v>18</v>
      </c>
      <c r="M34" s="164">
        <v>18</v>
      </c>
      <c r="N34" s="164">
        <v>55</v>
      </c>
      <c r="O34" s="163" t="s">
        <v>4323</v>
      </c>
    </row>
    <row r="35" spans="1:15">
      <c r="A35" s="163" t="s">
        <v>1723</v>
      </c>
      <c r="B35" s="163" t="s">
        <v>2063</v>
      </c>
      <c r="C35" s="163" t="s">
        <v>1724</v>
      </c>
      <c r="D35" s="163" t="s">
        <v>868</v>
      </c>
      <c r="E35" s="163" t="s">
        <v>3511</v>
      </c>
      <c r="F35" s="163" t="s">
        <v>868</v>
      </c>
      <c r="G35" s="163" t="s">
        <v>1725</v>
      </c>
      <c r="H35" s="163" t="s">
        <v>3701</v>
      </c>
      <c r="I35" s="164">
        <v>18</v>
      </c>
      <c r="J35" s="164">
        <v>18</v>
      </c>
      <c r="K35" s="164">
        <v>18</v>
      </c>
      <c r="L35" s="164">
        <v>18</v>
      </c>
      <c r="M35" s="164">
        <v>18</v>
      </c>
      <c r="N35" s="164">
        <v>55</v>
      </c>
      <c r="O35" s="163" t="s">
        <v>4323</v>
      </c>
    </row>
    <row r="36" spans="1:15">
      <c r="A36" s="163" t="s">
        <v>1726</v>
      </c>
      <c r="B36" s="163" t="s">
        <v>2063</v>
      </c>
      <c r="C36" s="163" t="s">
        <v>1727</v>
      </c>
      <c r="D36" s="163" t="s">
        <v>868</v>
      </c>
      <c r="E36" s="163" t="s">
        <v>3511</v>
      </c>
      <c r="F36" s="163" t="s">
        <v>868</v>
      </c>
      <c r="G36" s="163" t="s">
        <v>1728</v>
      </c>
      <c r="H36" s="163" t="s">
        <v>3702</v>
      </c>
      <c r="I36" s="164">
        <v>18</v>
      </c>
      <c r="J36" s="164">
        <v>18</v>
      </c>
      <c r="K36" s="164">
        <v>18</v>
      </c>
      <c r="L36" s="164">
        <v>18</v>
      </c>
      <c r="M36" s="164">
        <v>18</v>
      </c>
      <c r="N36" s="164">
        <v>55</v>
      </c>
      <c r="O36" s="163" t="s">
        <v>4323</v>
      </c>
    </row>
    <row r="37" spans="1:15">
      <c r="A37" s="163" t="s">
        <v>1729</v>
      </c>
      <c r="B37" s="163" t="s">
        <v>2063</v>
      </c>
      <c r="C37" s="163" t="s">
        <v>1730</v>
      </c>
      <c r="D37" s="163" t="s">
        <v>868</v>
      </c>
      <c r="E37" s="163" t="s">
        <v>3511</v>
      </c>
      <c r="F37" s="163" t="s">
        <v>868</v>
      </c>
      <c r="G37" s="163" t="s">
        <v>1731</v>
      </c>
      <c r="H37" s="163" t="s">
        <v>3703</v>
      </c>
      <c r="I37" s="164">
        <v>25</v>
      </c>
      <c r="J37" s="164">
        <v>25</v>
      </c>
      <c r="K37" s="164">
        <v>25</v>
      </c>
      <c r="L37" s="164">
        <v>25</v>
      </c>
      <c r="M37" s="164">
        <v>25</v>
      </c>
      <c r="N37" s="164">
        <v>55</v>
      </c>
    </row>
    <row r="38" spans="1:15">
      <c r="A38" s="163" t="s">
        <v>2299</v>
      </c>
      <c r="B38" s="163" t="s">
        <v>2213</v>
      </c>
      <c r="C38" s="163" t="s">
        <v>2300</v>
      </c>
      <c r="D38" s="163" t="s">
        <v>2221</v>
      </c>
      <c r="E38" s="163" t="s">
        <v>3511</v>
      </c>
      <c r="F38" s="163" t="s">
        <v>935</v>
      </c>
      <c r="G38" s="163" t="s">
        <v>2301</v>
      </c>
      <c r="H38" s="163" t="s">
        <v>3704</v>
      </c>
      <c r="I38" s="164">
        <v>18</v>
      </c>
      <c r="J38" s="164">
        <v>18</v>
      </c>
      <c r="K38" s="164">
        <v>18</v>
      </c>
      <c r="L38" s="164">
        <v>18</v>
      </c>
      <c r="M38" s="164">
        <v>18</v>
      </c>
      <c r="N38" s="164">
        <v>55</v>
      </c>
      <c r="O38" s="163" t="s">
        <v>4324</v>
      </c>
    </row>
    <row r="39" spans="1:15">
      <c r="A39" s="163" t="s">
        <v>1732</v>
      </c>
      <c r="B39" s="163" t="s">
        <v>2063</v>
      </c>
      <c r="C39" s="163" t="s">
        <v>1733</v>
      </c>
      <c r="D39" s="163" t="s">
        <v>868</v>
      </c>
      <c r="E39" s="163" t="s">
        <v>3511</v>
      </c>
      <c r="F39" s="163" t="s">
        <v>868</v>
      </c>
      <c r="G39" s="163" t="s">
        <v>1734</v>
      </c>
      <c r="H39" s="163" t="s">
        <v>3705</v>
      </c>
      <c r="I39" s="164">
        <v>25</v>
      </c>
      <c r="J39" s="164">
        <v>25</v>
      </c>
      <c r="K39" s="164">
        <v>25</v>
      </c>
      <c r="L39" s="164">
        <v>25</v>
      </c>
      <c r="M39" s="164">
        <v>25</v>
      </c>
      <c r="N39" s="164">
        <v>55</v>
      </c>
      <c r="O39" s="163" t="s">
        <v>4323</v>
      </c>
    </row>
    <row r="40" spans="1:15">
      <c r="A40" s="163" t="s">
        <v>1735</v>
      </c>
      <c r="B40" s="163" t="s">
        <v>2063</v>
      </c>
      <c r="C40" s="163" t="s">
        <v>1736</v>
      </c>
      <c r="D40" s="163" t="s">
        <v>868</v>
      </c>
      <c r="E40" s="163" t="s">
        <v>3511</v>
      </c>
      <c r="F40" s="163" t="s">
        <v>868</v>
      </c>
      <c r="G40" s="163" t="s">
        <v>1737</v>
      </c>
      <c r="H40" s="163" t="s">
        <v>3706</v>
      </c>
      <c r="I40" s="164">
        <v>25</v>
      </c>
      <c r="J40" s="164">
        <v>18</v>
      </c>
      <c r="K40" s="164">
        <v>25</v>
      </c>
      <c r="L40" s="164">
        <v>18</v>
      </c>
      <c r="M40" s="164">
        <v>25</v>
      </c>
      <c r="N40" s="164">
        <v>55</v>
      </c>
      <c r="O40" s="163" t="s">
        <v>4323</v>
      </c>
    </row>
    <row r="41" spans="1:15">
      <c r="A41" s="163" t="s">
        <v>1315</v>
      </c>
      <c r="B41" s="163" t="s">
        <v>874</v>
      </c>
      <c r="C41" s="163" t="s">
        <v>1316</v>
      </c>
      <c r="D41" s="163" t="s">
        <v>1306</v>
      </c>
      <c r="E41" s="163" t="s">
        <v>3525</v>
      </c>
      <c r="F41" s="163" t="s">
        <v>1318</v>
      </c>
      <c r="G41" s="163" t="s">
        <v>1317</v>
      </c>
      <c r="H41" s="163" t="s">
        <v>3707</v>
      </c>
      <c r="I41" s="164">
        <v>25</v>
      </c>
      <c r="J41" s="164">
        <v>25</v>
      </c>
      <c r="K41" s="164">
        <v>25</v>
      </c>
      <c r="L41" s="164">
        <v>18</v>
      </c>
      <c r="M41" s="164">
        <v>25</v>
      </c>
      <c r="N41" s="164">
        <v>55</v>
      </c>
      <c r="O41" s="163" t="s">
        <v>4313</v>
      </c>
    </row>
    <row r="42" spans="1:15">
      <c r="A42" s="163" t="s">
        <v>1082</v>
      </c>
      <c r="B42" s="163" t="s">
        <v>2213</v>
      </c>
      <c r="C42" s="163" t="s">
        <v>1083</v>
      </c>
      <c r="D42" s="163" t="s">
        <v>1086</v>
      </c>
      <c r="E42" s="163" t="s">
        <v>3511</v>
      </c>
      <c r="F42" s="163" t="s">
        <v>1085</v>
      </c>
      <c r="G42" s="163" t="s">
        <v>1084</v>
      </c>
      <c r="H42" s="163" t="s">
        <v>3708</v>
      </c>
      <c r="I42" s="164">
        <v>18</v>
      </c>
      <c r="J42" s="164">
        <v>18</v>
      </c>
      <c r="K42" s="164">
        <v>18</v>
      </c>
      <c r="L42" s="164">
        <v>18</v>
      </c>
      <c r="M42" s="164">
        <v>18</v>
      </c>
      <c r="N42" s="164">
        <v>55</v>
      </c>
      <c r="O42" s="163" t="s">
        <v>4325</v>
      </c>
    </row>
    <row r="43" spans="1:15">
      <c r="A43" s="163" t="s">
        <v>1087</v>
      </c>
      <c r="B43" s="163" t="s">
        <v>2213</v>
      </c>
      <c r="C43" s="163" t="s">
        <v>1088</v>
      </c>
      <c r="D43" s="163" t="s">
        <v>1086</v>
      </c>
      <c r="E43" s="163" t="s">
        <v>3511</v>
      </c>
      <c r="F43" s="163" t="s">
        <v>1085</v>
      </c>
      <c r="G43" s="163" t="s">
        <v>1089</v>
      </c>
      <c r="H43" s="163" t="s">
        <v>3709</v>
      </c>
      <c r="I43" s="164">
        <v>25</v>
      </c>
      <c r="J43" s="164">
        <v>25</v>
      </c>
      <c r="K43" s="164">
        <v>25</v>
      </c>
      <c r="L43" s="164">
        <v>25</v>
      </c>
      <c r="M43" s="164">
        <v>25</v>
      </c>
      <c r="N43" s="164">
        <v>55</v>
      </c>
      <c r="O43" s="163" t="s">
        <v>4325</v>
      </c>
    </row>
    <row r="44" spans="1:15">
      <c r="A44" s="163" t="s">
        <v>1090</v>
      </c>
      <c r="B44" s="163" t="s">
        <v>2213</v>
      </c>
      <c r="C44" s="163" t="s">
        <v>1091</v>
      </c>
      <c r="D44" s="163" t="s">
        <v>1086</v>
      </c>
      <c r="E44" s="163" t="s">
        <v>3511</v>
      </c>
      <c r="F44" s="163" t="s">
        <v>1085</v>
      </c>
      <c r="G44" s="163" t="s">
        <v>1092</v>
      </c>
      <c r="H44" s="163" t="s">
        <v>3710</v>
      </c>
      <c r="I44" s="164">
        <v>25</v>
      </c>
      <c r="J44" s="164">
        <v>25</v>
      </c>
      <c r="K44" s="164">
        <v>25</v>
      </c>
      <c r="L44" s="164">
        <v>25</v>
      </c>
      <c r="M44" s="164">
        <v>25</v>
      </c>
      <c r="N44" s="164">
        <v>55</v>
      </c>
    </row>
    <row r="45" spans="1:15">
      <c r="A45" s="163" t="s">
        <v>1097</v>
      </c>
      <c r="B45" s="163" t="s">
        <v>2213</v>
      </c>
      <c r="C45" s="163" t="s">
        <v>1098</v>
      </c>
      <c r="D45" s="163" t="s">
        <v>1086</v>
      </c>
      <c r="E45" s="163" t="s">
        <v>3511</v>
      </c>
      <c r="F45" s="163" t="s">
        <v>1085</v>
      </c>
      <c r="G45" s="163" t="s">
        <v>1099</v>
      </c>
      <c r="H45" s="163" t="s">
        <v>3711</v>
      </c>
      <c r="I45" s="164">
        <v>25</v>
      </c>
      <c r="J45" s="164">
        <v>25</v>
      </c>
      <c r="K45" s="164">
        <v>25</v>
      </c>
      <c r="L45" s="164">
        <v>25</v>
      </c>
      <c r="M45" s="164">
        <v>25</v>
      </c>
      <c r="N45" s="164">
        <v>55</v>
      </c>
    </row>
    <row r="46" spans="1:15">
      <c r="A46" s="163" t="s">
        <v>2354</v>
      </c>
      <c r="B46" s="163" t="s">
        <v>2213</v>
      </c>
      <c r="C46" s="163" t="s">
        <v>2355</v>
      </c>
      <c r="D46" s="163" t="s">
        <v>1086</v>
      </c>
      <c r="E46" s="163" t="s">
        <v>3511</v>
      </c>
      <c r="F46" s="163" t="s">
        <v>1085</v>
      </c>
      <c r="G46" s="163" t="s">
        <v>2356</v>
      </c>
      <c r="H46" s="163" t="s">
        <v>3712</v>
      </c>
      <c r="I46" s="164">
        <v>25</v>
      </c>
      <c r="J46" s="164">
        <v>25</v>
      </c>
      <c r="K46" s="164">
        <v>25</v>
      </c>
      <c r="L46" s="164">
        <v>25</v>
      </c>
      <c r="M46" s="164">
        <v>25</v>
      </c>
      <c r="N46" s="164">
        <v>55</v>
      </c>
    </row>
    <row r="47" spans="1:15">
      <c r="A47" s="163" t="s">
        <v>1100</v>
      </c>
      <c r="B47" s="163" t="s">
        <v>2213</v>
      </c>
      <c r="C47" s="163" t="s">
        <v>1101</v>
      </c>
      <c r="D47" s="163" t="s">
        <v>1086</v>
      </c>
      <c r="E47" s="163" t="s">
        <v>3511</v>
      </c>
      <c r="F47" s="163" t="s">
        <v>1085</v>
      </c>
      <c r="G47" s="163" t="s">
        <v>1102</v>
      </c>
      <c r="H47" s="163" t="s">
        <v>3713</v>
      </c>
      <c r="I47" s="164">
        <v>25</v>
      </c>
      <c r="J47" s="164">
        <v>25</v>
      </c>
      <c r="K47" s="164">
        <v>25</v>
      </c>
      <c r="L47" s="164">
        <v>25</v>
      </c>
      <c r="M47" s="164">
        <v>25</v>
      </c>
      <c r="N47" s="164">
        <v>55</v>
      </c>
      <c r="O47" s="163" t="s">
        <v>4325</v>
      </c>
    </row>
    <row r="48" spans="1:15">
      <c r="A48" s="163" t="s">
        <v>1131</v>
      </c>
      <c r="B48" s="163" t="s">
        <v>2213</v>
      </c>
      <c r="C48" s="163" t="s">
        <v>1132</v>
      </c>
      <c r="D48" s="163" t="s">
        <v>1086</v>
      </c>
      <c r="E48" s="163" t="s">
        <v>3511</v>
      </c>
      <c r="F48" s="163" t="s">
        <v>1134</v>
      </c>
      <c r="G48" s="163" t="s">
        <v>1133</v>
      </c>
      <c r="H48" s="163" t="s">
        <v>3714</v>
      </c>
      <c r="I48" s="164">
        <v>25</v>
      </c>
      <c r="J48" s="164">
        <v>25</v>
      </c>
      <c r="K48" s="164">
        <v>25</v>
      </c>
      <c r="L48" s="164">
        <v>25</v>
      </c>
      <c r="M48" s="164">
        <v>25</v>
      </c>
      <c r="N48" s="164">
        <v>55</v>
      </c>
    </row>
    <row r="49" spans="1:15">
      <c r="A49" s="163" t="s">
        <v>1135</v>
      </c>
      <c r="B49" s="163" t="s">
        <v>2213</v>
      </c>
      <c r="C49" s="163" t="s">
        <v>1136</v>
      </c>
      <c r="D49" s="163" t="s">
        <v>1086</v>
      </c>
      <c r="E49" s="163" t="s">
        <v>3517</v>
      </c>
      <c r="F49" s="163" t="s">
        <v>1138</v>
      </c>
      <c r="G49" s="163" t="s">
        <v>1137</v>
      </c>
      <c r="H49" s="163" t="s">
        <v>3715</v>
      </c>
      <c r="I49" s="164">
        <v>25</v>
      </c>
      <c r="J49" s="164">
        <v>25</v>
      </c>
      <c r="K49" s="164">
        <v>25</v>
      </c>
      <c r="L49" s="164">
        <v>25</v>
      </c>
      <c r="M49" s="164">
        <v>25</v>
      </c>
      <c r="N49" s="164">
        <v>55</v>
      </c>
      <c r="O49" s="163" t="s">
        <v>4326</v>
      </c>
    </row>
    <row r="50" spans="1:15">
      <c r="A50" s="163" t="s">
        <v>1139</v>
      </c>
      <c r="B50" s="163" t="s">
        <v>2213</v>
      </c>
      <c r="C50" s="163" t="s">
        <v>1140</v>
      </c>
      <c r="D50" s="163" t="s">
        <v>1086</v>
      </c>
      <c r="E50" s="163" t="s">
        <v>3511</v>
      </c>
      <c r="F50" s="163" t="s">
        <v>1142</v>
      </c>
      <c r="G50" s="163" t="s">
        <v>1141</v>
      </c>
      <c r="H50" s="163" t="s">
        <v>3716</v>
      </c>
      <c r="I50" s="164">
        <v>25</v>
      </c>
      <c r="J50" s="164">
        <v>25</v>
      </c>
      <c r="K50" s="164">
        <v>25</v>
      </c>
      <c r="L50" s="164">
        <v>25</v>
      </c>
      <c r="M50" s="164">
        <v>25</v>
      </c>
      <c r="N50" s="164">
        <v>55</v>
      </c>
      <c r="O50" s="163" t="s">
        <v>4325</v>
      </c>
    </row>
    <row r="51" spans="1:15">
      <c r="A51" s="163" t="s">
        <v>1143</v>
      </c>
      <c r="B51" s="163" t="s">
        <v>2213</v>
      </c>
      <c r="C51" s="163" t="s">
        <v>1144</v>
      </c>
      <c r="D51" s="163" t="s">
        <v>1086</v>
      </c>
      <c r="E51" s="163" t="s">
        <v>3511</v>
      </c>
      <c r="F51" s="163" t="s">
        <v>1142</v>
      </c>
      <c r="G51" s="163" t="s">
        <v>1145</v>
      </c>
      <c r="H51" s="163" t="s">
        <v>3717</v>
      </c>
      <c r="I51" s="164">
        <v>25</v>
      </c>
      <c r="J51" s="164">
        <v>25</v>
      </c>
      <c r="K51" s="164">
        <v>25</v>
      </c>
      <c r="L51" s="164">
        <v>25</v>
      </c>
      <c r="M51" s="164">
        <v>25</v>
      </c>
      <c r="N51" s="164">
        <v>55</v>
      </c>
      <c r="O51" s="163" t="s">
        <v>4325</v>
      </c>
    </row>
    <row r="52" spans="1:15">
      <c r="A52" s="163" t="s">
        <v>1148</v>
      </c>
      <c r="B52" s="163" t="s">
        <v>2213</v>
      </c>
      <c r="C52" s="163" t="s">
        <v>1149</v>
      </c>
      <c r="D52" s="163" t="s">
        <v>1147</v>
      </c>
      <c r="E52" s="163" t="s">
        <v>3511</v>
      </c>
      <c r="F52" s="163" t="s">
        <v>1146</v>
      </c>
      <c r="G52" s="163" t="s">
        <v>1150</v>
      </c>
      <c r="H52" s="163" t="s">
        <v>3718</v>
      </c>
      <c r="I52" s="164">
        <v>25</v>
      </c>
      <c r="J52" s="164">
        <v>25</v>
      </c>
      <c r="K52" s="164">
        <v>25</v>
      </c>
      <c r="L52" s="164">
        <v>25</v>
      </c>
      <c r="M52" s="164">
        <v>25</v>
      </c>
      <c r="N52" s="164">
        <v>55</v>
      </c>
      <c r="O52" s="163" t="s">
        <v>4327</v>
      </c>
    </row>
    <row r="53" spans="1:15">
      <c r="A53" s="163" t="s">
        <v>1151</v>
      </c>
      <c r="B53" s="163" t="s">
        <v>2213</v>
      </c>
      <c r="C53" s="163" t="s">
        <v>1152</v>
      </c>
      <c r="D53" s="163" t="s">
        <v>1147</v>
      </c>
      <c r="E53" s="163" t="s">
        <v>3511</v>
      </c>
      <c r="F53" s="163" t="s">
        <v>959</v>
      </c>
      <c r="G53" s="163" t="s">
        <v>1153</v>
      </c>
      <c r="H53" s="163" t="s">
        <v>3719</v>
      </c>
      <c r="I53" s="164">
        <v>25</v>
      </c>
      <c r="J53" s="164">
        <v>25</v>
      </c>
      <c r="K53" s="164">
        <v>25</v>
      </c>
      <c r="L53" s="164">
        <v>25</v>
      </c>
      <c r="M53" s="164">
        <v>25</v>
      </c>
      <c r="N53" s="164">
        <v>55</v>
      </c>
    </row>
    <row r="54" spans="1:15">
      <c r="A54" s="163" t="s">
        <v>1154</v>
      </c>
      <c r="B54" s="163" t="s">
        <v>2213</v>
      </c>
      <c r="C54" s="163" t="s">
        <v>1155</v>
      </c>
      <c r="D54" s="163" t="s">
        <v>1147</v>
      </c>
      <c r="E54" s="163" t="s">
        <v>3511</v>
      </c>
      <c r="F54" s="163" t="s">
        <v>959</v>
      </c>
      <c r="G54" s="163" t="s">
        <v>1156</v>
      </c>
      <c r="H54" s="163" t="s">
        <v>3720</v>
      </c>
      <c r="I54" s="164">
        <v>18</v>
      </c>
      <c r="J54" s="164">
        <v>18</v>
      </c>
      <c r="K54" s="164">
        <v>18</v>
      </c>
      <c r="L54" s="164">
        <v>18</v>
      </c>
      <c r="M54" s="164">
        <v>18</v>
      </c>
      <c r="N54" s="164">
        <v>55</v>
      </c>
    </row>
    <row r="55" spans="1:15">
      <c r="A55" s="163" t="s">
        <v>1165</v>
      </c>
      <c r="B55" s="163" t="s">
        <v>2213</v>
      </c>
      <c r="C55" s="163" t="s">
        <v>1166</v>
      </c>
      <c r="D55" s="163" t="s">
        <v>1147</v>
      </c>
      <c r="E55" s="163" t="s">
        <v>3511</v>
      </c>
      <c r="F55" s="163" t="s">
        <v>1164</v>
      </c>
      <c r="G55" s="163" t="s">
        <v>1167</v>
      </c>
      <c r="H55" s="163" t="s">
        <v>3721</v>
      </c>
      <c r="I55" s="164">
        <v>18</v>
      </c>
      <c r="J55" s="164">
        <v>18</v>
      </c>
      <c r="K55" s="164">
        <v>18</v>
      </c>
      <c r="L55" s="164">
        <v>18</v>
      </c>
      <c r="M55" s="164">
        <v>18</v>
      </c>
      <c r="N55" s="164">
        <v>55</v>
      </c>
    </row>
    <row r="56" spans="1:15">
      <c r="A56" s="163" t="s">
        <v>1172</v>
      </c>
      <c r="B56" s="163" t="s">
        <v>2213</v>
      </c>
      <c r="C56" s="163" t="s">
        <v>1173</v>
      </c>
      <c r="D56" s="163" t="s">
        <v>1147</v>
      </c>
      <c r="E56" s="163" t="s">
        <v>3511</v>
      </c>
      <c r="F56" s="163" t="s">
        <v>1175</v>
      </c>
      <c r="G56" s="163" t="s">
        <v>1174</v>
      </c>
      <c r="H56" s="163" t="s">
        <v>3722</v>
      </c>
      <c r="I56" s="164">
        <v>18</v>
      </c>
      <c r="J56" s="164">
        <v>18</v>
      </c>
      <c r="K56" s="164">
        <v>18</v>
      </c>
      <c r="L56" s="164">
        <v>18</v>
      </c>
      <c r="M56" s="164">
        <v>18</v>
      </c>
      <c r="N56" s="164">
        <v>55</v>
      </c>
    </row>
    <row r="57" spans="1:15">
      <c r="A57" s="163" t="s">
        <v>1179</v>
      </c>
      <c r="B57" s="163" t="s">
        <v>2213</v>
      </c>
      <c r="C57" s="163" t="s">
        <v>1180</v>
      </c>
      <c r="D57" s="163" t="s">
        <v>1147</v>
      </c>
      <c r="E57" s="163" t="s">
        <v>3517</v>
      </c>
      <c r="F57" s="163" t="s">
        <v>1182</v>
      </c>
      <c r="G57" s="163" t="s">
        <v>1181</v>
      </c>
      <c r="H57" s="163" t="s">
        <v>3723</v>
      </c>
      <c r="I57" s="164">
        <v>25</v>
      </c>
      <c r="J57" s="164">
        <v>25</v>
      </c>
      <c r="K57" s="164">
        <v>25</v>
      </c>
      <c r="L57" s="164">
        <v>25</v>
      </c>
      <c r="M57" s="164">
        <v>25</v>
      </c>
      <c r="N57" s="164">
        <v>55</v>
      </c>
      <c r="O57" s="163" t="s">
        <v>4328</v>
      </c>
    </row>
    <row r="58" spans="1:15">
      <c r="A58" s="163" t="s">
        <v>1183</v>
      </c>
      <c r="B58" s="163" t="s">
        <v>2213</v>
      </c>
      <c r="C58" s="163" t="s">
        <v>1184</v>
      </c>
      <c r="D58" s="163" t="s">
        <v>1147</v>
      </c>
      <c r="E58" s="163" t="s">
        <v>3517</v>
      </c>
      <c r="F58" s="163" t="s">
        <v>1186</v>
      </c>
      <c r="G58" s="163" t="s">
        <v>1185</v>
      </c>
      <c r="I58" s="164">
        <v>18</v>
      </c>
      <c r="J58" s="164">
        <v>18</v>
      </c>
      <c r="K58" s="164">
        <v>18</v>
      </c>
      <c r="L58" s="164">
        <v>18</v>
      </c>
      <c r="M58" s="164">
        <v>18</v>
      </c>
      <c r="N58" s="164">
        <v>55</v>
      </c>
      <c r="O58" s="163" t="s">
        <v>4328</v>
      </c>
    </row>
    <row r="59" spans="1:15">
      <c r="A59" s="163" t="s">
        <v>1198</v>
      </c>
      <c r="B59" s="163" t="s">
        <v>2213</v>
      </c>
      <c r="C59" s="163" t="s">
        <v>1199</v>
      </c>
      <c r="D59" s="163" t="s">
        <v>1147</v>
      </c>
      <c r="E59" s="163" t="s">
        <v>3511</v>
      </c>
      <c r="F59" s="163" t="s">
        <v>1201</v>
      </c>
      <c r="G59" s="163" t="s">
        <v>1200</v>
      </c>
      <c r="H59" s="163" t="s">
        <v>3724</v>
      </c>
      <c r="I59" s="164">
        <v>18</v>
      </c>
      <c r="J59" s="164">
        <v>18</v>
      </c>
      <c r="K59" s="164">
        <v>18</v>
      </c>
      <c r="L59" s="164">
        <v>18</v>
      </c>
      <c r="M59" s="164">
        <v>18</v>
      </c>
      <c r="N59" s="164">
        <v>55</v>
      </c>
    </row>
    <row r="60" spans="1:15">
      <c r="A60" s="163" t="s">
        <v>1202</v>
      </c>
      <c r="B60" s="163" t="s">
        <v>2213</v>
      </c>
      <c r="C60" s="163" t="s">
        <v>1203</v>
      </c>
      <c r="D60" s="163" t="s">
        <v>1147</v>
      </c>
      <c r="E60" s="163" t="s">
        <v>3511</v>
      </c>
      <c r="F60" s="163" t="s">
        <v>1201</v>
      </c>
      <c r="G60" s="163" t="s">
        <v>1204</v>
      </c>
      <c r="H60" s="163" t="s">
        <v>3725</v>
      </c>
      <c r="I60" s="164">
        <v>25</v>
      </c>
      <c r="J60" s="164">
        <v>25</v>
      </c>
      <c r="K60" s="164">
        <v>25</v>
      </c>
      <c r="L60" s="164">
        <v>25</v>
      </c>
      <c r="M60" s="164">
        <v>25</v>
      </c>
      <c r="N60" s="164">
        <v>55</v>
      </c>
      <c r="O60" s="163" t="s">
        <v>4316</v>
      </c>
    </row>
    <row r="61" spans="1:15">
      <c r="A61" s="163" t="s">
        <v>2268</v>
      </c>
      <c r="B61" s="163" t="s">
        <v>2057</v>
      </c>
      <c r="C61" s="163" t="s">
        <v>1033</v>
      </c>
      <c r="D61" s="163" t="s">
        <v>1608</v>
      </c>
      <c r="E61" s="163" t="s">
        <v>863</v>
      </c>
      <c r="F61" s="163" t="s">
        <v>1035</v>
      </c>
      <c r="G61" s="163" t="s">
        <v>1034</v>
      </c>
      <c r="H61" s="163" t="s">
        <v>3726</v>
      </c>
      <c r="I61" s="164">
        <v>18</v>
      </c>
      <c r="J61" s="164">
        <v>18</v>
      </c>
      <c r="K61" s="164">
        <v>18</v>
      </c>
      <c r="L61" s="164">
        <v>18</v>
      </c>
      <c r="M61" s="164">
        <v>25</v>
      </c>
      <c r="N61" s="164">
        <v>55</v>
      </c>
      <c r="O61" s="163" t="s">
        <v>4329</v>
      </c>
    </row>
    <row r="62" spans="1:15">
      <c r="A62" s="163" t="s">
        <v>1615</v>
      </c>
      <c r="B62" s="163" t="s">
        <v>2057</v>
      </c>
      <c r="C62" s="163" t="s">
        <v>1616</v>
      </c>
      <c r="D62" s="163" t="s">
        <v>1608</v>
      </c>
      <c r="E62" s="163" t="s">
        <v>863</v>
      </c>
      <c r="F62" s="163" t="s">
        <v>1035</v>
      </c>
      <c r="G62" s="163" t="s">
        <v>1617</v>
      </c>
      <c r="H62" s="163" t="s">
        <v>3727</v>
      </c>
      <c r="I62" s="164">
        <v>25</v>
      </c>
      <c r="J62" s="164">
        <v>25</v>
      </c>
      <c r="K62" s="164">
        <v>25</v>
      </c>
      <c r="L62" s="164">
        <v>25</v>
      </c>
      <c r="M62" s="164">
        <v>25</v>
      </c>
      <c r="N62" s="164">
        <v>55</v>
      </c>
      <c r="O62" s="163" t="s">
        <v>4330</v>
      </c>
    </row>
    <row r="63" spans="1:15">
      <c r="A63" s="163" t="s">
        <v>1618</v>
      </c>
      <c r="B63" s="163" t="s">
        <v>2057</v>
      </c>
      <c r="C63" s="163" t="s">
        <v>1619</v>
      </c>
      <c r="D63" s="163" t="s">
        <v>1608</v>
      </c>
      <c r="E63" s="163" t="s">
        <v>863</v>
      </c>
      <c r="F63" s="163" t="s">
        <v>863</v>
      </c>
      <c r="G63" s="163" t="s">
        <v>1620</v>
      </c>
      <c r="H63" s="163" t="s">
        <v>3728</v>
      </c>
      <c r="I63" s="164">
        <v>25</v>
      </c>
      <c r="J63" s="164">
        <v>25</v>
      </c>
      <c r="K63" s="164">
        <v>25</v>
      </c>
      <c r="L63" s="164">
        <v>25</v>
      </c>
      <c r="M63" s="164">
        <v>25</v>
      </c>
      <c r="N63" s="164">
        <v>55</v>
      </c>
      <c r="O63" s="163" t="s">
        <v>4320</v>
      </c>
    </row>
    <row r="64" spans="1:15">
      <c r="A64" s="163" t="s">
        <v>1621</v>
      </c>
      <c r="B64" s="163" t="s">
        <v>2057</v>
      </c>
      <c r="C64" s="163" t="s">
        <v>1622</v>
      </c>
      <c r="D64" s="163" t="s">
        <v>1608</v>
      </c>
      <c r="E64" s="163" t="s">
        <v>863</v>
      </c>
      <c r="F64" s="163" t="s">
        <v>863</v>
      </c>
      <c r="G64" s="163" t="s">
        <v>1623</v>
      </c>
      <c r="H64" s="163" t="s">
        <v>3729</v>
      </c>
      <c r="I64" s="164">
        <v>25</v>
      </c>
      <c r="J64" s="164">
        <v>25</v>
      </c>
      <c r="K64" s="164">
        <v>25</v>
      </c>
      <c r="L64" s="164">
        <v>25</v>
      </c>
      <c r="M64" s="164">
        <v>25</v>
      </c>
      <c r="N64" s="164">
        <v>55</v>
      </c>
      <c r="O64" s="163" t="s">
        <v>4331</v>
      </c>
    </row>
    <row r="65" spans="1:15">
      <c r="A65" s="163" t="s">
        <v>1624</v>
      </c>
      <c r="B65" s="163" t="s">
        <v>2057</v>
      </c>
      <c r="C65" s="163" t="s">
        <v>1625</v>
      </c>
      <c r="D65" s="163" t="s">
        <v>1608</v>
      </c>
      <c r="E65" s="163" t="s">
        <v>863</v>
      </c>
      <c r="F65" s="163" t="s">
        <v>863</v>
      </c>
      <c r="G65" s="163" t="s">
        <v>1626</v>
      </c>
      <c r="H65" s="163" t="s">
        <v>3730</v>
      </c>
      <c r="I65" s="164">
        <v>25</v>
      </c>
      <c r="J65" s="164">
        <v>25</v>
      </c>
      <c r="K65" s="164">
        <v>25</v>
      </c>
      <c r="L65" s="164">
        <v>25</v>
      </c>
      <c r="M65" s="164">
        <v>25</v>
      </c>
      <c r="N65" s="164">
        <v>55</v>
      </c>
      <c r="O65" s="163" t="s">
        <v>4320</v>
      </c>
    </row>
    <row r="66" spans="1:15">
      <c r="A66" s="163" t="s">
        <v>1627</v>
      </c>
      <c r="B66" s="163" t="s">
        <v>2057</v>
      </c>
      <c r="C66" s="163" t="s">
        <v>1628</v>
      </c>
      <c r="D66" s="163" t="s">
        <v>1608</v>
      </c>
      <c r="E66" s="163" t="s">
        <v>863</v>
      </c>
      <c r="F66" s="163" t="s">
        <v>863</v>
      </c>
      <c r="G66" s="163" t="s">
        <v>1629</v>
      </c>
      <c r="H66" s="163" t="s">
        <v>3731</v>
      </c>
      <c r="I66" s="164">
        <v>25</v>
      </c>
      <c r="J66" s="164">
        <v>18</v>
      </c>
      <c r="K66" s="164">
        <v>25</v>
      </c>
      <c r="L66" s="164">
        <v>18</v>
      </c>
      <c r="M66" s="164">
        <v>25</v>
      </c>
      <c r="N66" s="164">
        <v>55</v>
      </c>
      <c r="O66" s="163" t="s">
        <v>4330</v>
      </c>
    </row>
    <row r="67" spans="1:15">
      <c r="A67" s="163" t="s">
        <v>1630</v>
      </c>
      <c r="B67" s="163" t="s">
        <v>2057</v>
      </c>
      <c r="C67" s="163" t="s">
        <v>1631</v>
      </c>
      <c r="D67" s="163" t="s">
        <v>1608</v>
      </c>
      <c r="E67" s="163" t="s">
        <v>863</v>
      </c>
      <c r="F67" s="163" t="s">
        <v>1633</v>
      </c>
      <c r="G67" s="163" t="s">
        <v>1632</v>
      </c>
      <c r="H67" s="163" t="s">
        <v>3732</v>
      </c>
      <c r="I67" s="164">
        <v>25</v>
      </c>
      <c r="J67" s="164">
        <v>25</v>
      </c>
      <c r="K67" s="164">
        <v>25</v>
      </c>
      <c r="L67" s="164">
        <v>18</v>
      </c>
      <c r="M67" s="164">
        <v>25</v>
      </c>
      <c r="N67" s="164">
        <v>55</v>
      </c>
      <c r="O67" s="163" t="s">
        <v>4320</v>
      </c>
    </row>
    <row r="68" spans="1:15">
      <c r="A68" s="163" t="s">
        <v>1657</v>
      </c>
      <c r="B68" s="163" t="s">
        <v>2057</v>
      </c>
      <c r="C68" s="163" t="s">
        <v>1658</v>
      </c>
      <c r="D68" s="163" t="s">
        <v>1608</v>
      </c>
      <c r="E68" s="163" t="s">
        <v>3532</v>
      </c>
      <c r="F68" s="163" t="s">
        <v>1660</v>
      </c>
      <c r="G68" s="163" t="s">
        <v>1659</v>
      </c>
      <c r="H68" s="163" t="s">
        <v>3733</v>
      </c>
      <c r="I68" s="164">
        <v>25</v>
      </c>
      <c r="J68" s="164">
        <v>25</v>
      </c>
      <c r="K68" s="164">
        <v>25</v>
      </c>
      <c r="L68" s="164">
        <v>25</v>
      </c>
      <c r="M68" s="164">
        <v>25</v>
      </c>
      <c r="N68" s="164">
        <v>55</v>
      </c>
      <c r="O68" s="163" t="s">
        <v>4320</v>
      </c>
    </row>
    <row r="69" spans="1:15">
      <c r="A69" s="163" t="s">
        <v>1665</v>
      </c>
      <c r="B69" s="163" t="s">
        <v>2057</v>
      </c>
      <c r="C69" s="163" t="s">
        <v>1666</v>
      </c>
      <c r="D69" s="163" t="s">
        <v>1608</v>
      </c>
      <c r="E69" s="163" t="s">
        <v>3532</v>
      </c>
      <c r="F69" s="163" t="s">
        <v>1668</v>
      </c>
      <c r="G69" s="163" t="s">
        <v>1667</v>
      </c>
      <c r="H69" s="163" t="s">
        <v>3734</v>
      </c>
      <c r="I69" s="164">
        <v>25</v>
      </c>
      <c r="J69" s="164">
        <v>18</v>
      </c>
      <c r="K69" s="164">
        <v>25</v>
      </c>
      <c r="L69" s="164">
        <v>18</v>
      </c>
      <c r="M69" s="164">
        <v>25</v>
      </c>
      <c r="N69" s="164">
        <v>55</v>
      </c>
      <c r="O69" s="163" t="s">
        <v>4332</v>
      </c>
    </row>
    <row r="70" spans="1:15">
      <c r="A70" s="163" t="s">
        <v>1669</v>
      </c>
      <c r="B70" s="163" t="s">
        <v>2057</v>
      </c>
      <c r="C70" s="163" t="s">
        <v>1670</v>
      </c>
      <c r="D70" s="163" t="s">
        <v>1608</v>
      </c>
      <c r="E70" s="163" t="s">
        <v>3532</v>
      </c>
      <c r="F70" s="163" t="s">
        <v>1668</v>
      </c>
      <c r="G70" s="163" t="s">
        <v>1671</v>
      </c>
      <c r="H70" s="163" t="s">
        <v>3735</v>
      </c>
      <c r="I70" s="164">
        <v>25</v>
      </c>
      <c r="J70" s="164">
        <v>25</v>
      </c>
      <c r="K70" s="164">
        <v>25</v>
      </c>
      <c r="L70" s="164">
        <v>25</v>
      </c>
      <c r="M70" s="164">
        <v>25</v>
      </c>
      <c r="N70" s="164">
        <v>55</v>
      </c>
      <c r="O70" s="163" t="s">
        <v>4333</v>
      </c>
    </row>
    <row r="71" spans="1:15">
      <c r="A71" s="163" t="s">
        <v>1672</v>
      </c>
      <c r="B71" s="163" t="s">
        <v>2057</v>
      </c>
      <c r="C71" s="163" t="s">
        <v>1673</v>
      </c>
      <c r="D71" s="163" t="s">
        <v>1608</v>
      </c>
      <c r="E71" s="163" t="s">
        <v>3532</v>
      </c>
      <c r="F71" s="163" t="s">
        <v>1668</v>
      </c>
      <c r="G71" s="163" t="s">
        <v>1674</v>
      </c>
      <c r="H71" s="163" t="s">
        <v>3736</v>
      </c>
      <c r="I71" s="164">
        <v>25</v>
      </c>
      <c r="J71" s="164">
        <v>25</v>
      </c>
      <c r="K71" s="164">
        <v>25</v>
      </c>
      <c r="L71" s="164">
        <v>25</v>
      </c>
      <c r="M71" s="164">
        <v>25</v>
      </c>
      <c r="N71" s="164">
        <v>55</v>
      </c>
      <c r="O71" s="163" t="s">
        <v>4333</v>
      </c>
    </row>
    <row r="72" spans="1:15">
      <c r="A72" s="163" t="s">
        <v>1675</v>
      </c>
      <c r="B72" s="163" t="s">
        <v>2057</v>
      </c>
      <c r="C72" s="163" t="s">
        <v>1676</v>
      </c>
      <c r="D72" s="163" t="s">
        <v>1608</v>
      </c>
      <c r="E72" s="163" t="s">
        <v>3532</v>
      </c>
      <c r="F72" s="163" t="s">
        <v>1668</v>
      </c>
      <c r="G72" s="163" t="s">
        <v>2269</v>
      </c>
      <c r="H72" s="163" t="s">
        <v>3737</v>
      </c>
      <c r="I72" s="164">
        <v>18</v>
      </c>
      <c r="J72" s="164">
        <v>18</v>
      </c>
      <c r="K72" s="164">
        <v>18</v>
      </c>
      <c r="L72" s="164">
        <v>18</v>
      </c>
      <c r="M72" s="164">
        <v>18</v>
      </c>
      <c r="N72" s="164">
        <v>55</v>
      </c>
      <c r="O72" s="163" t="s">
        <v>4334</v>
      </c>
    </row>
    <row r="73" spans="1:15">
      <c r="A73" s="163" t="s">
        <v>1680</v>
      </c>
      <c r="B73" s="163" t="s">
        <v>2057</v>
      </c>
      <c r="C73" s="163" t="s">
        <v>1681</v>
      </c>
      <c r="D73" s="163" t="s">
        <v>1608</v>
      </c>
      <c r="E73" s="163" t="s">
        <v>3533</v>
      </c>
      <c r="F73" s="163" t="s">
        <v>1683</v>
      </c>
      <c r="G73" s="163" t="s">
        <v>1682</v>
      </c>
      <c r="H73" s="163" t="s">
        <v>3738</v>
      </c>
      <c r="I73" s="164">
        <v>25</v>
      </c>
      <c r="J73" s="164">
        <v>25</v>
      </c>
      <c r="K73" s="164">
        <v>25</v>
      </c>
      <c r="L73" s="164">
        <v>25</v>
      </c>
      <c r="M73" s="164">
        <v>25</v>
      </c>
      <c r="N73" s="164">
        <v>55</v>
      </c>
      <c r="O73" s="163" t="s">
        <v>4320</v>
      </c>
    </row>
    <row r="74" spans="1:15">
      <c r="A74" s="163" t="s">
        <v>1692</v>
      </c>
      <c r="B74" s="163" t="s">
        <v>2057</v>
      </c>
      <c r="C74" s="163" t="s">
        <v>1693</v>
      </c>
      <c r="D74" s="163" t="s">
        <v>1608</v>
      </c>
      <c r="E74" s="163" t="s">
        <v>3533</v>
      </c>
      <c r="F74" s="163" t="s">
        <v>1695</v>
      </c>
      <c r="G74" s="163" t="s">
        <v>1694</v>
      </c>
      <c r="H74" s="163" t="s">
        <v>3740</v>
      </c>
      <c r="I74" s="164">
        <v>25</v>
      </c>
      <c r="J74" s="164">
        <v>25</v>
      </c>
      <c r="K74" s="164">
        <v>25</v>
      </c>
      <c r="L74" s="164">
        <v>25</v>
      </c>
      <c r="M74" s="164">
        <v>25</v>
      </c>
      <c r="N74" s="164">
        <v>55</v>
      </c>
      <c r="O74" s="163" t="s">
        <v>4320</v>
      </c>
    </row>
    <row r="75" spans="1:15">
      <c r="A75" s="163" t="s">
        <v>1696</v>
      </c>
      <c r="B75" s="163" t="s">
        <v>2057</v>
      </c>
      <c r="C75" s="163" t="s">
        <v>1697</v>
      </c>
      <c r="D75" s="163" t="s">
        <v>1608</v>
      </c>
      <c r="E75" s="163" t="s">
        <v>3533</v>
      </c>
      <c r="F75" s="163" t="s">
        <v>1698</v>
      </c>
      <c r="G75" s="163" t="s">
        <v>2350</v>
      </c>
      <c r="H75" s="163" t="s">
        <v>3741</v>
      </c>
      <c r="I75" s="164">
        <v>25</v>
      </c>
      <c r="J75" s="164">
        <v>25</v>
      </c>
      <c r="K75" s="164">
        <v>25</v>
      </c>
      <c r="L75" s="164">
        <v>25</v>
      </c>
      <c r="M75" s="164">
        <v>25</v>
      </c>
      <c r="N75" s="164">
        <v>55</v>
      </c>
    </row>
    <row r="76" spans="1:15">
      <c r="A76" s="163" t="s">
        <v>1704</v>
      </c>
      <c r="B76" s="163" t="s">
        <v>2057</v>
      </c>
      <c r="C76" s="163" t="s">
        <v>1705</v>
      </c>
      <c r="D76" s="163" t="s">
        <v>1608</v>
      </c>
      <c r="E76" s="163" t="s">
        <v>3533</v>
      </c>
      <c r="F76" s="163" t="s">
        <v>1707</v>
      </c>
      <c r="G76" s="163" t="s">
        <v>1706</v>
      </c>
      <c r="H76" s="163" t="s">
        <v>3742</v>
      </c>
      <c r="I76" s="164">
        <v>25</v>
      </c>
      <c r="J76" s="164">
        <v>25</v>
      </c>
      <c r="K76" s="164">
        <v>25</v>
      </c>
      <c r="L76" s="164">
        <v>25</v>
      </c>
      <c r="M76" s="164">
        <v>25</v>
      </c>
      <c r="N76" s="164">
        <v>55</v>
      </c>
    </row>
    <row r="77" spans="1:15">
      <c r="A77" s="163" t="s">
        <v>1708</v>
      </c>
      <c r="B77" s="163" t="s">
        <v>2057</v>
      </c>
      <c r="C77" s="163" t="s">
        <v>1709</v>
      </c>
      <c r="D77" s="163" t="s">
        <v>1608</v>
      </c>
      <c r="E77" s="163" t="s">
        <v>3533</v>
      </c>
      <c r="F77" s="163" t="s">
        <v>1707</v>
      </c>
      <c r="G77" s="163" t="s">
        <v>1710</v>
      </c>
      <c r="H77" s="163" t="s">
        <v>3743</v>
      </c>
      <c r="I77" s="164">
        <v>25</v>
      </c>
      <c r="J77" s="164">
        <v>25</v>
      </c>
      <c r="K77" s="164">
        <v>25</v>
      </c>
      <c r="L77" s="164">
        <v>25</v>
      </c>
      <c r="M77" s="164">
        <v>25</v>
      </c>
      <c r="N77" s="164">
        <v>55</v>
      </c>
    </row>
    <row r="78" spans="1:15">
      <c r="A78" s="163" t="s">
        <v>1465</v>
      </c>
      <c r="B78" s="163" t="s">
        <v>2057</v>
      </c>
      <c r="C78" s="163" t="s">
        <v>1466</v>
      </c>
      <c r="D78" s="163" t="s">
        <v>1459</v>
      </c>
      <c r="E78" s="163" t="s">
        <v>3516</v>
      </c>
      <c r="F78" s="163" t="s">
        <v>1458</v>
      </c>
      <c r="G78" s="163" t="s">
        <v>1467</v>
      </c>
      <c r="H78" s="163" t="s">
        <v>3744</v>
      </c>
      <c r="I78" s="164">
        <v>25</v>
      </c>
      <c r="J78" s="164">
        <v>25</v>
      </c>
      <c r="K78" s="164">
        <v>25</v>
      </c>
      <c r="L78" s="164">
        <v>25</v>
      </c>
      <c r="M78" s="164">
        <v>25</v>
      </c>
      <c r="N78" s="164">
        <v>55</v>
      </c>
      <c r="O78" s="163" t="s">
        <v>4335</v>
      </c>
    </row>
    <row r="79" spans="1:15">
      <c r="A79" s="163" t="s">
        <v>1468</v>
      </c>
      <c r="B79" s="163" t="s">
        <v>2057</v>
      </c>
      <c r="C79" s="163" t="s">
        <v>1469</v>
      </c>
      <c r="D79" s="163" t="s">
        <v>1459</v>
      </c>
      <c r="E79" s="163" t="s">
        <v>3516</v>
      </c>
      <c r="F79" s="163" t="s">
        <v>1458</v>
      </c>
      <c r="G79" s="163" t="s">
        <v>1470</v>
      </c>
      <c r="H79" s="163" t="s">
        <v>3745</v>
      </c>
      <c r="I79" s="164">
        <v>18</v>
      </c>
      <c r="J79" s="164">
        <v>18</v>
      </c>
      <c r="K79" s="164">
        <v>18</v>
      </c>
      <c r="L79" s="164">
        <v>18</v>
      </c>
      <c r="M79" s="164">
        <v>18</v>
      </c>
      <c r="N79" s="164">
        <v>55</v>
      </c>
      <c r="O79" s="163" t="s">
        <v>4319</v>
      </c>
    </row>
    <row r="80" spans="1:15">
      <c r="A80" s="163" t="s">
        <v>1471</v>
      </c>
      <c r="B80" s="163" t="s">
        <v>2057</v>
      </c>
      <c r="C80" s="163" t="s">
        <v>1472</v>
      </c>
      <c r="D80" s="163" t="s">
        <v>1459</v>
      </c>
      <c r="E80" s="163" t="s">
        <v>3516</v>
      </c>
      <c r="F80" s="163" t="s">
        <v>1474</v>
      </c>
      <c r="G80" s="163" t="s">
        <v>1473</v>
      </c>
      <c r="H80" s="163" t="s">
        <v>3746</v>
      </c>
      <c r="I80" s="164">
        <v>25</v>
      </c>
      <c r="J80" s="164">
        <v>25</v>
      </c>
      <c r="K80" s="164">
        <v>25</v>
      </c>
      <c r="L80" s="164">
        <v>25</v>
      </c>
      <c r="M80" s="164">
        <v>25</v>
      </c>
      <c r="N80" s="164">
        <v>55</v>
      </c>
      <c r="O80" s="163" t="s">
        <v>4316</v>
      </c>
    </row>
    <row r="81" spans="1:15">
      <c r="A81" s="163" t="s">
        <v>1475</v>
      </c>
      <c r="B81" s="163" t="s">
        <v>2057</v>
      </c>
      <c r="C81" s="163" t="s">
        <v>1476</v>
      </c>
      <c r="D81" s="163" t="s">
        <v>1459</v>
      </c>
      <c r="E81" s="163" t="s">
        <v>3516</v>
      </c>
      <c r="F81" s="163" t="s">
        <v>1474</v>
      </c>
      <c r="G81" s="163" t="s">
        <v>1477</v>
      </c>
      <c r="H81" s="163" t="s">
        <v>3747</v>
      </c>
      <c r="I81" s="164">
        <v>25</v>
      </c>
      <c r="J81" s="164">
        <v>25</v>
      </c>
      <c r="K81" s="164">
        <v>25</v>
      </c>
      <c r="L81" s="164">
        <v>25</v>
      </c>
      <c r="M81" s="164">
        <v>25</v>
      </c>
      <c r="N81" s="164">
        <v>55</v>
      </c>
      <c r="O81" s="163" t="s">
        <v>4316</v>
      </c>
    </row>
    <row r="82" spans="1:15">
      <c r="A82" s="163" t="s">
        <v>1478</v>
      </c>
      <c r="B82" s="163" t="s">
        <v>2057</v>
      </c>
      <c r="C82" s="163" t="s">
        <v>1479</v>
      </c>
      <c r="D82" s="163" t="s">
        <v>1459</v>
      </c>
      <c r="E82" s="163" t="s">
        <v>3516</v>
      </c>
      <c r="F82" s="163" t="s">
        <v>1481</v>
      </c>
      <c r="G82" s="163" t="s">
        <v>1480</v>
      </c>
      <c r="H82" s="163" t="s">
        <v>3748</v>
      </c>
      <c r="I82" s="164">
        <v>25</v>
      </c>
      <c r="J82" s="164">
        <v>25</v>
      </c>
      <c r="K82" s="164">
        <v>25</v>
      </c>
      <c r="L82" s="164">
        <v>25</v>
      </c>
      <c r="M82" s="164">
        <v>25</v>
      </c>
      <c r="N82" s="164">
        <v>60</v>
      </c>
      <c r="O82" s="163" t="s">
        <v>4336</v>
      </c>
    </row>
    <row r="83" spans="1:15">
      <c r="A83" s="163" t="s">
        <v>1482</v>
      </c>
      <c r="B83" s="163" t="s">
        <v>2057</v>
      </c>
      <c r="C83" s="163" t="s">
        <v>1483</v>
      </c>
      <c r="D83" s="163" t="s">
        <v>1459</v>
      </c>
      <c r="E83" s="163" t="s">
        <v>3516</v>
      </c>
      <c r="F83" s="163" t="s">
        <v>1481</v>
      </c>
      <c r="G83" s="163" t="s">
        <v>1484</v>
      </c>
      <c r="H83" s="163" t="s">
        <v>3749</v>
      </c>
      <c r="I83" s="164">
        <v>25</v>
      </c>
      <c r="J83" s="164">
        <v>25</v>
      </c>
      <c r="K83" s="164">
        <v>25</v>
      </c>
      <c r="L83" s="164">
        <v>18</v>
      </c>
      <c r="M83" s="164">
        <v>25</v>
      </c>
      <c r="N83" s="164">
        <v>55</v>
      </c>
      <c r="O83" s="163" t="s">
        <v>4337</v>
      </c>
    </row>
    <row r="84" spans="1:15">
      <c r="A84" s="163" t="s">
        <v>1489</v>
      </c>
      <c r="B84" s="163" t="s">
        <v>2057</v>
      </c>
      <c r="C84" s="163" t="s">
        <v>1490</v>
      </c>
      <c r="D84" s="163" t="s">
        <v>1459</v>
      </c>
      <c r="E84" s="163" t="s">
        <v>3519</v>
      </c>
      <c r="F84" s="163" t="s">
        <v>1492</v>
      </c>
      <c r="G84" s="163" t="s">
        <v>1491</v>
      </c>
      <c r="H84" s="163" t="s">
        <v>3750</v>
      </c>
      <c r="I84" s="164">
        <v>25</v>
      </c>
      <c r="J84" s="164">
        <v>25</v>
      </c>
      <c r="K84" s="164">
        <v>25</v>
      </c>
      <c r="L84" s="164">
        <v>25</v>
      </c>
      <c r="M84" s="164">
        <v>25</v>
      </c>
      <c r="N84" s="164">
        <v>55</v>
      </c>
      <c r="O84" s="163" t="s">
        <v>4338</v>
      </c>
    </row>
    <row r="85" spans="1:15">
      <c r="A85" s="163" t="s">
        <v>1494</v>
      </c>
      <c r="B85" s="163" t="s">
        <v>2057</v>
      </c>
      <c r="C85" s="163" t="s">
        <v>1495</v>
      </c>
      <c r="D85" s="163" t="s">
        <v>1459</v>
      </c>
      <c r="E85" s="163" t="s">
        <v>3519</v>
      </c>
      <c r="F85" s="163" t="s">
        <v>1497</v>
      </c>
      <c r="G85" s="163" t="s">
        <v>1496</v>
      </c>
      <c r="H85" s="163" t="s">
        <v>3751</v>
      </c>
      <c r="I85" s="164">
        <v>25</v>
      </c>
      <c r="J85" s="164">
        <v>18</v>
      </c>
      <c r="K85" s="164">
        <v>25</v>
      </c>
      <c r="L85" s="164">
        <v>18</v>
      </c>
      <c r="M85" s="164">
        <v>25</v>
      </c>
      <c r="N85" s="164">
        <v>55</v>
      </c>
    </row>
    <row r="86" spans="1:15">
      <c r="A86" s="163" t="s">
        <v>1498</v>
      </c>
      <c r="B86" s="163" t="s">
        <v>2057</v>
      </c>
      <c r="C86" s="163" t="s">
        <v>1499</v>
      </c>
      <c r="D86" s="163" t="s">
        <v>1459</v>
      </c>
      <c r="E86" s="163" t="s">
        <v>3516</v>
      </c>
      <c r="F86" s="163" t="s">
        <v>1501</v>
      </c>
      <c r="G86" s="163" t="s">
        <v>1500</v>
      </c>
      <c r="H86" s="163" t="s">
        <v>3752</v>
      </c>
      <c r="I86" s="164">
        <v>25</v>
      </c>
      <c r="J86" s="164">
        <v>25</v>
      </c>
      <c r="K86" s="164">
        <v>25</v>
      </c>
      <c r="L86" s="164">
        <v>25</v>
      </c>
      <c r="M86" s="164">
        <v>25</v>
      </c>
      <c r="N86" s="164">
        <v>55</v>
      </c>
      <c r="O86" s="163" t="s">
        <v>4339</v>
      </c>
    </row>
    <row r="87" spans="1:15">
      <c r="A87" s="163" t="s">
        <v>1506</v>
      </c>
      <c r="B87" s="163" t="s">
        <v>2057</v>
      </c>
      <c r="C87" s="163" t="s">
        <v>1507</v>
      </c>
      <c r="D87" s="163" t="s">
        <v>1459</v>
      </c>
      <c r="E87" s="163" t="s">
        <v>3516</v>
      </c>
      <c r="F87" s="163" t="s">
        <v>1509</v>
      </c>
      <c r="G87" s="163" t="s">
        <v>1508</v>
      </c>
      <c r="H87" s="163" t="s">
        <v>3753</v>
      </c>
      <c r="I87" s="164">
        <v>25</v>
      </c>
      <c r="J87" s="164">
        <v>18</v>
      </c>
      <c r="K87" s="164">
        <v>25</v>
      </c>
      <c r="L87" s="164">
        <v>18</v>
      </c>
      <c r="M87" s="164">
        <v>25</v>
      </c>
      <c r="N87" s="164">
        <v>55</v>
      </c>
      <c r="O87" s="163" t="s">
        <v>4338</v>
      </c>
    </row>
    <row r="88" spans="1:15">
      <c r="A88" s="163" t="s">
        <v>2267</v>
      </c>
      <c r="B88" s="163" t="s">
        <v>2057</v>
      </c>
      <c r="C88" s="163" t="s">
        <v>1030</v>
      </c>
      <c r="D88" s="163" t="s">
        <v>1459</v>
      </c>
      <c r="E88" s="163" t="s">
        <v>3516</v>
      </c>
      <c r="F88" s="163" t="s">
        <v>1032</v>
      </c>
      <c r="G88" s="163" t="s">
        <v>1031</v>
      </c>
      <c r="H88" s="163" t="s">
        <v>3754</v>
      </c>
      <c r="I88" s="164">
        <v>25</v>
      </c>
      <c r="J88" s="164">
        <v>25</v>
      </c>
      <c r="K88" s="164">
        <v>25</v>
      </c>
      <c r="L88" s="164">
        <v>25</v>
      </c>
      <c r="M88" s="164">
        <v>25</v>
      </c>
      <c r="N88" s="164">
        <v>55</v>
      </c>
      <c r="O88" s="163" t="s">
        <v>4338</v>
      </c>
    </row>
    <row r="89" spans="1:15">
      <c r="A89" s="163" t="s">
        <v>1510</v>
      </c>
      <c r="B89" s="163" t="s">
        <v>2057</v>
      </c>
      <c r="C89" s="163" t="s">
        <v>1511</v>
      </c>
      <c r="D89" s="163" t="s">
        <v>1459</v>
      </c>
      <c r="E89" s="163" t="s">
        <v>3516</v>
      </c>
      <c r="F89" s="163" t="s">
        <v>1032</v>
      </c>
      <c r="G89" s="163" t="s">
        <v>1512</v>
      </c>
      <c r="H89" s="163" t="s">
        <v>3755</v>
      </c>
      <c r="I89" s="164">
        <v>25</v>
      </c>
      <c r="J89" s="164">
        <v>25</v>
      </c>
      <c r="K89" s="164">
        <v>25</v>
      </c>
      <c r="L89" s="164">
        <v>25</v>
      </c>
      <c r="M89" s="164">
        <v>25</v>
      </c>
      <c r="N89" s="164">
        <v>55</v>
      </c>
      <c r="O89" s="163" t="s">
        <v>4340</v>
      </c>
    </row>
    <row r="90" spans="1:15">
      <c r="A90" s="163" t="s">
        <v>3349</v>
      </c>
      <c r="B90" s="163" t="s">
        <v>2057</v>
      </c>
      <c r="C90" s="163" t="s">
        <v>3350</v>
      </c>
      <c r="D90" s="163" t="s">
        <v>1459</v>
      </c>
      <c r="E90" s="163" t="s">
        <v>3516</v>
      </c>
      <c r="F90" s="163" t="s">
        <v>2060</v>
      </c>
      <c r="G90" s="163" t="s">
        <v>3351</v>
      </c>
      <c r="H90" s="163" t="s">
        <v>3756</v>
      </c>
      <c r="I90" s="164">
        <v>25</v>
      </c>
      <c r="J90" s="164">
        <v>25</v>
      </c>
      <c r="K90" s="164">
        <v>25</v>
      </c>
      <c r="L90" s="164">
        <v>25</v>
      </c>
      <c r="M90" s="164">
        <v>25</v>
      </c>
      <c r="N90" s="164">
        <v>55</v>
      </c>
      <c r="O90" s="163" t="s">
        <v>4316</v>
      </c>
    </row>
    <row r="91" spans="1:15">
      <c r="A91" s="163" t="s">
        <v>3428</v>
      </c>
      <c r="B91" s="163" t="s">
        <v>2057</v>
      </c>
      <c r="C91" s="163" t="s">
        <v>3429</v>
      </c>
      <c r="D91" s="163" t="s">
        <v>1459</v>
      </c>
      <c r="E91" s="163" t="s">
        <v>3516</v>
      </c>
      <c r="F91" s="163" t="s">
        <v>2060</v>
      </c>
      <c r="G91" s="163" t="s">
        <v>3430</v>
      </c>
      <c r="H91" s="163" t="s">
        <v>3757</v>
      </c>
      <c r="I91" s="164">
        <v>25</v>
      </c>
      <c r="J91" s="164">
        <v>25</v>
      </c>
      <c r="K91" s="164">
        <v>25</v>
      </c>
      <c r="L91" s="164">
        <v>25</v>
      </c>
      <c r="M91" s="164">
        <v>25</v>
      </c>
      <c r="N91" s="164" t="s">
        <v>2796</v>
      </c>
      <c r="O91" s="163" t="s">
        <v>4341</v>
      </c>
    </row>
    <row r="92" spans="1:15">
      <c r="A92" s="163" t="s">
        <v>1517</v>
      </c>
      <c r="B92" s="163" t="s">
        <v>2057</v>
      </c>
      <c r="C92" s="163" t="s">
        <v>1518</v>
      </c>
      <c r="D92" s="163" t="s">
        <v>1459</v>
      </c>
      <c r="E92" s="163" t="s">
        <v>3516</v>
      </c>
      <c r="F92" s="163" t="s">
        <v>1520</v>
      </c>
      <c r="G92" s="163" t="s">
        <v>1519</v>
      </c>
      <c r="H92" s="163" t="s">
        <v>3758</v>
      </c>
      <c r="I92" s="164">
        <v>25</v>
      </c>
      <c r="J92" s="164">
        <v>25</v>
      </c>
      <c r="K92" s="164">
        <v>25</v>
      </c>
      <c r="L92" s="164">
        <v>25</v>
      </c>
      <c r="M92" s="164">
        <v>25</v>
      </c>
      <c r="N92" s="164">
        <v>55</v>
      </c>
      <c r="O92" s="163" t="s">
        <v>4341</v>
      </c>
    </row>
    <row r="93" spans="1:15">
      <c r="A93" s="163" t="s">
        <v>1521</v>
      </c>
      <c r="B93" s="163" t="s">
        <v>2057</v>
      </c>
      <c r="C93" s="163" t="s">
        <v>1522</v>
      </c>
      <c r="D93" s="163" t="s">
        <v>1459</v>
      </c>
      <c r="E93" s="163" t="s">
        <v>3516</v>
      </c>
      <c r="F93" s="163" t="s">
        <v>2060</v>
      </c>
      <c r="G93" s="163" t="s">
        <v>2059</v>
      </c>
      <c r="H93" s="163" t="s">
        <v>3759</v>
      </c>
      <c r="I93" s="164">
        <v>25</v>
      </c>
      <c r="J93" s="164">
        <v>25</v>
      </c>
      <c r="K93" s="164">
        <v>25</v>
      </c>
      <c r="L93" s="164">
        <v>25</v>
      </c>
      <c r="M93" s="164">
        <v>25</v>
      </c>
      <c r="N93" s="164">
        <v>55</v>
      </c>
    </row>
    <row r="94" spans="1:15">
      <c r="A94" s="163" t="s">
        <v>2200</v>
      </c>
      <c r="B94" s="163" t="s">
        <v>2057</v>
      </c>
      <c r="C94" s="163" t="s">
        <v>2201</v>
      </c>
      <c r="D94" s="163" t="s">
        <v>1459</v>
      </c>
      <c r="E94" s="163" t="s">
        <v>3516</v>
      </c>
      <c r="F94" s="163" t="s">
        <v>1526</v>
      </c>
      <c r="G94" s="163" t="s">
        <v>2202</v>
      </c>
      <c r="H94" s="163" t="s">
        <v>3760</v>
      </c>
      <c r="I94" s="164">
        <v>25</v>
      </c>
      <c r="J94" s="164">
        <v>25</v>
      </c>
      <c r="K94" s="164">
        <v>25</v>
      </c>
      <c r="L94" s="164">
        <v>25</v>
      </c>
      <c r="M94" s="164">
        <v>25</v>
      </c>
      <c r="N94" s="164">
        <v>55</v>
      </c>
      <c r="O94" s="163" t="s">
        <v>4338</v>
      </c>
    </row>
    <row r="95" spans="1:15">
      <c r="A95" s="163" t="s">
        <v>1527</v>
      </c>
      <c r="B95" s="163" t="s">
        <v>2057</v>
      </c>
      <c r="C95" s="163" t="s">
        <v>1528</v>
      </c>
      <c r="D95" s="163" t="s">
        <v>1459</v>
      </c>
      <c r="E95" s="163" t="s">
        <v>3529</v>
      </c>
      <c r="F95" s="163" t="s">
        <v>1530</v>
      </c>
      <c r="G95" s="163" t="s">
        <v>1529</v>
      </c>
      <c r="H95" s="163" t="s">
        <v>3761</v>
      </c>
      <c r="I95" s="164">
        <v>18</v>
      </c>
      <c r="J95" s="164">
        <v>9</v>
      </c>
      <c r="K95" s="164">
        <v>18</v>
      </c>
      <c r="L95" s="164">
        <v>9</v>
      </c>
      <c r="M95" s="164">
        <v>18</v>
      </c>
      <c r="N95" s="164">
        <v>50</v>
      </c>
      <c r="O95" s="163" t="s">
        <v>4316</v>
      </c>
    </row>
    <row r="96" spans="1:15">
      <c r="A96" s="163" t="s">
        <v>1531</v>
      </c>
      <c r="B96" s="163" t="s">
        <v>2057</v>
      </c>
      <c r="C96" s="163" t="s">
        <v>1532</v>
      </c>
      <c r="D96" s="163" t="s">
        <v>1459</v>
      </c>
      <c r="E96" s="163" t="s">
        <v>3529</v>
      </c>
      <c r="F96" s="163" t="s">
        <v>1534</v>
      </c>
      <c r="G96" s="163" t="s">
        <v>1533</v>
      </c>
      <c r="H96" s="163" t="s">
        <v>3762</v>
      </c>
      <c r="I96" s="164">
        <v>25</v>
      </c>
      <c r="J96" s="164">
        <v>25</v>
      </c>
      <c r="K96" s="164">
        <v>25</v>
      </c>
      <c r="L96" s="164">
        <v>25</v>
      </c>
      <c r="M96" s="164">
        <v>25</v>
      </c>
      <c r="N96" s="164">
        <v>55</v>
      </c>
      <c r="O96" s="163" t="s">
        <v>4342</v>
      </c>
    </row>
    <row r="97" spans="1:15">
      <c r="A97" s="163" t="s">
        <v>1539</v>
      </c>
      <c r="B97" s="163" t="s">
        <v>2057</v>
      </c>
      <c r="C97" s="163" t="s">
        <v>1540</v>
      </c>
      <c r="D97" s="163" t="s">
        <v>1459</v>
      </c>
      <c r="E97" s="163" t="s">
        <v>3530</v>
      </c>
      <c r="F97" s="163" t="s">
        <v>1542</v>
      </c>
      <c r="G97" s="163" t="s">
        <v>1541</v>
      </c>
      <c r="H97" s="163" t="s">
        <v>3763</v>
      </c>
      <c r="I97" s="164">
        <v>25</v>
      </c>
      <c r="J97" s="164">
        <v>25</v>
      </c>
      <c r="K97" s="164">
        <v>25</v>
      </c>
      <c r="L97" s="164">
        <v>25</v>
      </c>
      <c r="M97" s="164">
        <v>25</v>
      </c>
      <c r="N97" s="164">
        <v>55</v>
      </c>
      <c r="O97" s="163" t="s">
        <v>4343</v>
      </c>
    </row>
    <row r="98" spans="1:15">
      <c r="A98" s="163" t="s">
        <v>1543</v>
      </c>
      <c r="B98" s="163" t="s">
        <v>2057</v>
      </c>
      <c r="C98" s="163" t="s">
        <v>1544</v>
      </c>
      <c r="D98" s="163" t="s">
        <v>1459</v>
      </c>
      <c r="E98" s="163" t="s">
        <v>3530</v>
      </c>
      <c r="F98" s="163" t="s">
        <v>1542</v>
      </c>
      <c r="G98" s="163" t="s">
        <v>1545</v>
      </c>
      <c r="H98" s="163" t="s">
        <v>3764</v>
      </c>
      <c r="I98" s="164">
        <v>25</v>
      </c>
      <c r="J98" s="164">
        <v>25</v>
      </c>
      <c r="K98" s="164">
        <v>25</v>
      </c>
      <c r="L98" s="164">
        <v>18</v>
      </c>
      <c r="M98" s="164">
        <v>25</v>
      </c>
      <c r="N98" s="164">
        <v>55</v>
      </c>
      <c r="O98" s="163" t="s">
        <v>4343</v>
      </c>
    </row>
    <row r="99" spans="1:15">
      <c r="A99" s="163" t="s">
        <v>1546</v>
      </c>
      <c r="B99" s="163" t="s">
        <v>2057</v>
      </c>
      <c r="C99" s="163" t="s">
        <v>1547</v>
      </c>
      <c r="D99" s="163" t="s">
        <v>1459</v>
      </c>
      <c r="E99" s="163" t="s">
        <v>3529</v>
      </c>
      <c r="F99" s="163" t="s">
        <v>1549</v>
      </c>
      <c r="G99" s="163" t="s">
        <v>1548</v>
      </c>
      <c r="H99" s="163" t="s">
        <v>3765</v>
      </c>
      <c r="I99" s="164">
        <v>25</v>
      </c>
      <c r="J99" s="164">
        <v>18</v>
      </c>
      <c r="K99" s="164">
        <v>25</v>
      </c>
      <c r="L99" s="164">
        <v>18</v>
      </c>
      <c r="M99" s="164">
        <v>25</v>
      </c>
      <c r="N99" s="164">
        <v>55</v>
      </c>
      <c r="O99" s="163" t="s">
        <v>4342</v>
      </c>
    </row>
    <row r="100" spans="1:15">
      <c r="A100" s="163" t="s">
        <v>1551</v>
      </c>
      <c r="B100" s="163" t="s">
        <v>2057</v>
      </c>
      <c r="C100" s="163" t="s">
        <v>1552</v>
      </c>
      <c r="D100" s="163" t="s">
        <v>1459</v>
      </c>
      <c r="E100" s="163" t="s">
        <v>3529</v>
      </c>
      <c r="F100" s="163" t="s">
        <v>1554</v>
      </c>
      <c r="G100" s="163" t="s">
        <v>1553</v>
      </c>
      <c r="H100" s="163" t="s">
        <v>3766</v>
      </c>
      <c r="I100" s="164">
        <v>18</v>
      </c>
      <c r="J100" s="164">
        <v>18</v>
      </c>
      <c r="K100" s="164">
        <v>18</v>
      </c>
      <c r="L100" s="164">
        <v>9</v>
      </c>
      <c r="M100" s="164">
        <v>18</v>
      </c>
      <c r="N100" s="164">
        <v>50</v>
      </c>
      <c r="O100" s="163" t="s">
        <v>4316</v>
      </c>
    </row>
    <row r="101" spans="1:15">
      <c r="A101" s="163" t="s">
        <v>1558</v>
      </c>
      <c r="B101" s="163" t="s">
        <v>2057</v>
      </c>
      <c r="C101" s="163" t="s">
        <v>1559</v>
      </c>
      <c r="D101" s="163" t="s">
        <v>1459</v>
      </c>
      <c r="E101" s="163" t="s">
        <v>3529</v>
      </c>
      <c r="F101" s="163" t="s">
        <v>1561</v>
      </c>
      <c r="G101" s="163" t="s">
        <v>1560</v>
      </c>
      <c r="H101" s="163" t="s">
        <v>3767</v>
      </c>
      <c r="I101" s="164">
        <v>9</v>
      </c>
      <c r="J101" s="164">
        <v>9</v>
      </c>
      <c r="K101" s="164">
        <v>9</v>
      </c>
      <c r="L101" s="164">
        <v>9</v>
      </c>
      <c r="M101" s="164">
        <v>9</v>
      </c>
      <c r="N101" s="164">
        <v>50</v>
      </c>
      <c r="O101" s="163" t="s">
        <v>4342</v>
      </c>
    </row>
    <row r="102" spans="1:15">
      <c r="A102" s="163" t="s">
        <v>1562</v>
      </c>
      <c r="B102" s="163" t="s">
        <v>2057</v>
      </c>
      <c r="C102" s="163" t="s">
        <v>1563</v>
      </c>
      <c r="D102" s="163" t="s">
        <v>1459</v>
      </c>
      <c r="E102" s="163" t="s">
        <v>3529</v>
      </c>
      <c r="F102" s="163" t="s">
        <v>1565</v>
      </c>
      <c r="G102" s="163" t="s">
        <v>1564</v>
      </c>
      <c r="H102" s="163" t="s">
        <v>3768</v>
      </c>
      <c r="I102" s="164">
        <v>25</v>
      </c>
      <c r="J102" s="164">
        <v>25</v>
      </c>
      <c r="K102" s="164">
        <v>25</v>
      </c>
      <c r="L102" s="164">
        <v>25</v>
      </c>
      <c r="M102" s="164">
        <v>25</v>
      </c>
      <c r="N102" s="164">
        <v>55</v>
      </c>
      <c r="O102" s="163" t="s">
        <v>4342</v>
      </c>
    </row>
    <row r="103" spans="1:15">
      <c r="A103" s="163" t="s">
        <v>2346</v>
      </c>
      <c r="B103" s="163" t="s">
        <v>2057</v>
      </c>
      <c r="C103" s="163" t="s">
        <v>2347</v>
      </c>
      <c r="D103" s="163" t="s">
        <v>1459</v>
      </c>
      <c r="E103" s="163" t="s">
        <v>3529</v>
      </c>
      <c r="F103" s="163" t="s">
        <v>2349</v>
      </c>
      <c r="G103" s="163" t="s">
        <v>2348</v>
      </c>
      <c r="H103" s="163" t="s">
        <v>4166</v>
      </c>
      <c r="I103" s="164">
        <v>25</v>
      </c>
      <c r="J103" s="164">
        <v>25</v>
      </c>
      <c r="K103" s="164">
        <v>25</v>
      </c>
      <c r="L103" s="164">
        <v>25</v>
      </c>
      <c r="M103" s="164">
        <v>25</v>
      </c>
      <c r="N103" s="164">
        <v>55</v>
      </c>
      <c r="O103" s="163" t="s">
        <v>4344</v>
      </c>
    </row>
    <row r="104" spans="1:15">
      <c r="A104" s="163" t="s">
        <v>1572</v>
      </c>
      <c r="B104" s="163" t="s">
        <v>2057</v>
      </c>
      <c r="C104" s="163" t="s">
        <v>1573</v>
      </c>
      <c r="D104" s="163" t="s">
        <v>1459</v>
      </c>
      <c r="E104" s="163" t="s">
        <v>3529</v>
      </c>
      <c r="F104" s="163" t="s">
        <v>1575</v>
      </c>
      <c r="G104" s="163" t="s">
        <v>1574</v>
      </c>
      <c r="H104" s="163" t="s">
        <v>3769</v>
      </c>
      <c r="I104" s="164">
        <v>25</v>
      </c>
      <c r="J104" s="164">
        <v>25</v>
      </c>
      <c r="K104" s="164">
        <v>25</v>
      </c>
      <c r="L104" s="164">
        <v>25</v>
      </c>
      <c r="M104" s="164">
        <v>25</v>
      </c>
      <c r="N104" s="164">
        <v>55</v>
      </c>
      <c r="O104" s="163" t="s">
        <v>4344</v>
      </c>
    </row>
    <row r="105" spans="1:15">
      <c r="A105" s="163" t="s">
        <v>1576</v>
      </c>
      <c r="B105" s="163" t="s">
        <v>2057</v>
      </c>
      <c r="C105" s="163" t="s">
        <v>1577</v>
      </c>
      <c r="D105" s="163" t="s">
        <v>1459</v>
      </c>
      <c r="E105" s="163" t="s">
        <v>3531</v>
      </c>
      <c r="F105" s="163" t="s">
        <v>1579</v>
      </c>
      <c r="G105" s="163" t="s">
        <v>1578</v>
      </c>
      <c r="H105" s="163" t="s">
        <v>3770</v>
      </c>
      <c r="I105" s="164">
        <v>25</v>
      </c>
      <c r="J105" s="164">
        <v>25</v>
      </c>
      <c r="K105" s="164">
        <v>25</v>
      </c>
      <c r="L105" s="164">
        <v>25</v>
      </c>
      <c r="M105" s="164">
        <v>25</v>
      </c>
      <c r="N105" s="164">
        <v>55</v>
      </c>
      <c r="O105" s="163" t="s">
        <v>4345</v>
      </c>
    </row>
    <row r="106" spans="1:15">
      <c r="A106" s="163" t="s">
        <v>1587</v>
      </c>
      <c r="B106" s="163" t="s">
        <v>2057</v>
      </c>
      <c r="C106" s="163" t="s">
        <v>1588</v>
      </c>
      <c r="D106" s="163" t="s">
        <v>1459</v>
      </c>
      <c r="E106" s="163" t="s">
        <v>3531</v>
      </c>
      <c r="F106" s="163" t="s">
        <v>1590</v>
      </c>
      <c r="G106" s="163" t="s">
        <v>1589</v>
      </c>
      <c r="H106" s="163" t="s">
        <v>3771</v>
      </c>
      <c r="I106" s="164">
        <v>25</v>
      </c>
      <c r="J106" s="164">
        <v>25</v>
      </c>
      <c r="K106" s="164">
        <v>25</v>
      </c>
      <c r="L106" s="164">
        <v>25</v>
      </c>
      <c r="M106" s="164">
        <v>25</v>
      </c>
      <c r="N106" s="164">
        <v>55</v>
      </c>
      <c r="O106" s="163" t="s">
        <v>4345</v>
      </c>
    </row>
    <row r="107" spans="1:15">
      <c r="A107" s="163" t="s">
        <v>1592</v>
      </c>
      <c r="B107" s="163" t="s">
        <v>2057</v>
      </c>
      <c r="C107" s="163" t="s">
        <v>1593</v>
      </c>
      <c r="D107" s="163" t="s">
        <v>1459</v>
      </c>
      <c r="E107" s="163" t="s">
        <v>3531</v>
      </c>
      <c r="F107" s="163" t="s">
        <v>1595</v>
      </c>
      <c r="G107" s="163" t="s">
        <v>1594</v>
      </c>
      <c r="H107" s="163" t="s">
        <v>3772</v>
      </c>
      <c r="I107" s="164">
        <v>25</v>
      </c>
      <c r="J107" s="164">
        <v>25</v>
      </c>
      <c r="K107" s="164">
        <v>25</v>
      </c>
      <c r="L107" s="164">
        <v>25</v>
      </c>
      <c r="M107" s="164">
        <v>25</v>
      </c>
      <c r="N107" s="164">
        <v>55</v>
      </c>
    </row>
    <row r="108" spans="1:15">
      <c r="A108" s="163" t="s">
        <v>1596</v>
      </c>
      <c r="B108" s="163" t="s">
        <v>2057</v>
      </c>
      <c r="C108" s="163" t="s">
        <v>1597</v>
      </c>
      <c r="D108" s="163" t="s">
        <v>1459</v>
      </c>
      <c r="E108" s="163" t="s">
        <v>3531</v>
      </c>
      <c r="F108" s="163" t="s">
        <v>1595</v>
      </c>
      <c r="G108" s="163" t="s">
        <v>1598</v>
      </c>
      <c r="H108" s="163" t="s">
        <v>3773</v>
      </c>
      <c r="I108" s="164">
        <v>25</v>
      </c>
      <c r="J108" s="164">
        <v>25</v>
      </c>
      <c r="K108" s="164">
        <v>25</v>
      </c>
      <c r="L108" s="164">
        <v>25</v>
      </c>
      <c r="M108" s="164">
        <v>25</v>
      </c>
      <c r="N108" s="164">
        <v>55</v>
      </c>
      <c r="O108" s="163" t="s">
        <v>4345</v>
      </c>
    </row>
    <row r="109" spans="1:15">
      <c r="A109" s="163" t="s">
        <v>1599</v>
      </c>
      <c r="B109" s="163" t="s">
        <v>2057</v>
      </c>
      <c r="C109" s="163" t="s">
        <v>1600</v>
      </c>
      <c r="D109" s="163" t="s">
        <v>1459</v>
      </c>
      <c r="E109" s="163" t="s">
        <v>3531</v>
      </c>
      <c r="F109" s="163" t="s">
        <v>1602</v>
      </c>
      <c r="G109" s="163" t="s">
        <v>1601</v>
      </c>
      <c r="H109" s="163" t="s">
        <v>3774</v>
      </c>
      <c r="I109" s="164">
        <v>25</v>
      </c>
      <c r="J109" s="164">
        <v>25</v>
      </c>
      <c r="K109" s="164">
        <v>25</v>
      </c>
      <c r="L109" s="164">
        <v>25</v>
      </c>
      <c r="M109" s="164">
        <v>25</v>
      </c>
      <c r="N109" s="164">
        <v>55</v>
      </c>
      <c r="O109" s="163" t="s">
        <v>4346</v>
      </c>
    </row>
    <row r="110" spans="1:15">
      <c r="A110" s="163" t="s">
        <v>1581</v>
      </c>
      <c r="B110" s="163" t="s">
        <v>2057</v>
      </c>
      <c r="C110" s="163" t="s">
        <v>1582</v>
      </c>
      <c r="D110" s="163" t="s">
        <v>1459</v>
      </c>
      <c r="E110" s="163" t="s">
        <v>3531</v>
      </c>
      <c r="F110" s="163" t="s">
        <v>1580</v>
      </c>
      <c r="G110" s="163" t="s">
        <v>1583</v>
      </c>
      <c r="H110" s="163" t="s">
        <v>3775</v>
      </c>
      <c r="I110" s="164">
        <v>25</v>
      </c>
      <c r="J110" s="164">
        <v>25</v>
      </c>
      <c r="K110" s="164">
        <v>25</v>
      </c>
      <c r="L110" s="164">
        <v>25</v>
      </c>
      <c r="M110" s="164">
        <v>25</v>
      </c>
      <c r="N110" s="164">
        <v>55</v>
      </c>
      <c r="O110" s="163" t="s">
        <v>4338</v>
      </c>
    </row>
    <row r="111" spans="1:15">
      <c r="A111" s="163" t="s">
        <v>2425</v>
      </c>
      <c r="B111" s="163" t="s">
        <v>2213</v>
      </c>
      <c r="C111" s="163" t="s">
        <v>2426</v>
      </c>
      <c r="D111" s="163" t="s">
        <v>1086</v>
      </c>
      <c r="E111" s="163" t="s">
        <v>3511</v>
      </c>
      <c r="F111" s="163" t="s">
        <v>2428</v>
      </c>
      <c r="G111" s="163" t="s">
        <v>2427</v>
      </c>
      <c r="H111" s="163" t="s">
        <v>3776</v>
      </c>
      <c r="I111" s="164">
        <v>25</v>
      </c>
      <c r="J111" s="164">
        <v>25</v>
      </c>
      <c r="K111" s="164">
        <v>25</v>
      </c>
      <c r="L111" s="164">
        <v>25</v>
      </c>
      <c r="M111" s="164">
        <v>25</v>
      </c>
      <c r="N111" s="164">
        <v>55</v>
      </c>
    </row>
    <row r="112" spans="1:15">
      <c r="A112" s="163" t="s">
        <v>1103</v>
      </c>
      <c r="B112" s="163" t="s">
        <v>2213</v>
      </c>
      <c r="C112" s="163" t="s">
        <v>1104</v>
      </c>
      <c r="D112" s="163" t="s">
        <v>1086</v>
      </c>
      <c r="E112" s="163" t="s">
        <v>3511</v>
      </c>
      <c r="F112" s="163" t="s">
        <v>1085</v>
      </c>
      <c r="G112" s="163" t="s">
        <v>1105</v>
      </c>
      <c r="H112" s="163" t="s">
        <v>3777</v>
      </c>
      <c r="I112" s="164">
        <v>25</v>
      </c>
      <c r="J112" s="164">
        <v>18</v>
      </c>
      <c r="K112" s="164">
        <v>25</v>
      </c>
      <c r="L112" s="164">
        <v>18</v>
      </c>
      <c r="M112" s="164">
        <v>25</v>
      </c>
      <c r="N112" s="164">
        <v>55</v>
      </c>
      <c r="O112" s="163" t="s">
        <v>4325</v>
      </c>
    </row>
    <row r="113" spans="1:15">
      <c r="A113" s="163" t="s">
        <v>1460</v>
      </c>
      <c r="B113" s="163" t="s">
        <v>2057</v>
      </c>
      <c r="C113" s="163" t="s">
        <v>1461</v>
      </c>
      <c r="D113" s="163" t="s">
        <v>1459</v>
      </c>
      <c r="E113" s="163" t="s">
        <v>3516</v>
      </c>
      <c r="F113" s="163" t="s">
        <v>1463</v>
      </c>
      <c r="G113" s="163" t="s">
        <v>1462</v>
      </c>
      <c r="H113" s="163" t="s">
        <v>3778</v>
      </c>
      <c r="I113" s="164">
        <v>25</v>
      </c>
      <c r="J113" s="164">
        <v>25</v>
      </c>
      <c r="K113" s="164">
        <v>25</v>
      </c>
      <c r="L113" s="164">
        <v>18</v>
      </c>
      <c r="M113" s="164">
        <v>25</v>
      </c>
      <c r="N113" s="164">
        <v>55</v>
      </c>
      <c r="O113" s="163" t="s">
        <v>4319</v>
      </c>
    </row>
    <row r="114" spans="1:15">
      <c r="A114" s="163" t="s">
        <v>1205</v>
      </c>
      <c r="B114" s="163" t="s">
        <v>2213</v>
      </c>
      <c r="C114" s="163" t="s">
        <v>2197</v>
      </c>
      <c r="D114" s="163" t="s">
        <v>953</v>
      </c>
      <c r="E114" s="163" t="s">
        <v>3511</v>
      </c>
      <c r="F114" s="163" t="s">
        <v>1206</v>
      </c>
      <c r="G114" s="163" t="s">
        <v>2198</v>
      </c>
      <c r="H114" s="163" t="s">
        <v>3779</v>
      </c>
      <c r="I114" s="164">
        <v>18</v>
      </c>
      <c r="J114" s="164">
        <v>18</v>
      </c>
      <c r="K114" s="164">
        <v>18</v>
      </c>
      <c r="L114" s="164">
        <v>18</v>
      </c>
      <c r="M114" s="164">
        <v>18</v>
      </c>
      <c r="N114" s="164">
        <v>55</v>
      </c>
      <c r="O114" s="163" t="s">
        <v>4316</v>
      </c>
    </row>
    <row r="115" spans="1:15">
      <c r="A115" s="163" t="s">
        <v>1207</v>
      </c>
      <c r="B115" s="163" t="s">
        <v>2213</v>
      </c>
      <c r="C115" s="163" t="s">
        <v>1208</v>
      </c>
      <c r="D115" s="163" t="s">
        <v>953</v>
      </c>
      <c r="E115" s="163" t="s">
        <v>3511</v>
      </c>
      <c r="F115" s="163" t="s">
        <v>1210</v>
      </c>
      <c r="G115" s="163" t="s">
        <v>1209</v>
      </c>
      <c r="H115" s="163" t="s">
        <v>3780</v>
      </c>
      <c r="I115" s="164">
        <v>25</v>
      </c>
      <c r="J115" s="164">
        <v>25</v>
      </c>
      <c r="K115" s="164">
        <v>25</v>
      </c>
      <c r="L115" s="164">
        <v>25</v>
      </c>
      <c r="M115" s="164">
        <v>25</v>
      </c>
      <c r="N115" s="164">
        <v>55</v>
      </c>
      <c r="O115" s="163" t="s">
        <v>4347</v>
      </c>
    </row>
    <row r="116" spans="1:15">
      <c r="A116" s="163" t="s">
        <v>1219</v>
      </c>
      <c r="B116" s="163" t="s">
        <v>2213</v>
      </c>
      <c r="C116" s="163" t="s">
        <v>1220</v>
      </c>
      <c r="D116" s="163" t="s">
        <v>953</v>
      </c>
      <c r="E116" s="163" t="s">
        <v>3511</v>
      </c>
      <c r="F116" s="163" t="s">
        <v>1222</v>
      </c>
      <c r="G116" s="163" t="s">
        <v>1221</v>
      </c>
      <c r="H116" s="163" t="s">
        <v>3781</v>
      </c>
      <c r="I116" s="164">
        <v>25</v>
      </c>
      <c r="J116" s="164">
        <v>25</v>
      </c>
      <c r="K116" s="164">
        <v>25</v>
      </c>
      <c r="L116" s="164">
        <v>25</v>
      </c>
      <c r="M116" s="164">
        <v>25</v>
      </c>
      <c r="N116" s="164">
        <v>55</v>
      </c>
      <c r="O116" s="163" t="s">
        <v>4348</v>
      </c>
    </row>
    <row r="117" spans="1:15">
      <c r="A117" s="163" t="s">
        <v>1223</v>
      </c>
      <c r="B117" s="163" t="s">
        <v>2213</v>
      </c>
      <c r="C117" s="163" t="s">
        <v>1224</v>
      </c>
      <c r="D117" s="163" t="s">
        <v>953</v>
      </c>
      <c r="E117" s="163" t="s">
        <v>3511</v>
      </c>
      <c r="F117" s="163" t="s">
        <v>1222</v>
      </c>
      <c r="G117" s="163" t="s">
        <v>1225</v>
      </c>
      <c r="H117" s="163" t="s">
        <v>3782</v>
      </c>
      <c r="I117" s="164">
        <v>18</v>
      </c>
      <c r="J117" s="164">
        <v>18</v>
      </c>
      <c r="K117" s="164">
        <v>18</v>
      </c>
      <c r="L117" s="164">
        <v>18</v>
      </c>
      <c r="M117" s="164">
        <v>18</v>
      </c>
      <c r="N117" s="164">
        <v>55</v>
      </c>
      <c r="O117" s="163" t="s">
        <v>4349</v>
      </c>
    </row>
    <row r="118" spans="1:15">
      <c r="A118" s="163" t="s">
        <v>1226</v>
      </c>
      <c r="B118" s="163" t="s">
        <v>2213</v>
      </c>
      <c r="C118" s="163" t="s">
        <v>1227</v>
      </c>
      <c r="D118" s="163" t="s">
        <v>953</v>
      </c>
      <c r="E118" s="163" t="s">
        <v>3511</v>
      </c>
      <c r="F118" s="163" t="s">
        <v>1222</v>
      </c>
      <c r="G118" s="163" t="s">
        <v>1228</v>
      </c>
      <c r="H118" s="163" t="s">
        <v>3783</v>
      </c>
      <c r="I118" s="164">
        <v>25</v>
      </c>
      <c r="J118" s="164">
        <v>25</v>
      </c>
      <c r="K118" s="164">
        <v>25</v>
      </c>
      <c r="L118" s="164">
        <v>25</v>
      </c>
      <c r="M118" s="164">
        <v>25</v>
      </c>
      <c r="N118" s="164">
        <v>55</v>
      </c>
      <c r="O118" s="163" t="s">
        <v>4349</v>
      </c>
    </row>
    <row r="119" spans="1:15">
      <c r="A119" s="163" t="s">
        <v>1235</v>
      </c>
      <c r="B119" s="163" t="s">
        <v>2213</v>
      </c>
      <c r="C119" s="163" t="s">
        <v>1236</v>
      </c>
      <c r="D119" s="163" t="s">
        <v>953</v>
      </c>
      <c r="E119" s="163" t="s">
        <v>3511</v>
      </c>
      <c r="F119" s="163" t="s">
        <v>1238</v>
      </c>
      <c r="G119" s="163" t="s">
        <v>1237</v>
      </c>
      <c r="H119" s="163" t="s">
        <v>3784</v>
      </c>
      <c r="I119" s="164">
        <v>25</v>
      </c>
      <c r="J119" s="164">
        <v>25</v>
      </c>
      <c r="K119" s="164">
        <v>25</v>
      </c>
      <c r="L119" s="164">
        <v>25</v>
      </c>
      <c r="M119" s="164">
        <v>25</v>
      </c>
      <c r="N119" s="164">
        <v>55</v>
      </c>
      <c r="O119" s="163" t="s">
        <v>4350</v>
      </c>
    </row>
    <row r="120" spans="1:15">
      <c r="A120" s="163" t="s">
        <v>1239</v>
      </c>
      <c r="B120" s="163" t="s">
        <v>2213</v>
      </c>
      <c r="C120" s="163" t="s">
        <v>1240</v>
      </c>
      <c r="D120" s="163" t="s">
        <v>953</v>
      </c>
      <c r="E120" s="163" t="s">
        <v>3511</v>
      </c>
      <c r="F120" s="163" t="s">
        <v>1242</v>
      </c>
      <c r="G120" s="163" t="s">
        <v>1241</v>
      </c>
      <c r="H120" s="163" t="s">
        <v>3785</v>
      </c>
      <c r="I120" s="164">
        <v>25</v>
      </c>
      <c r="J120" s="164">
        <v>25</v>
      </c>
      <c r="K120" s="164">
        <v>25</v>
      </c>
      <c r="L120" s="164">
        <v>25</v>
      </c>
      <c r="M120" s="164">
        <v>25</v>
      </c>
      <c r="N120" s="164">
        <v>55</v>
      </c>
      <c r="O120" s="163" t="s">
        <v>4347</v>
      </c>
    </row>
    <row r="121" spans="1:15">
      <c r="A121" s="163" t="s">
        <v>1243</v>
      </c>
      <c r="B121" s="163" t="s">
        <v>2213</v>
      </c>
      <c r="C121" s="163" t="s">
        <v>1244</v>
      </c>
      <c r="D121" s="163" t="s">
        <v>953</v>
      </c>
      <c r="E121" s="163" t="s">
        <v>3511</v>
      </c>
      <c r="F121" s="163" t="s">
        <v>1246</v>
      </c>
      <c r="G121" s="163" t="s">
        <v>1245</v>
      </c>
      <c r="H121" s="163" t="s">
        <v>3786</v>
      </c>
      <c r="I121" s="164">
        <v>25</v>
      </c>
      <c r="J121" s="164">
        <v>25</v>
      </c>
      <c r="K121" s="164">
        <v>25</v>
      </c>
      <c r="L121" s="164">
        <v>25</v>
      </c>
      <c r="M121" s="164">
        <v>25</v>
      </c>
      <c r="N121" s="164">
        <v>55</v>
      </c>
      <c r="O121" s="163" t="s">
        <v>4351</v>
      </c>
    </row>
    <row r="122" spans="1:15">
      <c r="A122" s="163" t="s">
        <v>1211</v>
      </c>
      <c r="B122" s="163" t="s">
        <v>2213</v>
      </c>
      <c r="C122" s="163" t="s">
        <v>1212</v>
      </c>
      <c r="D122" s="163" t="s">
        <v>953</v>
      </c>
      <c r="E122" s="163" t="s">
        <v>3511</v>
      </c>
      <c r="F122" s="163" t="s">
        <v>1214</v>
      </c>
      <c r="G122" s="163" t="s">
        <v>1213</v>
      </c>
      <c r="H122" s="163" t="s">
        <v>3787</v>
      </c>
      <c r="I122" s="164">
        <v>25</v>
      </c>
      <c r="J122" s="164">
        <v>25</v>
      </c>
      <c r="K122" s="164">
        <v>25</v>
      </c>
      <c r="L122" s="164">
        <v>25</v>
      </c>
      <c r="M122" s="164">
        <v>25</v>
      </c>
      <c r="N122" s="164">
        <v>55</v>
      </c>
      <c r="O122" s="163" t="s">
        <v>4347</v>
      </c>
    </row>
    <row r="123" spans="1:15">
      <c r="A123" s="163" t="s">
        <v>1094</v>
      </c>
      <c r="B123" s="163" t="s">
        <v>2213</v>
      </c>
      <c r="C123" s="163" t="s">
        <v>1095</v>
      </c>
      <c r="D123" s="163" t="s">
        <v>1086</v>
      </c>
      <c r="E123" s="163" t="s">
        <v>3511</v>
      </c>
      <c r="F123" s="163" t="s">
        <v>1085</v>
      </c>
      <c r="G123" s="163" t="s">
        <v>1096</v>
      </c>
      <c r="H123" s="163" t="s">
        <v>3788</v>
      </c>
      <c r="I123" s="164">
        <v>25</v>
      </c>
      <c r="J123" s="164">
        <v>25</v>
      </c>
      <c r="K123" s="164">
        <v>25</v>
      </c>
      <c r="L123" s="164">
        <v>25</v>
      </c>
      <c r="M123" s="164">
        <v>25</v>
      </c>
      <c r="N123" s="164">
        <v>55</v>
      </c>
    </row>
    <row r="124" spans="1:15">
      <c r="A124" s="163" t="s">
        <v>1738</v>
      </c>
      <c r="B124" s="163" t="s">
        <v>2063</v>
      </c>
      <c r="C124" s="163" t="s">
        <v>1739</v>
      </c>
      <c r="D124" s="163" t="s">
        <v>868</v>
      </c>
      <c r="E124" s="163" t="s">
        <v>3511</v>
      </c>
      <c r="F124" s="163" t="s">
        <v>868</v>
      </c>
      <c r="G124" s="163" t="s">
        <v>1740</v>
      </c>
      <c r="H124" s="163" t="s">
        <v>3789</v>
      </c>
      <c r="I124" s="164">
        <v>18</v>
      </c>
      <c r="J124" s="164">
        <v>18</v>
      </c>
      <c r="K124" s="164">
        <v>18</v>
      </c>
      <c r="L124" s="164">
        <v>18</v>
      </c>
      <c r="M124" s="164">
        <v>18</v>
      </c>
      <c r="N124" s="164">
        <v>55</v>
      </c>
      <c r="O124" s="163" t="s">
        <v>4323</v>
      </c>
    </row>
    <row r="125" spans="1:15">
      <c r="A125" s="163" t="s">
        <v>1741</v>
      </c>
      <c r="B125" s="163" t="s">
        <v>865</v>
      </c>
      <c r="C125" s="163" t="s">
        <v>1742</v>
      </c>
      <c r="D125" s="163" t="s">
        <v>864</v>
      </c>
      <c r="E125" s="163" t="s">
        <v>3511</v>
      </c>
      <c r="F125" s="163" t="s">
        <v>1744</v>
      </c>
      <c r="G125" s="163" t="s">
        <v>1743</v>
      </c>
      <c r="H125" s="163" t="s">
        <v>3790</v>
      </c>
      <c r="I125" s="164">
        <v>25</v>
      </c>
      <c r="J125" s="164">
        <v>25</v>
      </c>
      <c r="K125" s="164">
        <v>25</v>
      </c>
      <c r="L125" s="164">
        <v>25</v>
      </c>
      <c r="M125" s="164">
        <v>25</v>
      </c>
      <c r="N125" s="164">
        <v>55</v>
      </c>
    </row>
    <row r="126" spans="1:15">
      <c r="A126" s="163" t="s">
        <v>1745</v>
      </c>
      <c r="B126" s="163" t="s">
        <v>2063</v>
      </c>
      <c r="C126" s="163" t="s">
        <v>1746</v>
      </c>
      <c r="D126" s="163" t="s">
        <v>868</v>
      </c>
      <c r="E126" s="163" t="s">
        <v>3511</v>
      </c>
      <c r="F126" s="163" t="s">
        <v>868</v>
      </c>
      <c r="G126" s="163" t="s">
        <v>1747</v>
      </c>
      <c r="H126" s="163" t="s">
        <v>3791</v>
      </c>
      <c r="I126" s="164">
        <v>18</v>
      </c>
      <c r="J126" s="164">
        <v>18</v>
      </c>
      <c r="K126" s="164">
        <v>18</v>
      </c>
      <c r="L126" s="164">
        <v>18</v>
      </c>
      <c r="M126" s="164">
        <v>18</v>
      </c>
      <c r="N126" s="164">
        <v>55</v>
      </c>
      <c r="O126" s="163" t="s">
        <v>4323</v>
      </c>
    </row>
    <row r="127" spans="1:15">
      <c r="A127" s="163" t="s">
        <v>1748</v>
      </c>
      <c r="B127" s="163" t="s">
        <v>2063</v>
      </c>
      <c r="C127" s="163" t="s">
        <v>1749</v>
      </c>
      <c r="D127" s="163" t="s">
        <v>868</v>
      </c>
      <c r="E127" s="163" t="s">
        <v>3511</v>
      </c>
      <c r="F127" s="163" t="s">
        <v>868</v>
      </c>
      <c r="G127" s="163" t="s">
        <v>1750</v>
      </c>
      <c r="H127" s="163" t="s">
        <v>3792</v>
      </c>
      <c r="I127" s="164">
        <v>25</v>
      </c>
      <c r="J127" s="164">
        <v>25</v>
      </c>
      <c r="K127" s="164">
        <v>25</v>
      </c>
      <c r="L127" s="164">
        <v>25</v>
      </c>
      <c r="M127" s="164">
        <v>25</v>
      </c>
      <c r="N127" s="164">
        <v>55</v>
      </c>
    </row>
    <row r="128" spans="1:15">
      <c r="A128" s="163" t="s">
        <v>1751</v>
      </c>
      <c r="B128" s="163" t="s">
        <v>2063</v>
      </c>
      <c r="C128" s="163" t="s">
        <v>1752</v>
      </c>
      <c r="D128" s="163" t="s">
        <v>868</v>
      </c>
      <c r="E128" s="163" t="s">
        <v>3511</v>
      </c>
      <c r="F128" s="163" t="s">
        <v>1754</v>
      </c>
      <c r="G128" s="163" t="s">
        <v>1753</v>
      </c>
      <c r="H128" s="163" t="s">
        <v>3793</v>
      </c>
      <c r="I128" s="164">
        <v>25</v>
      </c>
      <c r="J128" s="164">
        <v>25</v>
      </c>
      <c r="K128" s="164">
        <v>25</v>
      </c>
      <c r="L128" s="164">
        <v>25</v>
      </c>
      <c r="M128" s="164">
        <v>25</v>
      </c>
      <c r="N128" s="164">
        <v>55</v>
      </c>
      <c r="O128" s="163" t="s">
        <v>4316</v>
      </c>
    </row>
    <row r="129" spans="1:15">
      <c r="A129" s="163" t="s">
        <v>1755</v>
      </c>
      <c r="B129" s="163" t="s">
        <v>2063</v>
      </c>
      <c r="C129" s="163" t="s">
        <v>1756</v>
      </c>
      <c r="D129" s="163" t="s">
        <v>868</v>
      </c>
      <c r="E129" s="163" t="s">
        <v>3511</v>
      </c>
      <c r="F129" s="163" t="s">
        <v>868</v>
      </c>
      <c r="G129" s="163" t="s">
        <v>1757</v>
      </c>
      <c r="H129" s="163" t="s">
        <v>3794</v>
      </c>
      <c r="I129" s="164">
        <v>25</v>
      </c>
      <c r="J129" s="164">
        <v>25</v>
      </c>
      <c r="K129" s="164">
        <v>25</v>
      </c>
      <c r="L129" s="164">
        <v>25</v>
      </c>
      <c r="M129" s="164">
        <v>25</v>
      </c>
      <c r="N129" s="164">
        <v>55</v>
      </c>
      <c r="O129" s="163" t="s">
        <v>4316</v>
      </c>
    </row>
    <row r="130" spans="1:15">
      <c r="A130" s="163" t="s">
        <v>1523</v>
      </c>
      <c r="B130" s="163" t="s">
        <v>2057</v>
      </c>
      <c r="C130" s="163" t="s">
        <v>1524</v>
      </c>
      <c r="D130" s="163" t="s">
        <v>1459</v>
      </c>
      <c r="E130" s="163" t="s">
        <v>3516</v>
      </c>
      <c r="F130" s="163" t="s">
        <v>1526</v>
      </c>
      <c r="G130" s="163" t="s">
        <v>1525</v>
      </c>
      <c r="H130" s="163" t="s">
        <v>3795</v>
      </c>
      <c r="I130" s="164">
        <v>25</v>
      </c>
      <c r="J130" s="164">
        <v>25</v>
      </c>
      <c r="K130" s="164">
        <v>25</v>
      </c>
      <c r="L130" s="164">
        <v>18</v>
      </c>
      <c r="M130" s="164">
        <v>25</v>
      </c>
      <c r="N130" s="164">
        <v>55</v>
      </c>
      <c r="O130" s="163" t="s">
        <v>4338</v>
      </c>
    </row>
    <row r="131" spans="1:15">
      <c r="A131" s="163" t="s">
        <v>1229</v>
      </c>
      <c r="B131" s="163" t="s">
        <v>2213</v>
      </c>
      <c r="C131" s="163" t="s">
        <v>1230</v>
      </c>
      <c r="D131" s="163" t="s">
        <v>953</v>
      </c>
      <c r="E131" s="163" t="s">
        <v>3511</v>
      </c>
      <c r="F131" s="163" t="s">
        <v>1222</v>
      </c>
      <c r="G131" s="163" t="s">
        <v>1231</v>
      </c>
      <c r="H131" s="163" t="s">
        <v>3796</v>
      </c>
      <c r="I131" s="164">
        <v>25</v>
      </c>
      <c r="J131" s="164">
        <v>25</v>
      </c>
      <c r="K131" s="164">
        <v>25</v>
      </c>
      <c r="L131" s="164">
        <v>25</v>
      </c>
      <c r="M131" s="164">
        <v>25</v>
      </c>
      <c r="N131" s="164">
        <v>55</v>
      </c>
      <c r="O131" s="163" t="s">
        <v>4349</v>
      </c>
    </row>
    <row r="132" spans="1:15">
      <c r="A132" s="163" t="s">
        <v>1758</v>
      </c>
      <c r="B132" s="163" t="s">
        <v>2063</v>
      </c>
      <c r="C132" s="163" t="s">
        <v>1759</v>
      </c>
      <c r="D132" s="163" t="s">
        <v>868</v>
      </c>
      <c r="E132" s="163" t="s">
        <v>3511</v>
      </c>
      <c r="F132" s="163" t="s">
        <v>868</v>
      </c>
      <c r="G132" s="163" t="s">
        <v>1760</v>
      </c>
      <c r="H132" s="163" t="s">
        <v>3797</v>
      </c>
      <c r="I132" s="164">
        <v>25</v>
      </c>
      <c r="J132" s="164">
        <v>25</v>
      </c>
      <c r="K132" s="164">
        <v>25</v>
      </c>
      <c r="L132" s="164">
        <v>25</v>
      </c>
      <c r="M132" s="164">
        <v>25</v>
      </c>
      <c r="N132" s="164">
        <v>55</v>
      </c>
      <c r="O132" s="163" t="s">
        <v>4323</v>
      </c>
    </row>
    <row r="133" spans="1:15">
      <c r="A133" s="163" t="s">
        <v>1513</v>
      </c>
      <c r="B133" s="163" t="s">
        <v>2057</v>
      </c>
      <c r="C133" s="163" t="s">
        <v>1514</v>
      </c>
      <c r="D133" s="163" t="s">
        <v>1459</v>
      </c>
      <c r="E133" s="163" t="s">
        <v>3516</v>
      </c>
      <c r="F133" s="163" t="s">
        <v>1516</v>
      </c>
      <c r="G133" s="163" t="s">
        <v>1515</v>
      </c>
      <c r="H133" s="163" t="s">
        <v>3798</v>
      </c>
      <c r="I133" s="164">
        <v>9</v>
      </c>
      <c r="J133" s="164">
        <v>9</v>
      </c>
      <c r="K133" s="164">
        <v>9</v>
      </c>
      <c r="L133" s="164">
        <v>9</v>
      </c>
      <c r="M133" s="164">
        <v>9</v>
      </c>
      <c r="N133" s="164">
        <v>50</v>
      </c>
      <c r="O133" s="163" t="s">
        <v>4339</v>
      </c>
    </row>
    <row r="134" spans="1:15">
      <c r="A134" s="163" t="s">
        <v>1045</v>
      </c>
      <c r="B134" s="163" t="s">
        <v>2213</v>
      </c>
      <c r="C134" s="163" t="s">
        <v>1046</v>
      </c>
      <c r="D134" s="163" t="s">
        <v>2221</v>
      </c>
      <c r="E134" s="163" t="s">
        <v>3511</v>
      </c>
      <c r="F134" s="163" t="s">
        <v>1048</v>
      </c>
      <c r="G134" s="163" t="s">
        <v>1047</v>
      </c>
      <c r="H134" s="163" t="s">
        <v>3799</v>
      </c>
      <c r="I134" s="164">
        <v>25</v>
      </c>
      <c r="J134" s="164">
        <v>25</v>
      </c>
      <c r="K134" s="164">
        <v>25</v>
      </c>
      <c r="L134" s="164">
        <v>25</v>
      </c>
      <c r="M134" s="164">
        <v>25</v>
      </c>
      <c r="N134" s="164">
        <v>55</v>
      </c>
      <c r="O134" s="163" t="s">
        <v>4352</v>
      </c>
    </row>
    <row r="135" spans="1:15">
      <c r="A135" s="163" t="s">
        <v>1049</v>
      </c>
      <c r="B135" s="163" t="s">
        <v>2213</v>
      </c>
      <c r="C135" s="163" t="s">
        <v>1050</v>
      </c>
      <c r="D135" s="163" t="s">
        <v>2221</v>
      </c>
      <c r="E135" s="163" t="s">
        <v>3511</v>
      </c>
      <c r="F135" s="163" t="s">
        <v>1048</v>
      </c>
      <c r="G135" s="163" t="s">
        <v>1051</v>
      </c>
      <c r="H135" s="163" t="s">
        <v>3800</v>
      </c>
      <c r="I135" s="164">
        <v>25</v>
      </c>
      <c r="J135" s="164">
        <v>18</v>
      </c>
      <c r="K135" s="164">
        <v>25</v>
      </c>
      <c r="L135" s="164">
        <v>18</v>
      </c>
      <c r="M135" s="164">
        <v>25</v>
      </c>
      <c r="N135" s="164">
        <v>55</v>
      </c>
    </row>
    <row r="136" spans="1:15">
      <c r="A136" s="163" t="s">
        <v>1052</v>
      </c>
      <c r="B136" s="163" t="s">
        <v>2213</v>
      </c>
      <c r="C136" s="163" t="s">
        <v>1053</v>
      </c>
      <c r="D136" s="163" t="s">
        <v>2422</v>
      </c>
      <c r="E136" s="163" t="s">
        <v>3518</v>
      </c>
      <c r="F136" s="163" t="s">
        <v>1055</v>
      </c>
      <c r="G136" s="163" t="s">
        <v>1054</v>
      </c>
      <c r="H136" s="163" t="s">
        <v>3801</v>
      </c>
      <c r="I136" s="164">
        <v>25</v>
      </c>
      <c r="J136" s="164">
        <v>25</v>
      </c>
      <c r="K136" s="164">
        <v>25</v>
      </c>
      <c r="L136" s="164">
        <v>25</v>
      </c>
      <c r="M136" s="164">
        <v>25</v>
      </c>
      <c r="N136" s="164">
        <v>55</v>
      </c>
      <c r="O136" s="163" t="s">
        <v>4320</v>
      </c>
    </row>
    <row r="137" spans="1:15">
      <c r="A137" s="163" t="s">
        <v>1056</v>
      </c>
      <c r="B137" s="163" t="s">
        <v>2213</v>
      </c>
      <c r="C137" s="163" t="s">
        <v>1057</v>
      </c>
      <c r="D137" s="163" t="s">
        <v>2422</v>
      </c>
      <c r="E137" s="163" t="s">
        <v>3518</v>
      </c>
      <c r="F137" s="163" t="s">
        <v>1055</v>
      </c>
      <c r="G137" s="163" t="s">
        <v>1058</v>
      </c>
      <c r="H137" s="163" t="s">
        <v>3802</v>
      </c>
      <c r="I137" s="164">
        <v>25</v>
      </c>
      <c r="J137" s="164">
        <v>25</v>
      </c>
      <c r="K137" s="164">
        <v>25</v>
      </c>
      <c r="L137" s="164">
        <v>25</v>
      </c>
      <c r="M137" s="164">
        <v>25</v>
      </c>
      <c r="N137" s="164">
        <v>55</v>
      </c>
      <c r="O137" s="163" t="s">
        <v>4353</v>
      </c>
    </row>
    <row r="138" spans="1:15">
      <c r="A138" s="163" t="s">
        <v>1059</v>
      </c>
      <c r="B138" s="163" t="s">
        <v>2213</v>
      </c>
      <c r="C138" s="163" t="s">
        <v>1060</v>
      </c>
      <c r="D138" s="163" t="s">
        <v>2422</v>
      </c>
      <c r="E138" s="163" t="s">
        <v>3513</v>
      </c>
      <c r="F138" s="163" t="s">
        <v>978</v>
      </c>
      <c r="G138" s="163" t="s">
        <v>1061</v>
      </c>
      <c r="H138" s="163" t="s">
        <v>3803</v>
      </c>
      <c r="I138" s="164">
        <v>25</v>
      </c>
      <c r="J138" s="164">
        <v>18</v>
      </c>
      <c r="K138" s="164">
        <v>25</v>
      </c>
      <c r="L138" s="164">
        <v>18</v>
      </c>
      <c r="M138" s="164">
        <v>25</v>
      </c>
      <c r="N138" s="164">
        <v>55</v>
      </c>
      <c r="O138" s="163" t="s">
        <v>4354</v>
      </c>
    </row>
    <row r="139" spans="1:15">
      <c r="A139" s="163" t="s">
        <v>1062</v>
      </c>
      <c r="B139" s="163" t="s">
        <v>2213</v>
      </c>
      <c r="C139" s="163" t="s">
        <v>1063</v>
      </c>
      <c r="D139" s="163" t="s">
        <v>2422</v>
      </c>
      <c r="E139" s="163" t="s">
        <v>3513</v>
      </c>
      <c r="F139" s="163" t="s">
        <v>978</v>
      </c>
      <c r="G139" s="163" t="s">
        <v>1064</v>
      </c>
      <c r="H139" s="163" t="s">
        <v>3804</v>
      </c>
      <c r="I139" s="164">
        <v>25</v>
      </c>
      <c r="J139" s="164">
        <v>25</v>
      </c>
      <c r="K139" s="164">
        <v>25</v>
      </c>
      <c r="L139" s="164">
        <v>25</v>
      </c>
      <c r="M139" s="164">
        <v>25</v>
      </c>
      <c r="N139" s="164">
        <v>55</v>
      </c>
      <c r="O139" s="163" t="s">
        <v>4355</v>
      </c>
    </row>
    <row r="140" spans="1:15">
      <c r="A140" s="163" t="s">
        <v>1065</v>
      </c>
      <c r="B140" s="163" t="s">
        <v>2213</v>
      </c>
      <c r="C140" s="163" t="s">
        <v>1066</v>
      </c>
      <c r="D140" s="163" t="s">
        <v>2422</v>
      </c>
      <c r="E140" s="163" t="s">
        <v>3513</v>
      </c>
      <c r="F140" s="163" t="s">
        <v>978</v>
      </c>
      <c r="G140" s="163" t="s">
        <v>2832</v>
      </c>
      <c r="H140" s="163" t="s">
        <v>3805</v>
      </c>
      <c r="I140" s="164">
        <v>25</v>
      </c>
      <c r="J140" s="164">
        <v>25</v>
      </c>
      <c r="K140" s="164">
        <v>25</v>
      </c>
      <c r="L140" s="164">
        <v>25</v>
      </c>
      <c r="M140" s="164">
        <v>25</v>
      </c>
      <c r="N140" s="164">
        <v>55</v>
      </c>
      <c r="O140" s="163" t="s">
        <v>4354</v>
      </c>
    </row>
    <row r="141" spans="1:15">
      <c r="A141" s="163" t="s">
        <v>1070</v>
      </c>
      <c r="B141" s="163" t="s">
        <v>2213</v>
      </c>
      <c r="C141" s="163" t="s">
        <v>1071</v>
      </c>
      <c r="D141" s="163" t="s">
        <v>2422</v>
      </c>
      <c r="E141" s="163" t="s">
        <v>3513</v>
      </c>
      <c r="F141" s="163" t="s">
        <v>1073</v>
      </c>
      <c r="G141" s="163" t="s">
        <v>1072</v>
      </c>
      <c r="H141" s="163" t="s">
        <v>3806</v>
      </c>
      <c r="I141" s="164">
        <v>25</v>
      </c>
      <c r="J141" s="164">
        <v>18</v>
      </c>
      <c r="K141" s="164">
        <v>25</v>
      </c>
      <c r="L141" s="164">
        <v>18</v>
      </c>
      <c r="M141" s="164">
        <v>25</v>
      </c>
      <c r="N141" s="164">
        <v>55</v>
      </c>
      <c r="O141" s="163" t="s">
        <v>4354</v>
      </c>
    </row>
    <row r="142" spans="1:15">
      <c r="A142" s="163" t="s">
        <v>1074</v>
      </c>
      <c r="B142" s="163" t="s">
        <v>2213</v>
      </c>
      <c r="C142" s="163" t="s">
        <v>1075</v>
      </c>
      <c r="D142" s="163" t="s">
        <v>2422</v>
      </c>
      <c r="E142" s="163" t="s">
        <v>3513</v>
      </c>
      <c r="F142" s="163" t="s">
        <v>1077</v>
      </c>
      <c r="G142" s="163" t="s">
        <v>1076</v>
      </c>
      <c r="H142" s="163" t="s">
        <v>3807</v>
      </c>
      <c r="I142" s="164">
        <v>25</v>
      </c>
      <c r="J142" s="164">
        <v>25</v>
      </c>
      <c r="K142" s="164">
        <v>25</v>
      </c>
      <c r="L142" s="164">
        <v>18</v>
      </c>
      <c r="M142" s="164">
        <v>25</v>
      </c>
      <c r="N142" s="164">
        <v>55</v>
      </c>
      <c r="O142" s="163" t="s">
        <v>4354</v>
      </c>
    </row>
    <row r="143" spans="1:15">
      <c r="A143" s="163" t="s">
        <v>1078</v>
      </c>
      <c r="B143" s="163" t="s">
        <v>2213</v>
      </c>
      <c r="C143" s="163" t="s">
        <v>1079</v>
      </c>
      <c r="D143" s="163" t="s">
        <v>2422</v>
      </c>
      <c r="E143" s="163" t="s">
        <v>3513</v>
      </c>
      <c r="F143" s="163" t="s">
        <v>1081</v>
      </c>
      <c r="G143" s="163" t="s">
        <v>1080</v>
      </c>
      <c r="H143" s="163" t="s">
        <v>3808</v>
      </c>
      <c r="I143" s="164">
        <v>25</v>
      </c>
      <c r="J143" s="164">
        <v>25</v>
      </c>
      <c r="K143" s="164">
        <v>25</v>
      </c>
      <c r="L143" s="164">
        <v>25</v>
      </c>
      <c r="M143" s="164">
        <v>25</v>
      </c>
      <c r="N143" s="164">
        <v>55</v>
      </c>
      <c r="O143" s="163" t="s">
        <v>4353</v>
      </c>
    </row>
    <row r="144" spans="1:15">
      <c r="A144" s="163" t="s">
        <v>1605</v>
      </c>
      <c r="B144" s="163" t="s">
        <v>2057</v>
      </c>
      <c r="C144" s="163" t="s">
        <v>1606</v>
      </c>
      <c r="D144" s="163" t="s">
        <v>1608</v>
      </c>
      <c r="E144" s="163" t="s">
        <v>3515</v>
      </c>
      <c r="F144" s="163" t="s">
        <v>1614</v>
      </c>
      <c r="G144" s="163" t="s">
        <v>1607</v>
      </c>
      <c r="H144" s="163" t="s">
        <v>3809</v>
      </c>
      <c r="I144" s="164">
        <v>25</v>
      </c>
      <c r="J144" s="164">
        <v>25</v>
      </c>
      <c r="K144" s="164">
        <v>25</v>
      </c>
      <c r="L144" s="164">
        <v>25</v>
      </c>
      <c r="M144" s="164">
        <v>25</v>
      </c>
      <c r="N144" s="164">
        <v>55</v>
      </c>
      <c r="O144" s="163" t="s">
        <v>4356</v>
      </c>
    </row>
    <row r="145" spans="1:15">
      <c r="A145" s="163" t="s">
        <v>1432</v>
      </c>
      <c r="B145" s="163" t="s">
        <v>874</v>
      </c>
      <c r="C145" s="163" t="s">
        <v>1433</v>
      </c>
      <c r="D145" s="163" t="s">
        <v>1409</v>
      </c>
      <c r="E145" s="163" t="s">
        <v>3516</v>
      </c>
      <c r="F145" s="163" t="s">
        <v>1435</v>
      </c>
      <c r="G145" s="163" t="s">
        <v>1434</v>
      </c>
      <c r="H145" s="163" t="s">
        <v>3810</v>
      </c>
      <c r="I145" s="164">
        <v>25</v>
      </c>
      <c r="J145" s="164">
        <v>18</v>
      </c>
      <c r="K145" s="164">
        <v>25</v>
      </c>
      <c r="L145" s="164">
        <v>18</v>
      </c>
      <c r="M145" s="164">
        <v>25</v>
      </c>
      <c r="N145" s="164">
        <v>55</v>
      </c>
      <c r="O145" s="163" t="s">
        <v>4318</v>
      </c>
    </row>
    <row r="146" spans="1:15">
      <c r="A146" s="163" t="s">
        <v>1634</v>
      </c>
      <c r="B146" s="163" t="s">
        <v>2057</v>
      </c>
      <c r="C146" s="163" t="s">
        <v>1635</v>
      </c>
      <c r="D146" s="163" t="s">
        <v>1608</v>
      </c>
      <c r="E146" s="163" t="s">
        <v>863</v>
      </c>
      <c r="F146" s="163" t="s">
        <v>863</v>
      </c>
      <c r="G146" s="163" t="s">
        <v>1636</v>
      </c>
      <c r="H146" s="163" t="s">
        <v>3811</v>
      </c>
      <c r="I146" s="164">
        <v>25</v>
      </c>
      <c r="J146" s="164">
        <v>25</v>
      </c>
      <c r="K146" s="164">
        <v>25</v>
      </c>
      <c r="L146" s="164">
        <v>25</v>
      </c>
      <c r="M146" s="164">
        <v>25</v>
      </c>
      <c r="N146" s="164">
        <v>55</v>
      </c>
      <c r="O146" s="163" t="s">
        <v>4320</v>
      </c>
    </row>
    <row r="147" spans="1:15">
      <c r="A147" s="163" t="s">
        <v>1761</v>
      </c>
      <c r="B147" s="163" t="s">
        <v>2063</v>
      </c>
      <c r="C147" s="163" t="s">
        <v>1762</v>
      </c>
      <c r="D147" s="163" t="s">
        <v>868</v>
      </c>
      <c r="E147" s="163" t="s">
        <v>3511</v>
      </c>
      <c r="F147" s="163" t="s">
        <v>868</v>
      </c>
      <c r="G147" s="163" t="s">
        <v>1763</v>
      </c>
      <c r="H147" s="163" t="s">
        <v>3812</v>
      </c>
      <c r="I147" s="164">
        <v>25</v>
      </c>
      <c r="J147" s="164">
        <v>25</v>
      </c>
      <c r="K147" s="164">
        <v>25</v>
      </c>
      <c r="L147" s="164">
        <v>25</v>
      </c>
      <c r="M147" s="164">
        <v>25</v>
      </c>
      <c r="N147" s="164">
        <v>55</v>
      </c>
      <c r="O147" s="163" t="s">
        <v>4323</v>
      </c>
    </row>
    <row r="148" spans="1:15">
      <c r="A148" s="163" t="s">
        <v>1176</v>
      </c>
      <c r="B148" s="163" t="s">
        <v>2213</v>
      </c>
      <c r="C148" s="163" t="s">
        <v>1177</v>
      </c>
      <c r="D148" s="163" t="s">
        <v>1147</v>
      </c>
      <c r="E148" s="163" t="s">
        <v>3511</v>
      </c>
      <c r="F148" s="163" t="s">
        <v>1175</v>
      </c>
      <c r="G148" s="163" t="s">
        <v>1178</v>
      </c>
      <c r="H148" s="163" t="s">
        <v>3813</v>
      </c>
      <c r="I148" s="164">
        <v>25</v>
      </c>
      <c r="J148" s="164">
        <v>25</v>
      </c>
      <c r="K148" s="164">
        <v>25</v>
      </c>
      <c r="L148" s="164">
        <v>25</v>
      </c>
      <c r="M148" s="164">
        <v>25</v>
      </c>
      <c r="N148" s="164">
        <v>55</v>
      </c>
      <c r="O148" s="163" t="s">
        <v>4357</v>
      </c>
    </row>
    <row r="149" spans="1:15">
      <c r="A149" s="163" t="s">
        <v>1356</v>
      </c>
      <c r="B149" s="163" t="s">
        <v>874</v>
      </c>
      <c r="C149" s="163" t="s">
        <v>1357</v>
      </c>
      <c r="D149" s="163" t="s">
        <v>1306</v>
      </c>
      <c r="E149" s="163" t="s">
        <v>3525</v>
      </c>
      <c r="F149" s="163" t="s">
        <v>1326</v>
      </c>
      <c r="G149" s="163" t="s">
        <v>2342</v>
      </c>
      <c r="H149" s="163" t="s">
        <v>3814</v>
      </c>
      <c r="I149" s="164">
        <v>25</v>
      </c>
      <c r="J149" s="164">
        <v>25</v>
      </c>
      <c r="K149" s="164">
        <v>25</v>
      </c>
      <c r="L149" s="164">
        <v>18</v>
      </c>
      <c r="M149" s="164">
        <v>25</v>
      </c>
      <c r="N149" s="164">
        <v>55</v>
      </c>
      <c r="O149" s="163" t="s">
        <v>4309</v>
      </c>
    </row>
    <row r="150" spans="1:15">
      <c r="A150" s="163" t="s">
        <v>1685</v>
      </c>
      <c r="B150" s="163" t="s">
        <v>2057</v>
      </c>
      <c r="C150" s="163" t="s">
        <v>1686</v>
      </c>
      <c r="D150" s="163" t="s">
        <v>1608</v>
      </c>
      <c r="E150" s="163" t="s">
        <v>3533</v>
      </c>
      <c r="F150" s="163" t="s">
        <v>1688</v>
      </c>
      <c r="G150" s="163" t="s">
        <v>1687</v>
      </c>
      <c r="H150" s="163" t="s">
        <v>3815</v>
      </c>
      <c r="I150" s="164">
        <v>25</v>
      </c>
      <c r="J150" s="164">
        <v>25</v>
      </c>
      <c r="K150" s="164">
        <v>25</v>
      </c>
      <c r="L150" s="164">
        <v>25</v>
      </c>
      <c r="M150" s="164">
        <v>25</v>
      </c>
      <c r="N150" s="164">
        <v>55</v>
      </c>
      <c r="O150" s="163" t="s">
        <v>4331</v>
      </c>
    </row>
    <row r="151" spans="1:15">
      <c r="A151" s="163" t="s">
        <v>1699</v>
      </c>
      <c r="B151" s="163" t="s">
        <v>2057</v>
      </c>
      <c r="C151" s="163" t="s">
        <v>3301</v>
      </c>
      <c r="D151" s="163" t="s">
        <v>1608</v>
      </c>
      <c r="E151" s="163" t="s">
        <v>3533</v>
      </c>
      <c r="F151" s="163" t="s">
        <v>1700</v>
      </c>
      <c r="G151" s="163" t="s">
        <v>3302</v>
      </c>
      <c r="H151" s="163" t="s">
        <v>3816</v>
      </c>
      <c r="I151" s="164">
        <v>25</v>
      </c>
      <c r="J151" s="164">
        <v>25</v>
      </c>
      <c r="K151" s="164">
        <v>25</v>
      </c>
      <c r="L151" s="164">
        <v>25</v>
      </c>
      <c r="M151" s="164">
        <v>25</v>
      </c>
      <c r="N151" s="164">
        <v>55</v>
      </c>
      <c r="O151" s="163" t="s">
        <v>4358</v>
      </c>
    </row>
    <row r="152" spans="1:15">
      <c r="A152" s="163" t="s">
        <v>2147</v>
      </c>
      <c r="B152" s="163" t="s">
        <v>2213</v>
      </c>
      <c r="C152" s="163" t="s">
        <v>2148</v>
      </c>
      <c r="D152" s="163" t="s">
        <v>953</v>
      </c>
      <c r="E152" s="163" t="s">
        <v>3511</v>
      </c>
      <c r="F152" s="163" t="s">
        <v>1262</v>
      </c>
      <c r="G152" s="163" t="s">
        <v>2149</v>
      </c>
      <c r="H152" s="163" t="s">
        <v>3817</v>
      </c>
      <c r="I152" s="164">
        <v>25</v>
      </c>
      <c r="J152" s="164">
        <v>25</v>
      </c>
      <c r="K152" s="164">
        <v>25</v>
      </c>
      <c r="L152" s="164">
        <v>25</v>
      </c>
      <c r="M152" s="164">
        <v>25</v>
      </c>
      <c r="N152" s="164">
        <v>50</v>
      </c>
      <c r="O152" s="163" t="s">
        <v>4359</v>
      </c>
    </row>
    <row r="153" spans="1:15">
      <c r="A153" s="163" t="s">
        <v>1436</v>
      </c>
      <c r="B153" s="163" t="s">
        <v>874</v>
      </c>
      <c r="C153" s="163" t="s">
        <v>1437</v>
      </c>
      <c r="D153" s="163" t="s">
        <v>1409</v>
      </c>
      <c r="E153" s="163" t="s">
        <v>3516</v>
      </c>
      <c r="F153" s="163" t="s">
        <v>1439</v>
      </c>
      <c r="G153" s="163" t="s">
        <v>1438</v>
      </c>
      <c r="H153" s="163" t="s">
        <v>3819</v>
      </c>
      <c r="I153" s="164">
        <v>25</v>
      </c>
      <c r="J153" s="164">
        <v>25</v>
      </c>
      <c r="K153" s="164">
        <v>25</v>
      </c>
      <c r="L153" s="164">
        <v>25</v>
      </c>
      <c r="M153" s="164">
        <v>25</v>
      </c>
      <c r="N153" s="164">
        <v>55</v>
      </c>
      <c r="O153" s="163" t="s">
        <v>4321</v>
      </c>
    </row>
    <row r="154" spans="1:15">
      <c r="A154" s="163" t="s">
        <v>1661</v>
      </c>
      <c r="B154" s="163" t="s">
        <v>2057</v>
      </c>
      <c r="C154" s="163" t="s">
        <v>1662</v>
      </c>
      <c r="D154" s="163" t="s">
        <v>1608</v>
      </c>
      <c r="E154" s="163" t="s">
        <v>3532</v>
      </c>
      <c r="F154" s="163" t="s">
        <v>1664</v>
      </c>
      <c r="G154" s="163" t="s">
        <v>1663</v>
      </c>
      <c r="H154" s="163" t="s">
        <v>3820</v>
      </c>
      <c r="I154" s="164">
        <v>25</v>
      </c>
      <c r="J154" s="164">
        <v>25</v>
      </c>
      <c r="K154" s="164">
        <v>25</v>
      </c>
      <c r="L154" s="164">
        <v>25</v>
      </c>
      <c r="M154" s="164">
        <v>25</v>
      </c>
      <c r="N154" s="164">
        <v>55</v>
      </c>
      <c r="O154" s="163" t="s">
        <v>4320</v>
      </c>
    </row>
    <row r="155" spans="1:15">
      <c r="A155" s="163" t="s">
        <v>1535</v>
      </c>
      <c r="B155" s="163" t="s">
        <v>2057</v>
      </c>
      <c r="C155" s="163" t="s">
        <v>1536</v>
      </c>
      <c r="D155" s="163" t="s">
        <v>1459</v>
      </c>
      <c r="E155" s="163" t="s">
        <v>3529</v>
      </c>
      <c r="F155" s="163" t="s">
        <v>1538</v>
      </c>
      <c r="G155" s="163" t="s">
        <v>1537</v>
      </c>
      <c r="H155" s="163" t="s">
        <v>3821</v>
      </c>
      <c r="I155" s="164">
        <v>25</v>
      </c>
      <c r="J155" s="164">
        <v>25</v>
      </c>
      <c r="K155" s="164">
        <v>25</v>
      </c>
      <c r="L155" s="164">
        <v>25</v>
      </c>
      <c r="M155" s="164">
        <v>25</v>
      </c>
      <c r="N155" s="164">
        <v>55</v>
      </c>
      <c r="O155" s="163" t="s">
        <v>4340</v>
      </c>
    </row>
    <row r="156" spans="1:15">
      <c r="A156" s="163" t="s">
        <v>1584</v>
      </c>
      <c r="B156" s="163" t="s">
        <v>2057</v>
      </c>
      <c r="C156" s="163" t="s">
        <v>1585</v>
      </c>
      <c r="D156" s="163" t="s">
        <v>1459</v>
      </c>
      <c r="E156" s="163" t="s">
        <v>3531</v>
      </c>
      <c r="F156" s="163" t="s">
        <v>1580</v>
      </c>
      <c r="G156" s="163" t="s">
        <v>1586</v>
      </c>
      <c r="H156" s="163" t="s">
        <v>3822</v>
      </c>
      <c r="I156" s="164">
        <v>25</v>
      </c>
      <c r="J156" s="164">
        <v>25</v>
      </c>
      <c r="K156" s="164">
        <v>25</v>
      </c>
      <c r="L156" s="164">
        <v>25</v>
      </c>
      <c r="M156" s="164">
        <v>25</v>
      </c>
      <c r="N156" s="164">
        <v>55</v>
      </c>
      <c r="O156" s="163" t="s">
        <v>4345</v>
      </c>
    </row>
    <row r="157" spans="1:15">
      <c r="A157" s="163" t="s">
        <v>1440</v>
      </c>
      <c r="B157" s="163" t="s">
        <v>874</v>
      </c>
      <c r="C157" s="163" t="s">
        <v>1441</v>
      </c>
      <c r="D157" s="163" t="s">
        <v>1409</v>
      </c>
      <c r="E157" s="163" t="s">
        <v>3516</v>
      </c>
      <c r="F157" s="163" t="s">
        <v>1409</v>
      </c>
      <c r="G157" s="163" t="s">
        <v>1442</v>
      </c>
      <c r="H157" s="163" t="s">
        <v>3823</v>
      </c>
      <c r="I157" s="164">
        <v>25</v>
      </c>
      <c r="J157" s="164">
        <v>25</v>
      </c>
      <c r="K157" s="164">
        <v>25</v>
      </c>
      <c r="L157" s="164">
        <v>25</v>
      </c>
      <c r="M157" s="164">
        <v>25</v>
      </c>
      <c r="N157" s="164">
        <v>55</v>
      </c>
      <c r="O157" s="163" t="s">
        <v>4360</v>
      </c>
    </row>
    <row r="158" spans="1:15">
      <c r="A158" s="163" t="s">
        <v>1323</v>
      </c>
      <c r="B158" s="163" t="s">
        <v>874</v>
      </c>
      <c r="C158" s="163" t="s">
        <v>1324</v>
      </c>
      <c r="D158" s="163" t="s">
        <v>1306</v>
      </c>
      <c r="E158" s="163" t="s">
        <v>3525</v>
      </c>
      <c r="F158" s="163" t="s">
        <v>1318</v>
      </c>
      <c r="G158" s="163" t="s">
        <v>1325</v>
      </c>
      <c r="H158" s="163" t="s">
        <v>3824</v>
      </c>
      <c r="I158" s="164">
        <v>25</v>
      </c>
      <c r="J158" s="164">
        <v>25</v>
      </c>
      <c r="K158" s="164">
        <v>25</v>
      </c>
      <c r="L158" s="164">
        <v>25</v>
      </c>
      <c r="M158" s="164">
        <v>25</v>
      </c>
      <c r="N158" s="164">
        <v>55</v>
      </c>
      <c r="O158" s="163" t="s">
        <v>4309</v>
      </c>
    </row>
    <row r="159" spans="1:15">
      <c r="A159" s="163" t="s">
        <v>1106</v>
      </c>
      <c r="B159" s="163" t="s">
        <v>2213</v>
      </c>
      <c r="C159" s="163" t="s">
        <v>1107</v>
      </c>
      <c r="D159" s="163" t="s">
        <v>1086</v>
      </c>
      <c r="E159" s="163" t="s">
        <v>3511</v>
      </c>
      <c r="F159" s="163" t="s">
        <v>1085</v>
      </c>
      <c r="G159" s="163" t="s">
        <v>1108</v>
      </c>
      <c r="H159" s="163" t="s">
        <v>3825</v>
      </c>
      <c r="I159" s="164">
        <v>18</v>
      </c>
      <c r="J159" s="164">
        <v>18</v>
      </c>
      <c r="K159" s="164">
        <v>18</v>
      </c>
      <c r="L159" s="164">
        <v>18</v>
      </c>
      <c r="M159" s="164">
        <v>18</v>
      </c>
      <c r="N159" s="164">
        <v>55</v>
      </c>
      <c r="O159" s="163" t="s">
        <v>4325</v>
      </c>
    </row>
    <row r="160" spans="1:15">
      <c r="A160" s="163" t="s">
        <v>1280</v>
      </c>
      <c r="B160" s="163" t="s">
        <v>874</v>
      </c>
      <c r="C160" s="163" t="s">
        <v>1281</v>
      </c>
      <c r="D160" s="163" t="s">
        <v>1267</v>
      </c>
      <c r="E160" s="163" t="s">
        <v>3524</v>
      </c>
      <c r="F160" s="163" t="s">
        <v>2053</v>
      </c>
      <c r="G160" s="163" t="s">
        <v>1282</v>
      </c>
      <c r="H160" s="163" t="s">
        <v>3826</v>
      </c>
      <c r="I160" s="164">
        <v>25</v>
      </c>
      <c r="J160" s="164">
        <v>25</v>
      </c>
      <c r="K160" s="164">
        <v>25</v>
      </c>
      <c r="L160" s="164">
        <v>25</v>
      </c>
      <c r="M160" s="164">
        <v>25</v>
      </c>
      <c r="N160" s="164">
        <v>55</v>
      </c>
      <c r="O160" s="163" t="s">
        <v>4309</v>
      </c>
    </row>
    <row r="161" spans="1:15">
      <c r="A161" s="163" t="s">
        <v>1611</v>
      </c>
      <c r="B161" s="163" t="s">
        <v>2057</v>
      </c>
      <c r="C161" s="163" t="s">
        <v>1612</v>
      </c>
      <c r="D161" s="163" t="s">
        <v>1608</v>
      </c>
      <c r="E161" s="163" t="s">
        <v>3515</v>
      </c>
      <c r="F161" s="163" t="s">
        <v>1614</v>
      </c>
      <c r="G161" s="163" t="s">
        <v>1613</v>
      </c>
      <c r="H161" s="163" t="s">
        <v>3827</v>
      </c>
      <c r="I161" s="164">
        <v>25</v>
      </c>
      <c r="J161" s="164">
        <v>25</v>
      </c>
      <c r="K161" s="164">
        <v>25</v>
      </c>
      <c r="L161" s="164">
        <v>25</v>
      </c>
      <c r="M161" s="164">
        <v>25</v>
      </c>
      <c r="N161" s="164">
        <v>55</v>
      </c>
      <c r="O161" s="163" t="s">
        <v>4361</v>
      </c>
    </row>
    <row r="162" spans="1:15">
      <c r="A162" s="163" t="s">
        <v>1232</v>
      </c>
      <c r="B162" s="163" t="s">
        <v>2213</v>
      </c>
      <c r="C162" s="163" t="s">
        <v>1233</v>
      </c>
      <c r="D162" s="163" t="s">
        <v>953</v>
      </c>
      <c r="E162" s="163" t="s">
        <v>3511</v>
      </c>
      <c r="F162" s="163" t="s">
        <v>1222</v>
      </c>
      <c r="G162" s="163" t="s">
        <v>1234</v>
      </c>
      <c r="H162" s="163" t="s">
        <v>3828</v>
      </c>
      <c r="I162" s="164">
        <v>25</v>
      </c>
      <c r="J162" s="164">
        <v>25</v>
      </c>
      <c r="K162" s="164">
        <v>25</v>
      </c>
      <c r="L162" s="164">
        <v>25</v>
      </c>
      <c r="M162" s="164">
        <v>25</v>
      </c>
      <c r="N162" s="164">
        <v>55</v>
      </c>
      <c r="O162" s="163" t="s">
        <v>4349</v>
      </c>
    </row>
    <row r="163" spans="1:15">
      <c r="A163" s="163" t="s">
        <v>1689</v>
      </c>
      <c r="B163" s="163" t="s">
        <v>2057</v>
      </c>
      <c r="C163" s="163" t="s">
        <v>1690</v>
      </c>
      <c r="D163" s="163" t="s">
        <v>1608</v>
      </c>
      <c r="E163" s="163" t="s">
        <v>3533</v>
      </c>
      <c r="F163" s="163" t="s">
        <v>1684</v>
      </c>
      <c r="G163" s="163" t="s">
        <v>1691</v>
      </c>
      <c r="H163" s="163" t="s">
        <v>3829</v>
      </c>
      <c r="I163" s="164">
        <v>25</v>
      </c>
      <c r="J163" s="164">
        <v>25</v>
      </c>
      <c r="K163" s="164">
        <v>25</v>
      </c>
      <c r="L163" s="164">
        <v>25</v>
      </c>
      <c r="M163" s="164">
        <v>25</v>
      </c>
      <c r="N163" s="164">
        <v>55</v>
      </c>
      <c r="O163" s="163" t="s">
        <v>4333</v>
      </c>
    </row>
    <row r="164" spans="1:15">
      <c r="A164" s="163" t="s">
        <v>1677</v>
      </c>
      <c r="B164" s="163" t="s">
        <v>2057</v>
      </c>
      <c r="C164" s="163" t="s">
        <v>1678</v>
      </c>
      <c r="D164" s="163" t="s">
        <v>1608</v>
      </c>
      <c r="E164" s="163" t="s">
        <v>3532</v>
      </c>
      <c r="F164" s="163" t="s">
        <v>1668</v>
      </c>
      <c r="G164" s="163" t="s">
        <v>1679</v>
      </c>
      <c r="H164" s="163" t="s">
        <v>3830</v>
      </c>
      <c r="I164" s="164">
        <v>25</v>
      </c>
      <c r="J164" s="164">
        <v>25</v>
      </c>
      <c r="K164" s="164">
        <v>25</v>
      </c>
      <c r="L164" s="164">
        <v>18</v>
      </c>
      <c r="M164" s="164">
        <v>25</v>
      </c>
      <c r="N164" s="164">
        <v>55</v>
      </c>
      <c r="O164" s="163" t="s">
        <v>4320</v>
      </c>
    </row>
    <row r="165" spans="1:15">
      <c r="A165" s="163" t="s">
        <v>2875</v>
      </c>
      <c r="B165" s="163" t="s">
        <v>2213</v>
      </c>
      <c r="C165" s="163" t="s">
        <v>2876</v>
      </c>
      <c r="D165" s="163" t="s">
        <v>1147</v>
      </c>
      <c r="E165" s="163" t="s">
        <v>3511</v>
      </c>
      <c r="F165" s="163" t="s">
        <v>1146</v>
      </c>
      <c r="G165" s="163" t="s">
        <v>2877</v>
      </c>
      <c r="H165" s="163" t="s">
        <v>3831</v>
      </c>
      <c r="I165" s="164">
        <v>18</v>
      </c>
      <c r="J165" s="164">
        <v>18</v>
      </c>
      <c r="K165" s="164">
        <v>18</v>
      </c>
      <c r="L165" s="164">
        <v>18</v>
      </c>
      <c r="M165" s="164">
        <v>18</v>
      </c>
      <c r="N165" s="164">
        <v>55</v>
      </c>
    </row>
    <row r="166" spans="1:15">
      <c r="A166" s="163" t="s">
        <v>1247</v>
      </c>
      <c r="B166" s="163" t="s">
        <v>2213</v>
      </c>
      <c r="C166" s="163" t="s">
        <v>1248</v>
      </c>
      <c r="D166" s="163" t="s">
        <v>953</v>
      </c>
      <c r="E166" s="163" t="s">
        <v>3511</v>
      </c>
      <c r="F166" s="163" t="s">
        <v>1250</v>
      </c>
      <c r="G166" s="163" t="s">
        <v>1249</v>
      </c>
      <c r="H166" s="163" t="s">
        <v>3832</v>
      </c>
      <c r="I166" s="164">
        <v>18</v>
      </c>
      <c r="J166" s="164">
        <v>18</v>
      </c>
      <c r="K166" s="164">
        <v>18</v>
      </c>
      <c r="L166" s="164">
        <v>18</v>
      </c>
      <c r="M166" s="164">
        <v>18</v>
      </c>
      <c r="N166" s="164">
        <v>55</v>
      </c>
      <c r="O166" s="163" t="s">
        <v>4362</v>
      </c>
    </row>
    <row r="167" spans="1:15">
      <c r="A167" s="163" t="s">
        <v>1764</v>
      </c>
      <c r="B167" s="163" t="s">
        <v>2063</v>
      </c>
      <c r="C167" s="163" t="s">
        <v>1765</v>
      </c>
      <c r="D167" s="163" t="s">
        <v>868</v>
      </c>
      <c r="E167" s="163" t="s">
        <v>3511</v>
      </c>
      <c r="F167" s="163" t="s">
        <v>868</v>
      </c>
      <c r="G167" s="163" t="s">
        <v>1766</v>
      </c>
      <c r="H167" s="163" t="s">
        <v>3833</v>
      </c>
      <c r="I167" s="164">
        <v>25</v>
      </c>
      <c r="J167" s="164">
        <v>25</v>
      </c>
      <c r="K167" s="164">
        <v>25</v>
      </c>
      <c r="L167" s="164">
        <v>25</v>
      </c>
      <c r="M167" s="164">
        <v>25</v>
      </c>
      <c r="N167" s="164">
        <v>55</v>
      </c>
      <c r="O167" s="163" t="s">
        <v>4323</v>
      </c>
    </row>
    <row r="168" spans="1:15">
      <c r="A168" s="163" t="s">
        <v>1259</v>
      </c>
      <c r="B168" s="163" t="s">
        <v>2213</v>
      </c>
      <c r="C168" s="163" t="s">
        <v>1260</v>
      </c>
      <c r="D168" s="163" t="s">
        <v>953</v>
      </c>
      <c r="E168" s="163" t="s">
        <v>3511</v>
      </c>
      <c r="F168" s="163" t="s">
        <v>1464</v>
      </c>
      <c r="G168" s="163" t="s">
        <v>1261</v>
      </c>
      <c r="H168" s="163" t="s">
        <v>3834</v>
      </c>
      <c r="I168" s="164">
        <v>25</v>
      </c>
      <c r="J168" s="164">
        <v>25</v>
      </c>
      <c r="K168" s="164">
        <v>25</v>
      </c>
      <c r="L168" s="164">
        <v>25</v>
      </c>
      <c r="M168" s="164">
        <v>25</v>
      </c>
      <c r="N168" s="164">
        <v>55</v>
      </c>
      <c r="O168" s="163" t="s">
        <v>4363</v>
      </c>
    </row>
    <row r="169" spans="1:15">
      <c r="A169" s="163" t="s">
        <v>1566</v>
      </c>
      <c r="B169" s="163" t="s">
        <v>2057</v>
      </c>
      <c r="C169" s="163" t="s">
        <v>1567</v>
      </c>
      <c r="D169" s="163" t="s">
        <v>1459</v>
      </c>
      <c r="E169" s="163" t="s">
        <v>3529</v>
      </c>
      <c r="F169" s="163" t="s">
        <v>1565</v>
      </c>
      <c r="G169" s="163" t="s">
        <v>1568</v>
      </c>
      <c r="H169" s="163" t="s">
        <v>3835</v>
      </c>
      <c r="I169" s="164">
        <v>25</v>
      </c>
      <c r="J169" s="164">
        <v>25</v>
      </c>
      <c r="K169" s="164">
        <v>25</v>
      </c>
      <c r="L169" s="164">
        <v>25</v>
      </c>
      <c r="M169" s="164">
        <v>25</v>
      </c>
      <c r="N169" s="164">
        <v>55</v>
      </c>
      <c r="O169" s="163" t="s">
        <v>4342</v>
      </c>
    </row>
    <row r="170" spans="1:15">
      <c r="A170" s="163" t="s">
        <v>1637</v>
      </c>
      <c r="B170" s="163" t="s">
        <v>2057</v>
      </c>
      <c r="C170" s="163" t="s">
        <v>1638</v>
      </c>
      <c r="D170" s="163" t="s">
        <v>1608</v>
      </c>
      <c r="E170" s="163" t="s">
        <v>863</v>
      </c>
      <c r="F170" s="163" t="s">
        <v>863</v>
      </c>
      <c r="G170" s="163" t="s">
        <v>1639</v>
      </c>
      <c r="H170" s="163" t="s">
        <v>3836</v>
      </c>
      <c r="I170" s="164">
        <v>25</v>
      </c>
      <c r="J170" s="164">
        <v>18</v>
      </c>
      <c r="K170" s="164">
        <v>25</v>
      </c>
      <c r="L170" s="164">
        <v>25</v>
      </c>
      <c r="M170" s="164">
        <v>25</v>
      </c>
      <c r="N170" s="164">
        <v>55</v>
      </c>
      <c r="O170" s="163" t="s">
        <v>4316</v>
      </c>
    </row>
    <row r="171" spans="1:15">
      <c r="A171" s="163" t="s">
        <v>1187</v>
      </c>
      <c r="B171" s="163" t="s">
        <v>2213</v>
      </c>
      <c r="C171" s="163" t="s">
        <v>1188</v>
      </c>
      <c r="D171" s="163" t="s">
        <v>1147</v>
      </c>
      <c r="E171" s="163" t="s">
        <v>3517</v>
      </c>
      <c r="F171" s="163" t="s">
        <v>1182</v>
      </c>
      <c r="G171" s="163" t="s">
        <v>1189</v>
      </c>
      <c r="H171" s="163" t="s">
        <v>3837</v>
      </c>
      <c r="I171" s="164">
        <v>25</v>
      </c>
      <c r="J171" s="164">
        <v>25</v>
      </c>
      <c r="K171" s="164">
        <v>25</v>
      </c>
      <c r="L171" s="164">
        <v>25</v>
      </c>
      <c r="M171" s="164">
        <v>25</v>
      </c>
      <c r="N171" s="164">
        <v>55</v>
      </c>
      <c r="O171" s="163" t="s">
        <v>4364</v>
      </c>
    </row>
    <row r="172" spans="1:15">
      <c r="A172" s="163" t="s">
        <v>1569</v>
      </c>
      <c r="B172" s="163" t="s">
        <v>2057</v>
      </c>
      <c r="C172" s="163" t="s">
        <v>1570</v>
      </c>
      <c r="D172" s="163" t="s">
        <v>1459</v>
      </c>
      <c r="E172" s="163" t="s">
        <v>3529</v>
      </c>
      <c r="F172" s="163" t="s">
        <v>3431</v>
      </c>
      <c r="G172" s="163" t="s">
        <v>1571</v>
      </c>
      <c r="H172" s="163" t="s">
        <v>3838</v>
      </c>
      <c r="I172" s="164">
        <v>25</v>
      </c>
      <c r="J172" s="164">
        <v>25</v>
      </c>
      <c r="K172" s="164">
        <v>25</v>
      </c>
      <c r="L172" s="164">
        <v>18</v>
      </c>
      <c r="M172" s="164">
        <v>25</v>
      </c>
      <c r="N172" s="164">
        <v>55</v>
      </c>
    </row>
    <row r="173" spans="1:15">
      <c r="A173" s="163" t="s">
        <v>1767</v>
      </c>
      <c r="B173" s="163" t="s">
        <v>2063</v>
      </c>
      <c r="C173" s="163" t="s">
        <v>1768</v>
      </c>
      <c r="D173" s="163" t="s">
        <v>868</v>
      </c>
      <c r="E173" s="163" t="s">
        <v>3511</v>
      </c>
      <c r="F173" s="163" t="s">
        <v>868</v>
      </c>
      <c r="G173" s="163" t="s">
        <v>1769</v>
      </c>
      <c r="H173" s="163" t="s">
        <v>3839</v>
      </c>
      <c r="I173" s="164">
        <v>18</v>
      </c>
      <c r="J173" s="164">
        <v>18</v>
      </c>
      <c r="K173" s="164">
        <v>18</v>
      </c>
      <c r="L173" s="164">
        <v>18</v>
      </c>
      <c r="M173" s="164">
        <v>18</v>
      </c>
      <c r="N173" s="164">
        <v>55</v>
      </c>
      <c r="O173" s="163" t="s">
        <v>4323</v>
      </c>
    </row>
    <row r="174" spans="1:15">
      <c r="A174" s="163" t="s">
        <v>1555</v>
      </c>
      <c r="B174" s="163" t="s">
        <v>2057</v>
      </c>
      <c r="C174" s="163" t="s">
        <v>1556</v>
      </c>
      <c r="D174" s="163" t="s">
        <v>1459</v>
      </c>
      <c r="E174" s="163" t="s">
        <v>3529</v>
      </c>
      <c r="F174" s="163" t="s">
        <v>1550</v>
      </c>
      <c r="G174" s="163" t="s">
        <v>1557</v>
      </c>
      <c r="I174" s="164">
        <v>25</v>
      </c>
      <c r="J174" s="164">
        <v>25</v>
      </c>
      <c r="K174" s="164">
        <v>25</v>
      </c>
      <c r="L174" s="164">
        <v>25</v>
      </c>
      <c r="M174" s="164">
        <v>25</v>
      </c>
      <c r="N174" s="164">
        <v>55</v>
      </c>
      <c r="O174" s="163" t="s">
        <v>4344</v>
      </c>
    </row>
    <row r="175" spans="1:15">
      <c r="A175" s="163" t="s">
        <v>1770</v>
      </c>
      <c r="B175" s="163" t="s">
        <v>2063</v>
      </c>
      <c r="C175" s="163" t="s">
        <v>1771</v>
      </c>
      <c r="D175" s="163" t="s">
        <v>868</v>
      </c>
      <c r="E175" s="163" t="s">
        <v>3511</v>
      </c>
      <c r="F175" s="163" t="s">
        <v>868</v>
      </c>
      <c r="G175" s="163" t="s">
        <v>1728</v>
      </c>
      <c r="H175" s="163" t="s">
        <v>3702</v>
      </c>
      <c r="I175" s="164">
        <v>18</v>
      </c>
      <c r="J175" s="164">
        <v>18</v>
      </c>
      <c r="K175" s="164">
        <v>18</v>
      </c>
      <c r="L175" s="164">
        <v>18</v>
      </c>
      <c r="M175" s="164">
        <v>18</v>
      </c>
      <c r="N175" s="164">
        <v>55</v>
      </c>
      <c r="O175" s="163" t="s">
        <v>4323</v>
      </c>
    </row>
    <row r="176" spans="1:15">
      <c r="A176" s="163" t="s">
        <v>1503</v>
      </c>
      <c r="B176" s="163" t="s">
        <v>2057</v>
      </c>
      <c r="C176" s="163" t="s">
        <v>1504</v>
      </c>
      <c r="D176" s="163" t="s">
        <v>1459</v>
      </c>
      <c r="E176" s="163" t="s">
        <v>3516</v>
      </c>
      <c r="F176" s="163" t="s">
        <v>1502</v>
      </c>
      <c r="G176" s="163" t="s">
        <v>1505</v>
      </c>
      <c r="H176" s="163" t="s">
        <v>3840</v>
      </c>
      <c r="I176" s="164">
        <v>25</v>
      </c>
      <c r="J176" s="164">
        <v>25</v>
      </c>
      <c r="K176" s="164">
        <v>25</v>
      </c>
      <c r="L176" s="164">
        <v>18</v>
      </c>
      <c r="M176" s="164">
        <v>25</v>
      </c>
      <c r="N176" s="164">
        <v>55</v>
      </c>
      <c r="O176" s="163" t="s">
        <v>4339</v>
      </c>
    </row>
    <row r="177" spans="1:15">
      <c r="A177" s="163" t="s">
        <v>1169</v>
      </c>
      <c r="B177" s="163" t="s">
        <v>2213</v>
      </c>
      <c r="C177" s="163" t="s">
        <v>1170</v>
      </c>
      <c r="D177" s="163" t="s">
        <v>1147</v>
      </c>
      <c r="E177" s="163" t="s">
        <v>3511</v>
      </c>
      <c r="F177" s="163" t="s">
        <v>1168</v>
      </c>
      <c r="G177" s="163" t="s">
        <v>1171</v>
      </c>
      <c r="H177" s="163" t="s">
        <v>3841</v>
      </c>
      <c r="I177" s="164">
        <v>18</v>
      </c>
      <c r="J177" s="164">
        <v>18</v>
      </c>
      <c r="K177" s="164">
        <v>18</v>
      </c>
      <c r="L177" s="164">
        <v>18</v>
      </c>
      <c r="M177" s="164">
        <v>18</v>
      </c>
      <c r="N177" s="164">
        <v>55</v>
      </c>
    </row>
    <row r="178" spans="1:15">
      <c r="A178" s="163" t="s">
        <v>1283</v>
      </c>
      <c r="B178" s="163" t="s">
        <v>874</v>
      </c>
      <c r="C178" s="163" t="s">
        <v>1284</v>
      </c>
      <c r="D178" s="163" t="s">
        <v>1267</v>
      </c>
      <c r="E178" s="163" t="s">
        <v>3524</v>
      </c>
      <c r="F178" s="163" t="s">
        <v>1266</v>
      </c>
      <c r="G178" s="163" t="s">
        <v>1265</v>
      </c>
      <c r="H178" s="163" t="s">
        <v>3842</v>
      </c>
      <c r="I178" s="164">
        <v>25</v>
      </c>
      <c r="J178" s="164">
        <v>25</v>
      </c>
      <c r="K178" s="164">
        <v>25</v>
      </c>
      <c r="L178" s="164">
        <v>25</v>
      </c>
      <c r="M178" s="164">
        <v>25</v>
      </c>
      <c r="N178" s="164">
        <v>55</v>
      </c>
      <c r="O178" s="163" t="s">
        <v>4314</v>
      </c>
    </row>
    <row r="179" spans="1:15">
      <c r="A179" s="163" t="s">
        <v>1215</v>
      </c>
      <c r="B179" s="163" t="s">
        <v>2213</v>
      </c>
      <c r="C179" s="163" t="s">
        <v>1216</v>
      </c>
      <c r="D179" s="163" t="s">
        <v>953</v>
      </c>
      <c r="E179" s="163" t="s">
        <v>3511</v>
      </c>
      <c r="F179" s="163" t="s">
        <v>1218</v>
      </c>
      <c r="G179" s="163" t="s">
        <v>1217</v>
      </c>
      <c r="H179" s="163" t="s">
        <v>3843</v>
      </c>
      <c r="I179" s="164">
        <v>25</v>
      </c>
      <c r="J179" s="164">
        <v>25</v>
      </c>
      <c r="K179" s="164">
        <v>25</v>
      </c>
      <c r="L179" s="164">
        <v>25</v>
      </c>
      <c r="M179" s="164">
        <v>25</v>
      </c>
      <c r="N179" s="164">
        <v>55</v>
      </c>
      <c r="O179" s="163" t="s">
        <v>4347</v>
      </c>
    </row>
    <row r="180" spans="1:15">
      <c r="A180" s="163" t="s">
        <v>1772</v>
      </c>
      <c r="B180" s="163" t="s">
        <v>2063</v>
      </c>
      <c r="C180" s="163" t="s">
        <v>1773</v>
      </c>
      <c r="D180" s="163" t="s">
        <v>868</v>
      </c>
      <c r="E180" s="163" t="s">
        <v>3511</v>
      </c>
      <c r="F180" s="163" t="s">
        <v>868</v>
      </c>
      <c r="G180" s="163" t="s">
        <v>1774</v>
      </c>
      <c r="H180" s="163" t="s">
        <v>3844</v>
      </c>
      <c r="I180" s="164">
        <v>18</v>
      </c>
      <c r="J180" s="164">
        <v>18</v>
      </c>
      <c r="K180" s="164">
        <v>18</v>
      </c>
      <c r="L180" s="164">
        <v>18</v>
      </c>
      <c r="M180" s="164">
        <v>18</v>
      </c>
      <c r="N180" s="164">
        <v>55</v>
      </c>
      <c r="O180" s="163" t="s">
        <v>4323</v>
      </c>
    </row>
    <row r="181" spans="1:15">
      <c r="A181" s="163" t="s">
        <v>1775</v>
      </c>
      <c r="B181" s="163" t="s">
        <v>2063</v>
      </c>
      <c r="C181" s="163" t="s">
        <v>1776</v>
      </c>
      <c r="D181" s="163" t="s">
        <v>868</v>
      </c>
      <c r="E181" s="163" t="s">
        <v>3511</v>
      </c>
      <c r="F181" s="163" t="s">
        <v>868</v>
      </c>
      <c r="G181" s="163" t="s">
        <v>1777</v>
      </c>
      <c r="H181" s="163" t="s">
        <v>3845</v>
      </c>
      <c r="I181" s="164">
        <v>25</v>
      </c>
      <c r="J181" s="164">
        <v>25</v>
      </c>
      <c r="K181" s="164">
        <v>25</v>
      </c>
      <c r="L181" s="164">
        <v>25</v>
      </c>
      <c r="M181" s="164">
        <v>25</v>
      </c>
      <c r="N181" s="164">
        <v>55</v>
      </c>
      <c r="O181" s="163" t="s">
        <v>4323</v>
      </c>
    </row>
    <row r="182" spans="1:15">
      <c r="A182" s="163" t="s">
        <v>1109</v>
      </c>
      <c r="B182" s="163" t="s">
        <v>2213</v>
      </c>
      <c r="C182" s="163" t="s">
        <v>1110</v>
      </c>
      <c r="D182" s="163" t="s">
        <v>1086</v>
      </c>
      <c r="E182" s="163" t="s">
        <v>3511</v>
      </c>
      <c r="F182" s="163" t="s">
        <v>1085</v>
      </c>
      <c r="G182" s="163" t="s">
        <v>1111</v>
      </c>
      <c r="H182" s="163" t="s">
        <v>3846</v>
      </c>
      <c r="I182" s="164">
        <v>18</v>
      </c>
      <c r="J182" s="164">
        <v>18</v>
      </c>
      <c r="K182" s="164">
        <v>18</v>
      </c>
      <c r="L182" s="164">
        <v>18</v>
      </c>
      <c r="M182" s="164">
        <v>18</v>
      </c>
      <c r="N182" s="164">
        <v>55</v>
      </c>
      <c r="O182" s="163" t="s">
        <v>4365</v>
      </c>
    </row>
    <row r="183" spans="1:15">
      <c r="A183" s="163" t="s">
        <v>1302</v>
      </c>
      <c r="B183" s="163" t="s">
        <v>874</v>
      </c>
      <c r="C183" s="163" t="s">
        <v>1303</v>
      </c>
      <c r="D183" s="163" t="s">
        <v>1267</v>
      </c>
      <c r="E183" s="163" t="s">
        <v>3524</v>
      </c>
      <c r="F183" s="163" t="s">
        <v>1305</v>
      </c>
      <c r="G183" s="163" t="s">
        <v>1304</v>
      </c>
      <c r="H183" s="163" t="s">
        <v>3847</v>
      </c>
      <c r="I183" s="164">
        <v>25</v>
      </c>
      <c r="J183" s="164">
        <v>18</v>
      </c>
      <c r="K183" s="164">
        <v>25</v>
      </c>
      <c r="L183" s="164">
        <v>18</v>
      </c>
      <c r="M183" s="164">
        <v>25</v>
      </c>
      <c r="N183" s="164">
        <v>55</v>
      </c>
      <c r="O183" s="163" t="s">
        <v>4314</v>
      </c>
    </row>
    <row r="184" spans="1:15">
      <c r="A184" s="163" t="s">
        <v>1779</v>
      </c>
      <c r="B184" s="163" t="s">
        <v>2063</v>
      </c>
      <c r="C184" s="163" t="s">
        <v>1780</v>
      </c>
      <c r="D184" s="163" t="s">
        <v>868</v>
      </c>
      <c r="E184" s="163" t="s">
        <v>3511</v>
      </c>
      <c r="F184" s="163" t="s">
        <v>868</v>
      </c>
      <c r="G184" s="163" t="s">
        <v>2168</v>
      </c>
      <c r="H184" s="163" t="s">
        <v>3848</v>
      </c>
      <c r="I184" s="164">
        <v>25</v>
      </c>
      <c r="J184" s="164">
        <v>25</v>
      </c>
      <c r="K184" s="164">
        <v>25</v>
      </c>
      <c r="L184" s="164">
        <v>25</v>
      </c>
      <c r="M184" s="164">
        <v>25</v>
      </c>
      <c r="N184" s="164">
        <v>55</v>
      </c>
      <c r="O184" s="163" t="s">
        <v>4323</v>
      </c>
    </row>
    <row r="185" spans="1:15">
      <c r="A185" s="163" t="s">
        <v>1781</v>
      </c>
      <c r="B185" s="163" t="s">
        <v>2063</v>
      </c>
      <c r="C185" s="163" t="s">
        <v>1782</v>
      </c>
      <c r="D185" s="163" t="s">
        <v>868</v>
      </c>
      <c r="E185" s="163" t="s">
        <v>3511</v>
      </c>
      <c r="F185" s="163" t="s">
        <v>868</v>
      </c>
      <c r="G185" s="163" t="s">
        <v>1783</v>
      </c>
      <c r="H185" s="163" t="s">
        <v>3849</v>
      </c>
      <c r="I185" s="164">
        <v>18</v>
      </c>
      <c r="J185" s="164">
        <v>18</v>
      </c>
      <c r="K185" s="164">
        <v>18</v>
      </c>
      <c r="L185" s="164">
        <v>18</v>
      </c>
      <c r="M185" s="164">
        <v>18</v>
      </c>
      <c r="N185" s="164">
        <v>55</v>
      </c>
      <c r="O185" s="163" t="s">
        <v>4323</v>
      </c>
    </row>
    <row r="186" spans="1:15">
      <c r="A186" s="163" t="s">
        <v>1485</v>
      </c>
      <c r="B186" s="163" t="s">
        <v>2057</v>
      </c>
      <c r="C186" s="163" t="s">
        <v>1486</v>
      </c>
      <c r="D186" s="163" t="s">
        <v>1459</v>
      </c>
      <c r="E186" s="163" t="s">
        <v>3516</v>
      </c>
      <c r="F186" s="163" t="s">
        <v>1488</v>
      </c>
      <c r="G186" s="163" t="s">
        <v>1487</v>
      </c>
      <c r="H186" s="163" t="s">
        <v>3850</v>
      </c>
      <c r="I186" s="164">
        <v>25</v>
      </c>
      <c r="J186" s="164">
        <v>25</v>
      </c>
      <c r="K186" s="164">
        <v>25</v>
      </c>
      <c r="L186" s="164">
        <v>18</v>
      </c>
      <c r="M186" s="164">
        <v>25</v>
      </c>
      <c r="N186" s="164">
        <v>55</v>
      </c>
    </row>
    <row r="187" spans="1:15">
      <c r="A187" s="163" t="s">
        <v>1784</v>
      </c>
      <c r="B187" s="163" t="s">
        <v>2063</v>
      </c>
      <c r="C187" s="163" t="s">
        <v>1785</v>
      </c>
      <c r="D187" s="163" t="s">
        <v>868</v>
      </c>
      <c r="E187" s="163" t="s">
        <v>3511</v>
      </c>
      <c r="F187" s="163" t="s">
        <v>868</v>
      </c>
      <c r="G187" s="163" t="s">
        <v>1786</v>
      </c>
      <c r="H187" s="163" t="s">
        <v>3851</v>
      </c>
      <c r="I187" s="164">
        <v>18</v>
      </c>
      <c r="J187" s="164">
        <v>18</v>
      </c>
      <c r="K187" s="164">
        <v>18</v>
      </c>
      <c r="L187" s="164">
        <v>18</v>
      </c>
      <c r="M187" s="164">
        <v>18</v>
      </c>
      <c r="N187" s="164">
        <v>55</v>
      </c>
      <c r="O187" s="163" t="s">
        <v>4323</v>
      </c>
    </row>
    <row r="188" spans="1:15">
      <c r="A188" s="163" t="s">
        <v>1251</v>
      </c>
      <c r="B188" s="163" t="s">
        <v>2213</v>
      </c>
      <c r="C188" s="163" t="s">
        <v>1252</v>
      </c>
      <c r="D188" s="163" t="s">
        <v>953</v>
      </c>
      <c r="E188" s="163" t="s">
        <v>3511</v>
      </c>
      <c r="F188" s="163" t="s">
        <v>1254</v>
      </c>
      <c r="G188" s="163" t="s">
        <v>1253</v>
      </c>
      <c r="H188" s="163" t="s">
        <v>3852</v>
      </c>
      <c r="I188" s="164">
        <v>18</v>
      </c>
      <c r="J188" s="164">
        <v>18</v>
      </c>
      <c r="K188" s="164">
        <v>18</v>
      </c>
      <c r="L188" s="164">
        <v>18</v>
      </c>
      <c r="M188" s="164">
        <v>18</v>
      </c>
      <c r="N188" s="164">
        <v>55</v>
      </c>
    </row>
    <row r="189" spans="1:15">
      <c r="A189" s="163" t="s">
        <v>887</v>
      </c>
      <c r="B189" s="163" t="s">
        <v>865</v>
      </c>
      <c r="C189" s="163" t="s">
        <v>888</v>
      </c>
      <c r="D189" s="163" t="s">
        <v>864</v>
      </c>
      <c r="E189" s="163" t="s">
        <v>3511</v>
      </c>
      <c r="F189" s="163" t="s">
        <v>868</v>
      </c>
      <c r="G189" s="163" t="s">
        <v>889</v>
      </c>
      <c r="H189" s="163" t="s">
        <v>3853</v>
      </c>
      <c r="I189" s="164" t="s">
        <v>2796</v>
      </c>
      <c r="J189" s="164" t="s">
        <v>2796</v>
      </c>
      <c r="K189" s="164" t="s">
        <v>2796</v>
      </c>
      <c r="L189" s="164" t="s">
        <v>2796</v>
      </c>
      <c r="M189" s="164" t="s">
        <v>2796</v>
      </c>
      <c r="N189" s="164">
        <v>55</v>
      </c>
    </row>
    <row r="190" spans="1:15">
      <c r="A190" s="163" t="s">
        <v>1640</v>
      </c>
      <c r="B190" s="163" t="s">
        <v>2057</v>
      </c>
      <c r="C190" s="163" t="s">
        <v>1641</v>
      </c>
      <c r="D190" s="163" t="s">
        <v>1608</v>
      </c>
      <c r="E190" s="163" t="s">
        <v>863</v>
      </c>
      <c r="F190" s="163" t="s">
        <v>1643</v>
      </c>
      <c r="G190" s="163" t="s">
        <v>1642</v>
      </c>
      <c r="H190" s="163" t="s">
        <v>3854</v>
      </c>
      <c r="I190" s="164">
        <v>25</v>
      </c>
      <c r="J190" s="164">
        <v>25</v>
      </c>
      <c r="K190" s="164">
        <v>25</v>
      </c>
      <c r="L190" s="164">
        <v>25</v>
      </c>
      <c r="M190" s="164">
        <v>25</v>
      </c>
      <c r="N190" s="164">
        <v>55</v>
      </c>
      <c r="O190" s="163" t="s">
        <v>4366</v>
      </c>
    </row>
    <row r="191" spans="1:15">
      <c r="A191" s="163" t="s">
        <v>1358</v>
      </c>
      <c r="B191" s="163" t="s">
        <v>874</v>
      </c>
      <c r="C191" s="163" t="s">
        <v>1359</v>
      </c>
      <c r="D191" s="163" t="s">
        <v>1306</v>
      </c>
      <c r="E191" s="163" t="s">
        <v>3525</v>
      </c>
      <c r="F191" s="163" t="s">
        <v>1361</v>
      </c>
      <c r="G191" s="163" t="s">
        <v>1360</v>
      </c>
      <c r="H191" s="163" t="s">
        <v>3855</v>
      </c>
      <c r="I191" s="164">
        <v>25</v>
      </c>
      <c r="J191" s="164">
        <v>25</v>
      </c>
      <c r="K191" s="164">
        <v>25</v>
      </c>
      <c r="L191" s="164">
        <v>25</v>
      </c>
      <c r="M191" s="164">
        <v>25</v>
      </c>
      <c r="N191" s="164">
        <v>55</v>
      </c>
      <c r="O191" s="163" t="s">
        <v>4309</v>
      </c>
    </row>
    <row r="192" spans="1:15">
      <c r="A192" s="163" t="s">
        <v>1340</v>
      </c>
      <c r="B192" s="163" t="s">
        <v>874</v>
      </c>
      <c r="C192" s="163" t="s">
        <v>1341</v>
      </c>
      <c r="D192" s="163" t="s">
        <v>1306</v>
      </c>
      <c r="E192" s="163" t="s">
        <v>3525</v>
      </c>
      <c r="F192" s="163" t="s">
        <v>1343</v>
      </c>
      <c r="G192" s="163" t="s">
        <v>1342</v>
      </c>
      <c r="H192" s="163" t="s">
        <v>3856</v>
      </c>
      <c r="I192" s="164">
        <v>25</v>
      </c>
      <c r="J192" s="164">
        <v>25</v>
      </c>
      <c r="K192" s="164">
        <v>25</v>
      </c>
      <c r="L192" s="164">
        <v>18</v>
      </c>
      <c r="M192" s="164">
        <v>25</v>
      </c>
      <c r="N192" s="164">
        <v>55</v>
      </c>
      <c r="O192" s="163" t="s">
        <v>4367</v>
      </c>
    </row>
    <row r="193" spans="1:15">
      <c r="A193" s="163" t="s">
        <v>1307</v>
      </c>
      <c r="B193" s="163" t="s">
        <v>3382</v>
      </c>
      <c r="C193" s="163" t="s">
        <v>1308</v>
      </c>
      <c r="D193" s="163" t="s">
        <v>1306</v>
      </c>
      <c r="E193" s="163" t="s">
        <v>3525</v>
      </c>
      <c r="F193" s="163" t="s">
        <v>1310</v>
      </c>
      <c r="G193" s="163" t="s">
        <v>1309</v>
      </c>
      <c r="H193" s="163" t="s">
        <v>3857</v>
      </c>
      <c r="I193" s="164">
        <v>25</v>
      </c>
      <c r="J193" s="164">
        <v>18</v>
      </c>
      <c r="K193" s="164">
        <v>25</v>
      </c>
      <c r="L193" s="164">
        <v>18</v>
      </c>
      <c r="M193" s="164">
        <v>18</v>
      </c>
      <c r="N193" s="164">
        <v>55</v>
      </c>
    </row>
    <row r="194" spans="1:15">
      <c r="A194" s="163" t="s">
        <v>891</v>
      </c>
      <c r="B194" s="163" t="s">
        <v>2213</v>
      </c>
      <c r="C194" s="163" t="s">
        <v>892</v>
      </c>
      <c r="D194" s="163" t="s">
        <v>2221</v>
      </c>
      <c r="E194" s="163" t="s">
        <v>3511</v>
      </c>
      <c r="F194" s="163" t="s">
        <v>890</v>
      </c>
      <c r="G194" s="163" t="s">
        <v>893</v>
      </c>
      <c r="H194" s="163" t="s">
        <v>3858</v>
      </c>
      <c r="I194" s="164">
        <v>25</v>
      </c>
      <c r="J194" s="164">
        <v>25</v>
      </c>
      <c r="K194" s="164">
        <v>25</v>
      </c>
      <c r="L194" s="164">
        <v>25</v>
      </c>
      <c r="M194" s="164">
        <v>25</v>
      </c>
      <c r="N194" s="164">
        <v>60</v>
      </c>
      <c r="O194" s="163" t="s">
        <v>4316</v>
      </c>
    </row>
    <row r="195" spans="1:15">
      <c r="A195" s="163" t="s">
        <v>1285</v>
      </c>
      <c r="B195" s="163" t="s">
        <v>874</v>
      </c>
      <c r="C195" s="163" t="s">
        <v>1286</v>
      </c>
      <c r="D195" s="163" t="s">
        <v>1267</v>
      </c>
      <c r="E195" s="163" t="s">
        <v>3524</v>
      </c>
      <c r="F195" s="163" t="s">
        <v>1288</v>
      </c>
      <c r="G195" s="163" t="s">
        <v>1287</v>
      </c>
      <c r="H195" s="163" t="s">
        <v>3859</v>
      </c>
      <c r="I195" s="164">
        <v>25</v>
      </c>
      <c r="J195" s="164">
        <v>25</v>
      </c>
      <c r="K195" s="164">
        <v>25</v>
      </c>
      <c r="L195" s="164">
        <v>25</v>
      </c>
      <c r="M195" s="164">
        <v>25</v>
      </c>
      <c r="N195" s="164">
        <v>55</v>
      </c>
      <c r="O195" s="163" t="s">
        <v>4314</v>
      </c>
    </row>
    <row r="196" spans="1:15">
      <c r="A196" s="163" t="s">
        <v>1289</v>
      </c>
      <c r="B196" s="163" t="s">
        <v>874</v>
      </c>
      <c r="C196" s="163" t="s">
        <v>1290</v>
      </c>
      <c r="D196" s="163" t="s">
        <v>1267</v>
      </c>
      <c r="E196" s="163" t="s">
        <v>3524</v>
      </c>
      <c r="F196" s="163" t="s">
        <v>1266</v>
      </c>
      <c r="G196" s="163" t="s">
        <v>1291</v>
      </c>
      <c r="H196" s="163" t="s">
        <v>3860</v>
      </c>
      <c r="I196" s="164">
        <v>25</v>
      </c>
      <c r="J196" s="164">
        <v>25</v>
      </c>
      <c r="K196" s="164">
        <v>25</v>
      </c>
      <c r="L196" s="164">
        <v>25</v>
      </c>
      <c r="M196" s="164">
        <v>25</v>
      </c>
      <c r="N196" s="164">
        <v>55</v>
      </c>
      <c r="O196" s="163" t="s">
        <v>4312</v>
      </c>
    </row>
    <row r="197" spans="1:15">
      <c r="A197" s="163" t="s">
        <v>1292</v>
      </c>
      <c r="B197" s="163" t="s">
        <v>874</v>
      </c>
      <c r="C197" s="163" t="s">
        <v>1293</v>
      </c>
      <c r="D197" s="163" t="s">
        <v>1267</v>
      </c>
      <c r="E197" s="163" t="s">
        <v>3524</v>
      </c>
      <c r="F197" s="163" t="s">
        <v>1295</v>
      </c>
      <c r="G197" s="163" t="s">
        <v>1294</v>
      </c>
      <c r="H197" s="163" t="s">
        <v>3861</v>
      </c>
      <c r="I197" s="164">
        <v>18</v>
      </c>
      <c r="J197" s="164">
        <v>9</v>
      </c>
      <c r="K197" s="164">
        <v>9</v>
      </c>
      <c r="L197" s="164">
        <v>0</v>
      </c>
      <c r="M197" s="164">
        <v>18</v>
      </c>
      <c r="N197" s="164">
        <v>50</v>
      </c>
    </row>
    <row r="198" spans="1:15">
      <c r="A198" s="163" t="s">
        <v>1362</v>
      </c>
      <c r="B198" s="163" t="s">
        <v>3382</v>
      </c>
      <c r="C198" s="163" t="s">
        <v>1363</v>
      </c>
      <c r="D198" s="163" t="s">
        <v>1306</v>
      </c>
      <c r="E198" s="163" t="s">
        <v>3525</v>
      </c>
      <c r="F198" s="163" t="s">
        <v>2015</v>
      </c>
      <c r="G198" s="163" t="s">
        <v>3387</v>
      </c>
      <c r="H198" s="163" t="s">
        <v>3862</v>
      </c>
      <c r="I198" s="164">
        <v>25</v>
      </c>
      <c r="J198" s="164">
        <v>25</v>
      </c>
      <c r="K198" s="164">
        <v>25</v>
      </c>
      <c r="L198" s="164">
        <v>25</v>
      </c>
      <c r="M198" s="164">
        <v>25</v>
      </c>
      <c r="N198" s="164">
        <v>55</v>
      </c>
      <c r="O198" s="163" t="s">
        <v>4309</v>
      </c>
    </row>
    <row r="199" spans="1:15">
      <c r="A199" s="163" t="s">
        <v>3388</v>
      </c>
      <c r="B199" s="163" t="s">
        <v>3382</v>
      </c>
      <c r="C199" s="163" t="s">
        <v>3389</v>
      </c>
      <c r="D199" s="163" t="s">
        <v>1306</v>
      </c>
      <c r="E199" s="163" t="s">
        <v>3525</v>
      </c>
      <c r="F199" s="163" t="s">
        <v>1361</v>
      </c>
      <c r="G199" s="163" t="s">
        <v>3390</v>
      </c>
      <c r="H199" s="163" t="s">
        <v>3863</v>
      </c>
      <c r="I199" s="164">
        <v>25</v>
      </c>
      <c r="J199" s="164">
        <v>25</v>
      </c>
      <c r="K199" s="164">
        <v>25</v>
      </c>
      <c r="L199" s="164">
        <v>25</v>
      </c>
      <c r="M199" s="164">
        <v>25</v>
      </c>
      <c r="N199" s="164">
        <v>55</v>
      </c>
      <c r="O199" s="163" t="s">
        <v>4309</v>
      </c>
    </row>
    <row r="200" spans="1:15">
      <c r="A200" s="163" t="s">
        <v>1374</v>
      </c>
      <c r="B200" s="163" t="s">
        <v>874</v>
      </c>
      <c r="C200" s="163" t="s">
        <v>1375</v>
      </c>
      <c r="D200" s="163" t="s">
        <v>1306</v>
      </c>
      <c r="E200" s="163" t="s">
        <v>3525</v>
      </c>
      <c r="F200" s="163" t="s">
        <v>1373</v>
      </c>
      <c r="G200" s="163" t="s">
        <v>1372</v>
      </c>
      <c r="H200" s="163" t="s">
        <v>3864</v>
      </c>
      <c r="I200" s="164">
        <v>18</v>
      </c>
      <c r="J200" s="164">
        <v>18</v>
      </c>
      <c r="K200" s="164">
        <v>18</v>
      </c>
      <c r="L200" s="164">
        <v>9</v>
      </c>
      <c r="M200" s="164">
        <v>18</v>
      </c>
      <c r="N200" s="164">
        <v>55</v>
      </c>
      <c r="O200" s="163" t="s">
        <v>4368</v>
      </c>
    </row>
    <row r="201" spans="1:15">
      <c r="A201" s="163" t="s">
        <v>1376</v>
      </c>
      <c r="B201" s="163" t="s">
        <v>874</v>
      </c>
      <c r="C201" s="163" t="s">
        <v>1377</v>
      </c>
      <c r="D201" s="163" t="s">
        <v>1306</v>
      </c>
      <c r="E201" s="163" t="s">
        <v>3525</v>
      </c>
      <c r="F201" s="163" t="s">
        <v>1379</v>
      </c>
      <c r="G201" s="163" t="s">
        <v>1378</v>
      </c>
      <c r="H201" s="163" t="s">
        <v>3865</v>
      </c>
      <c r="I201" s="164">
        <v>25</v>
      </c>
      <c r="J201" s="164">
        <v>18</v>
      </c>
      <c r="K201" s="164">
        <v>25</v>
      </c>
      <c r="L201" s="164">
        <v>18</v>
      </c>
      <c r="M201" s="164">
        <v>18</v>
      </c>
      <c r="N201" s="164">
        <v>55</v>
      </c>
      <c r="O201" s="163" t="s">
        <v>4309</v>
      </c>
    </row>
    <row r="202" spans="1:15">
      <c r="A202" s="163" t="s">
        <v>3408</v>
      </c>
      <c r="B202" s="163" t="s">
        <v>3382</v>
      </c>
      <c r="C202" s="163" t="s">
        <v>3409</v>
      </c>
      <c r="D202" s="163" t="s">
        <v>1306</v>
      </c>
      <c r="E202" s="163" t="s">
        <v>3525</v>
      </c>
      <c r="F202" s="163" t="s">
        <v>3410</v>
      </c>
      <c r="G202" s="163" t="s">
        <v>3411</v>
      </c>
      <c r="H202" s="163" t="s">
        <v>3866</v>
      </c>
      <c r="I202" s="164">
        <v>25</v>
      </c>
      <c r="J202" s="164">
        <v>25</v>
      </c>
      <c r="K202" s="164">
        <v>25</v>
      </c>
      <c r="L202" s="164">
        <v>25</v>
      </c>
      <c r="M202" s="164">
        <v>25</v>
      </c>
      <c r="N202" s="164">
        <v>55</v>
      </c>
      <c r="O202" s="163" t="s">
        <v>4319</v>
      </c>
    </row>
    <row r="203" spans="1:15">
      <c r="A203" s="163" t="s">
        <v>1393</v>
      </c>
      <c r="B203" s="163" t="s">
        <v>3382</v>
      </c>
      <c r="C203" s="163" t="s">
        <v>1394</v>
      </c>
      <c r="D203" s="163" t="s">
        <v>1306</v>
      </c>
      <c r="E203" s="163" t="s">
        <v>3525</v>
      </c>
      <c r="F203" s="163" t="s">
        <v>1396</v>
      </c>
      <c r="G203" s="163" t="s">
        <v>1395</v>
      </c>
      <c r="H203" s="163" t="s">
        <v>3867</v>
      </c>
      <c r="I203" s="164">
        <v>9</v>
      </c>
      <c r="J203" s="164">
        <v>9</v>
      </c>
      <c r="K203" s="164">
        <v>9</v>
      </c>
      <c r="L203" s="164">
        <v>0</v>
      </c>
      <c r="M203" s="164">
        <v>9</v>
      </c>
      <c r="N203" s="164">
        <v>50</v>
      </c>
    </row>
    <row r="204" spans="1:15">
      <c r="A204" s="163" t="s">
        <v>1380</v>
      </c>
      <c r="B204" s="163" t="s">
        <v>874</v>
      </c>
      <c r="C204" s="163" t="s">
        <v>1381</v>
      </c>
      <c r="D204" s="163" t="s">
        <v>1306</v>
      </c>
      <c r="E204" s="163" t="s">
        <v>3525</v>
      </c>
      <c r="F204" s="163" t="s">
        <v>1383</v>
      </c>
      <c r="G204" s="163" t="s">
        <v>1382</v>
      </c>
      <c r="H204" s="163" t="s">
        <v>3868</v>
      </c>
      <c r="I204" s="164">
        <v>9</v>
      </c>
      <c r="J204" s="164">
        <v>9</v>
      </c>
      <c r="K204" s="164">
        <v>9</v>
      </c>
      <c r="L204" s="164">
        <v>9</v>
      </c>
      <c r="M204" s="164">
        <v>9</v>
      </c>
      <c r="N204" s="164">
        <v>50</v>
      </c>
      <c r="O204" s="163" t="s">
        <v>4313</v>
      </c>
    </row>
    <row r="205" spans="1:15">
      <c r="A205" s="163" t="s">
        <v>3412</v>
      </c>
      <c r="B205" s="163" t="s">
        <v>3382</v>
      </c>
      <c r="C205" s="163" t="s">
        <v>3413</v>
      </c>
      <c r="D205" s="163" t="s">
        <v>1306</v>
      </c>
      <c r="E205" s="163" t="s">
        <v>3525</v>
      </c>
      <c r="F205" s="163" t="s">
        <v>1383</v>
      </c>
      <c r="G205" s="163" t="s">
        <v>3414</v>
      </c>
      <c r="H205" s="163" t="s">
        <v>3869</v>
      </c>
      <c r="I205" s="164">
        <v>25</v>
      </c>
      <c r="J205" s="164">
        <v>25</v>
      </c>
      <c r="K205" s="164">
        <v>25</v>
      </c>
      <c r="L205" s="164">
        <v>25</v>
      </c>
      <c r="M205" s="164">
        <v>25</v>
      </c>
      <c r="N205" s="164">
        <v>55</v>
      </c>
      <c r="O205" s="163" t="s">
        <v>4309</v>
      </c>
    </row>
    <row r="206" spans="1:15">
      <c r="A206" s="163" t="s">
        <v>1384</v>
      </c>
      <c r="B206" s="163" t="s">
        <v>874</v>
      </c>
      <c r="C206" s="163" t="s">
        <v>1385</v>
      </c>
      <c r="D206" s="163" t="s">
        <v>1306</v>
      </c>
      <c r="E206" s="163" t="s">
        <v>3525</v>
      </c>
      <c r="F206" s="163" t="s">
        <v>1383</v>
      </c>
      <c r="G206" s="163" t="s">
        <v>1386</v>
      </c>
      <c r="H206" s="163" t="s">
        <v>3870</v>
      </c>
      <c r="I206" s="164">
        <v>25</v>
      </c>
      <c r="J206" s="164">
        <v>25</v>
      </c>
      <c r="K206" s="164">
        <v>25</v>
      </c>
      <c r="L206" s="164">
        <v>18</v>
      </c>
      <c r="M206" s="164">
        <v>25</v>
      </c>
      <c r="N206" s="164">
        <v>55</v>
      </c>
      <c r="O206" s="163" t="s">
        <v>4313</v>
      </c>
    </row>
    <row r="207" spans="1:15">
      <c r="A207" s="163" t="s">
        <v>1387</v>
      </c>
      <c r="B207" s="163" t="s">
        <v>874</v>
      </c>
      <c r="C207" s="163" t="s">
        <v>1388</v>
      </c>
      <c r="D207" s="163" t="s">
        <v>1306</v>
      </c>
      <c r="E207" s="163" t="s">
        <v>3525</v>
      </c>
      <c r="F207" s="163" t="s">
        <v>1390</v>
      </c>
      <c r="G207" s="163" t="s">
        <v>1389</v>
      </c>
      <c r="H207" s="163" t="s">
        <v>3871</v>
      </c>
      <c r="I207" s="164">
        <v>25</v>
      </c>
      <c r="J207" s="164">
        <v>25</v>
      </c>
      <c r="K207" s="164">
        <v>25</v>
      </c>
      <c r="L207" s="164">
        <v>18</v>
      </c>
      <c r="M207" s="164">
        <v>25</v>
      </c>
      <c r="N207" s="164">
        <v>55</v>
      </c>
      <c r="O207" s="163" t="s">
        <v>4313</v>
      </c>
    </row>
    <row r="208" spans="1:15">
      <c r="A208" s="163" t="s">
        <v>1391</v>
      </c>
      <c r="B208" s="163" t="s">
        <v>3382</v>
      </c>
      <c r="C208" s="163" t="s">
        <v>3415</v>
      </c>
      <c r="D208" s="163" t="s">
        <v>1306</v>
      </c>
      <c r="E208" s="163" t="s">
        <v>3525</v>
      </c>
      <c r="F208" s="163" t="s">
        <v>1383</v>
      </c>
      <c r="G208" s="163" t="s">
        <v>3416</v>
      </c>
      <c r="H208" s="163" t="s">
        <v>3872</v>
      </c>
      <c r="I208" s="164">
        <v>25</v>
      </c>
      <c r="J208" s="164">
        <v>25</v>
      </c>
      <c r="K208" s="164">
        <v>25</v>
      </c>
      <c r="L208" s="164">
        <v>25</v>
      </c>
      <c r="M208" s="164">
        <v>25</v>
      </c>
      <c r="N208" s="164">
        <v>55</v>
      </c>
    </row>
    <row r="209" spans="1:15">
      <c r="A209" s="163" t="s">
        <v>2872</v>
      </c>
      <c r="B209" s="163" t="s">
        <v>2213</v>
      </c>
      <c r="C209" s="163" t="s">
        <v>2873</v>
      </c>
      <c r="D209" s="163" t="s">
        <v>1086</v>
      </c>
      <c r="E209" s="163" t="s">
        <v>3511</v>
      </c>
      <c r="F209" s="163" t="s">
        <v>1085</v>
      </c>
      <c r="G209" s="163" t="s">
        <v>2874</v>
      </c>
      <c r="H209" s="163" t="s">
        <v>3873</v>
      </c>
      <c r="I209" s="164">
        <v>25</v>
      </c>
      <c r="J209" s="164">
        <v>25</v>
      </c>
      <c r="K209" s="164">
        <v>25</v>
      </c>
      <c r="L209" s="164">
        <v>25</v>
      </c>
      <c r="M209" s="164">
        <v>25</v>
      </c>
      <c r="N209" s="164">
        <v>55</v>
      </c>
      <c r="O209" s="163" t="s">
        <v>4369</v>
      </c>
    </row>
    <row r="210" spans="1:15">
      <c r="A210" s="163" t="s">
        <v>1787</v>
      </c>
      <c r="B210" s="163" t="s">
        <v>2063</v>
      </c>
      <c r="C210" s="163" t="s">
        <v>1788</v>
      </c>
      <c r="D210" s="163" t="s">
        <v>868</v>
      </c>
      <c r="E210" s="163" t="s">
        <v>3511</v>
      </c>
      <c r="F210" s="163" t="s">
        <v>868</v>
      </c>
      <c r="G210" s="163" t="s">
        <v>1789</v>
      </c>
      <c r="H210" s="163" t="s">
        <v>3874</v>
      </c>
      <c r="I210" s="164">
        <v>18</v>
      </c>
      <c r="J210" s="164">
        <v>18</v>
      </c>
      <c r="K210" s="164">
        <v>18</v>
      </c>
      <c r="L210" s="164">
        <v>18</v>
      </c>
      <c r="M210" s="164">
        <v>18</v>
      </c>
      <c r="N210" s="164">
        <v>55</v>
      </c>
      <c r="O210" s="163" t="s">
        <v>4323</v>
      </c>
    </row>
    <row r="211" spans="1:15">
      <c r="A211" s="163" t="s">
        <v>1644</v>
      </c>
      <c r="B211" s="163" t="s">
        <v>2057</v>
      </c>
      <c r="C211" s="163" t="s">
        <v>1645</v>
      </c>
      <c r="D211" s="163" t="s">
        <v>1608</v>
      </c>
      <c r="E211" s="163" t="s">
        <v>863</v>
      </c>
      <c r="F211" s="163" t="s">
        <v>1647</v>
      </c>
      <c r="G211" s="163" t="s">
        <v>1646</v>
      </c>
      <c r="H211" s="163" t="s">
        <v>3875</v>
      </c>
      <c r="I211" s="164">
        <v>25</v>
      </c>
      <c r="J211" s="164">
        <v>18</v>
      </c>
      <c r="K211" s="164">
        <v>25</v>
      </c>
      <c r="L211" s="164">
        <v>18</v>
      </c>
      <c r="M211" s="164">
        <v>25</v>
      </c>
      <c r="N211" s="164">
        <v>60</v>
      </c>
      <c r="O211" s="163" t="s">
        <v>4316</v>
      </c>
    </row>
    <row r="212" spans="1:15">
      <c r="A212" s="163" t="s">
        <v>1790</v>
      </c>
      <c r="B212" s="163" t="s">
        <v>2063</v>
      </c>
      <c r="C212" s="163" t="s">
        <v>1791</v>
      </c>
      <c r="D212" s="163" t="s">
        <v>868</v>
      </c>
      <c r="E212" s="163" t="s">
        <v>3511</v>
      </c>
      <c r="F212" s="163" t="s">
        <v>979</v>
      </c>
      <c r="G212" s="163" t="s">
        <v>1792</v>
      </c>
      <c r="H212" s="163" t="s">
        <v>3876</v>
      </c>
      <c r="I212" s="164">
        <v>25</v>
      </c>
      <c r="J212" s="164">
        <v>25</v>
      </c>
      <c r="K212" s="164">
        <v>25</v>
      </c>
      <c r="L212" s="164">
        <v>25</v>
      </c>
      <c r="M212" s="164">
        <v>25</v>
      </c>
      <c r="N212" s="164">
        <v>55</v>
      </c>
      <c r="O212" s="163" t="s">
        <v>4323</v>
      </c>
    </row>
    <row r="213" spans="1:15">
      <c r="A213" s="163" t="s">
        <v>1194</v>
      </c>
      <c r="B213" s="163" t="s">
        <v>2213</v>
      </c>
      <c r="C213" s="163" t="s">
        <v>1195</v>
      </c>
      <c r="D213" s="163" t="s">
        <v>1147</v>
      </c>
      <c r="E213" s="163" t="s">
        <v>3511</v>
      </c>
      <c r="F213" s="163" t="s">
        <v>1197</v>
      </c>
      <c r="G213" s="163" t="s">
        <v>1196</v>
      </c>
      <c r="H213" s="163" t="s">
        <v>3877</v>
      </c>
      <c r="I213" s="164">
        <v>25</v>
      </c>
      <c r="J213" s="164">
        <v>18</v>
      </c>
      <c r="K213" s="164">
        <v>25</v>
      </c>
      <c r="L213" s="164">
        <v>18</v>
      </c>
      <c r="M213" s="164">
        <v>25</v>
      </c>
      <c r="N213" s="164">
        <v>55</v>
      </c>
      <c r="O213" s="163" t="s">
        <v>4370</v>
      </c>
    </row>
    <row r="214" spans="1:15">
      <c r="A214" s="163" t="s">
        <v>1653</v>
      </c>
      <c r="B214" s="163" t="s">
        <v>2057</v>
      </c>
      <c r="C214" s="163" t="s">
        <v>1654</v>
      </c>
      <c r="D214" s="163" t="s">
        <v>1608</v>
      </c>
      <c r="E214" s="163" t="s">
        <v>3532</v>
      </c>
      <c r="F214" s="163" t="s">
        <v>1656</v>
      </c>
      <c r="G214" s="163" t="s">
        <v>1655</v>
      </c>
      <c r="H214" s="163" t="s">
        <v>3878</v>
      </c>
      <c r="I214" s="164">
        <v>18</v>
      </c>
      <c r="J214" s="164">
        <v>18</v>
      </c>
      <c r="K214" s="164">
        <v>18</v>
      </c>
      <c r="L214" s="164">
        <v>18</v>
      </c>
      <c r="M214" s="164">
        <v>18</v>
      </c>
      <c r="N214" s="164">
        <v>55</v>
      </c>
      <c r="O214" s="163" t="s">
        <v>4320</v>
      </c>
    </row>
    <row r="215" spans="1:15">
      <c r="A215" s="163" t="s">
        <v>1453</v>
      </c>
      <c r="B215" s="163" t="s">
        <v>2213</v>
      </c>
      <c r="C215" s="163" t="s">
        <v>1454</v>
      </c>
      <c r="D215" s="163" t="s">
        <v>2221</v>
      </c>
      <c r="E215" s="163" t="s">
        <v>3511</v>
      </c>
      <c r="F215" s="163" t="s">
        <v>897</v>
      </c>
      <c r="G215" s="163" t="s">
        <v>1455</v>
      </c>
      <c r="H215" s="163" t="s">
        <v>3879</v>
      </c>
      <c r="I215" s="164">
        <v>18</v>
      </c>
      <c r="J215" s="164">
        <v>18</v>
      </c>
      <c r="K215" s="164">
        <v>18</v>
      </c>
      <c r="L215" s="164">
        <v>18</v>
      </c>
      <c r="M215" s="164">
        <v>18</v>
      </c>
      <c r="N215" s="164">
        <v>55</v>
      </c>
    </row>
    <row r="216" spans="1:15">
      <c r="A216" s="163" t="s">
        <v>894</v>
      </c>
      <c r="B216" s="163" t="s">
        <v>2213</v>
      </c>
      <c r="C216" s="163" t="s">
        <v>895</v>
      </c>
      <c r="D216" s="163" t="s">
        <v>2221</v>
      </c>
      <c r="E216" s="163" t="s">
        <v>3511</v>
      </c>
      <c r="F216" s="163" t="s">
        <v>897</v>
      </c>
      <c r="G216" s="163" t="s">
        <v>896</v>
      </c>
      <c r="H216" s="163" t="s">
        <v>3880</v>
      </c>
      <c r="I216" s="164">
        <v>25</v>
      </c>
      <c r="J216" s="164">
        <v>25</v>
      </c>
      <c r="K216" s="164">
        <v>25</v>
      </c>
      <c r="L216" s="164">
        <v>25</v>
      </c>
      <c r="M216" s="164">
        <v>25</v>
      </c>
      <c r="N216" s="164">
        <v>55</v>
      </c>
    </row>
    <row r="217" spans="1:15">
      <c r="A217" s="163" t="s">
        <v>898</v>
      </c>
      <c r="B217" s="163" t="s">
        <v>2213</v>
      </c>
      <c r="C217" s="163" t="s">
        <v>899</v>
      </c>
      <c r="D217" s="163" t="s">
        <v>2221</v>
      </c>
      <c r="E217" s="163" t="s">
        <v>3511</v>
      </c>
      <c r="F217" s="163" t="s">
        <v>901</v>
      </c>
      <c r="G217" s="163" t="s">
        <v>900</v>
      </c>
      <c r="H217" s="163" t="s">
        <v>3881</v>
      </c>
      <c r="I217" s="164">
        <v>25</v>
      </c>
      <c r="J217" s="164">
        <v>25</v>
      </c>
      <c r="K217" s="164">
        <v>25</v>
      </c>
      <c r="L217" s="164">
        <v>25</v>
      </c>
      <c r="M217" s="164">
        <v>25</v>
      </c>
      <c r="N217" s="164">
        <v>55</v>
      </c>
      <c r="O217" s="163" t="s">
        <v>4316</v>
      </c>
    </row>
    <row r="218" spans="1:15">
      <c r="A218" s="163" t="s">
        <v>902</v>
      </c>
      <c r="B218" s="163" t="s">
        <v>2213</v>
      </c>
      <c r="C218" s="163" t="s">
        <v>903</v>
      </c>
      <c r="D218" s="163" t="s">
        <v>2221</v>
      </c>
      <c r="E218" s="163" t="s">
        <v>3511</v>
      </c>
      <c r="F218" s="163" t="s">
        <v>908</v>
      </c>
      <c r="G218" s="163" t="s">
        <v>904</v>
      </c>
      <c r="H218" s="163" t="s">
        <v>3882</v>
      </c>
      <c r="I218" s="164">
        <v>18</v>
      </c>
      <c r="J218" s="164">
        <v>18</v>
      </c>
      <c r="K218" s="164">
        <v>18</v>
      </c>
      <c r="L218" s="164">
        <v>18</v>
      </c>
      <c r="M218" s="164">
        <v>18</v>
      </c>
      <c r="N218" s="164">
        <v>55</v>
      </c>
    </row>
    <row r="219" spans="1:15">
      <c r="A219" s="163" t="s">
        <v>905</v>
      </c>
      <c r="B219" s="163" t="s">
        <v>2213</v>
      </c>
      <c r="C219" s="163" t="s">
        <v>906</v>
      </c>
      <c r="D219" s="163" t="s">
        <v>2221</v>
      </c>
      <c r="E219" s="163" t="s">
        <v>3511</v>
      </c>
      <c r="F219" s="163" t="s">
        <v>908</v>
      </c>
      <c r="G219" s="163" t="s">
        <v>907</v>
      </c>
      <c r="H219" s="163" t="s">
        <v>3883</v>
      </c>
      <c r="I219" s="164">
        <v>25</v>
      </c>
      <c r="J219" s="164">
        <v>25</v>
      </c>
      <c r="K219" s="164">
        <v>25</v>
      </c>
      <c r="L219" s="164">
        <v>25</v>
      </c>
      <c r="M219" s="164">
        <v>25</v>
      </c>
      <c r="N219" s="164">
        <v>55</v>
      </c>
      <c r="O219" s="163" t="s">
        <v>4316</v>
      </c>
    </row>
    <row r="220" spans="1:15">
      <c r="A220" s="163" t="s">
        <v>909</v>
      </c>
      <c r="B220" s="163" t="s">
        <v>2213</v>
      </c>
      <c r="C220" s="163" t="s">
        <v>910</v>
      </c>
      <c r="D220" s="163" t="s">
        <v>2221</v>
      </c>
      <c r="E220" s="163" t="s">
        <v>3511</v>
      </c>
      <c r="F220" s="163" t="s">
        <v>912</v>
      </c>
      <c r="G220" s="163" t="s">
        <v>911</v>
      </c>
      <c r="H220" s="163" t="s">
        <v>3884</v>
      </c>
      <c r="I220" s="164">
        <v>25</v>
      </c>
      <c r="J220" s="164">
        <v>25</v>
      </c>
      <c r="K220" s="164">
        <v>25</v>
      </c>
      <c r="L220" s="164">
        <v>25</v>
      </c>
      <c r="M220" s="164">
        <v>25</v>
      </c>
      <c r="N220" s="164">
        <v>55</v>
      </c>
      <c r="O220" s="163" t="s">
        <v>4316</v>
      </c>
    </row>
    <row r="221" spans="1:15">
      <c r="A221" s="163" t="s">
        <v>913</v>
      </c>
      <c r="B221" s="163" t="s">
        <v>2213</v>
      </c>
      <c r="C221" s="163" t="s">
        <v>914</v>
      </c>
      <c r="D221" s="163" t="s">
        <v>2221</v>
      </c>
      <c r="E221" s="163" t="s">
        <v>3511</v>
      </c>
      <c r="F221" s="163" t="s">
        <v>908</v>
      </c>
      <c r="G221" s="163" t="s">
        <v>915</v>
      </c>
      <c r="H221" s="163" t="s">
        <v>3885</v>
      </c>
      <c r="I221" s="164">
        <v>18</v>
      </c>
      <c r="J221" s="164">
        <v>18</v>
      </c>
      <c r="K221" s="164">
        <v>18</v>
      </c>
      <c r="L221" s="164">
        <v>18</v>
      </c>
      <c r="M221" s="164">
        <v>18</v>
      </c>
      <c r="N221" s="164">
        <v>55</v>
      </c>
      <c r="O221" s="163" t="s">
        <v>4316</v>
      </c>
    </row>
    <row r="222" spans="1:15">
      <c r="A222" s="163" t="s">
        <v>916</v>
      </c>
      <c r="B222" s="163" t="s">
        <v>2213</v>
      </c>
      <c r="C222" s="163" t="s">
        <v>917</v>
      </c>
      <c r="D222" s="163" t="s">
        <v>2221</v>
      </c>
      <c r="E222" s="163" t="s">
        <v>3511</v>
      </c>
      <c r="F222" s="163" t="s">
        <v>890</v>
      </c>
      <c r="G222" s="163" t="s">
        <v>918</v>
      </c>
      <c r="H222" s="163" t="s">
        <v>3886</v>
      </c>
      <c r="I222" s="164">
        <v>25</v>
      </c>
      <c r="J222" s="164">
        <v>25</v>
      </c>
      <c r="K222" s="164">
        <v>25</v>
      </c>
      <c r="L222" s="164">
        <v>25</v>
      </c>
      <c r="M222" s="164">
        <v>25</v>
      </c>
      <c r="N222" s="164">
        <v>55</v>
      </c>
      <c r="O222" s="163" t="s">
        <v>4371</v>
      </c>
    </row>
    <row r="223" spans="1:15">
      <c r="A223" s="163" t="s">
        <v>919</v>
      </c>
      <c r="B223" s="163" t="s">
        <v>2213</v>
      </c>
      <c r="C223" s="163" t="s">
        <v>920</v>
      </c>
      <c r="D223" s="163" t="s">
        <v>2221</v>
      </c>
      <c r="E223" s="163" t="s">
        <v>3511</v>
      </c>
      <c r="F223" s="163" t="s">
        <v>890</v>
      </c>
      <c r="G223" s="163" t="s">
        <v>921</v>
      </c>
      <c r="H223" s="163" t="s">
        <v>3887</v>
      </c>
      <c r="I223" s="164">
        <v>25</v>
      </c>
      <c r="J223" s="164">
        <v>25</v>
      </c>
      <c r="K223" s="164">
        <v>25</v>
      </c>
      <c r="L223" s="164">
        <v>25</v>
      </c>
      <c r="M223" s="164">
        <v>25</v>
      </c>
      <c r="N223" s="164">
        <v>55</v>
      </c>
      <c r="O223" s="163" t="s">
        <v>4316</v>
      </c>
    </row>
    <row r="224" spans="1:15">
      <c r="A224" s="163" t="s">
        <v>922</v>
      </c>
      <c r="B224" s="163" t="s">
        <v>2213</v>
      </c>
      <c r="C224" s="163" t="s">
        <v>923</v>
      </c>
      <c r="D224" s="163" t="s">
        <v>2221</v>
      </c>
      <c r="E224" s="163" t="s">
        <v>3511</v>
      </c>
      <c r="F224" s="163" t="s">
        <v>890</v>
      </c>
      <c r="G224" s="163" t="s">
        <v>924</v>
      </c>
      <c r="H224" s="163" t="s">
        <v>3888</v>
      </c>
      <c r="I224" s="164">
        <v>25</v>
      </c>
      <c r="J224" s="164">
        <v>25</v>
      </c>
      <c r="K224" s="164">
        <v>25</v>
      </c>
      <c r="L224" s="164">
        <v>25</v>
      </c>
      <c r="M224" s="164">
        <v>25</v>
      </c>
      <c r="N224" s="164">
        <v>55</v>
      </c>
      <c r="O224" s="163" t="s">
        <v>4316</v>
      </c>
    </row>
    <row r="225" spans="1:15">
      <c r="A225" s="163" t="s">
        <v>925</v>
      </c>
      <c r="B225" s="163" t="s">
        <v>2213</v>
      </c>
      <c r="C225" s="163" t="s">
        <v>926</v>
      </c>
      <c r="D225" s="163" t="s">
        <v>2221</v>
      </c>
      <c r="E225" s="163" t="s">
        <v>3511</v>
      </c>
      <c r="F225" s="163" t="s">
        <v>890</v>
      </c>
      <c r="G225" s="163" t="s">
        <v>927</v>
      </c>
      <c r="H225" s="163" t="s">
        <v>3889</v>
      </c>
      <c r="I225" s="164">
        <v>18</v>
      </c>
      <c r="J225" s="164">
        <v>18</v>
      </c>
      <c r="K225" s="164">
        <v>18</v>
      </c>
      <c r="L225" s="164">
        <v>18</v>
      </c>
      <c r="M225" s="164">
        <v>18</v>
      </c>
      <c r="N225" s="164">
        <v>55</v>
      </c>
      <c r="O225" s="163" t="s">
        <v>4316</v>
      </c>
    </row>
    <row r="226" spans="1:15">
      <c r="A226" s="163" t="s">
        <v>929</v>
      </c>
      <c r="B226" s="163" t="s">
        <v>2213</v>
      </c>
      <c r="C226" s="163" t="s">
        <v>930</v>
      </c>
      <c r="D226" s="163" t="s">
        <v>2221</v>
      </c>
      <c r="E226" s="163" t="s">
        <v>3511</v>
      </c>
      <c r="F226" s="163" t="s">
        <v>897</v>
      </c>
      <c r="G226" s="163" t="s">
        <v>931</v>
      </c>
      <c r="H226" s="163" t="s">
        <v>3890</v>
      </c>
      <c r="I226" s="164">
        <v>25</v>
      </c>
      <c r="J226" s="164">
        <v>25</v>
      </c>
      <c r="K226" s="164">
        <v>25</v>
      </c>
      <c r="L226" s="164">
        <v>25</v>
      </c>
      <c r="M226" s="164">
        <v>25</v>
      </c>
      <c r="N226" s="164">
        <v>55</v>
      </c>
      <c r="O226" s="163" t="s">
        <v>4316</v>
      </c>
    </row>
    <row r="227" spans="1:15">
      <c r="A227" s="163" t="s">
        <v>932</v>
      </c>
      <c r="B227" s="163" t="s">
        <v>2213</v>
      </c>
      <c r="C227" s="163" t="s">
        <v>933</v>
      </c>
      <c r="D227" s="163" t="s">
        <v>2221</v>
      </c>
      <c r="E227" s="163" t="s">
        <v>3511</v>
      </c>
      <c r="F227" s="163" t="s">
        <v>935</v>
      </c>
      <c r="G227" s="163" t="s">
        <v>934</v>
      </c>
      <c r="H227" s="163" t="s">
        <v>3891</v>
      </c>
      <c r="I227" s="164">
        <v>25</v>
      </c>
      <c r="J227" s="164">
        <v>25</v>
      </c>
      <c r="K227" s="164">
        <v>25</v>
      </c>
      <c r="L227" s="164">
        <v>25</v>
      </c>
      <c r="M227" s="164">
        <v>25</v>
      </c>
      <c r="N227" s="164">
        <v>55</v>
      </c>
      <c r="O227" s="163" t="s">
        <v>4372</v>
      </c>
    </row>
    <row r="228" spans="1:15">
      <c r="A228" s="163" t="s">
        <v>937</v>
      </c>
      <c r="B228" s="163" t="s">
        <v>2213</v>
      </c>
      <c r="C228" s="163" t="s">
        <v>938</v>
      </c>
      <c r="D228" s="163" t="s">
        <v>2221</v>
      </c>
      <c r="E228" s="163" t="s">
        <v>3511</v>
      </c>
      <c r="F228" s="163" t="s">
        <v>940</v>
      </c>
      <c r="G228" s="163" t="s">
        <v>939</v>
      </c>
      <c r="H228" s="163" t="s">
        <v>3892</v>
      </c>
      <c r="I228" s="164">
        <v>18</v>
      </c>
      <c r="J228" s="164">
        <v>18</v>
      </c>
      <c r="K228" s="164">
        <v>18</v>
      </c>
      <c r="L228" s="164">
        <v>18</v>
      </c>
      <c r="M228" s="164">
        <v>18</v>
      </c>
      <c r="N228" s="164">
        <v>55</v>
      </c>
      <c r="O228" s="163" t="s">
        <v>4373</v>
      </c>
    </row>
    <row r="229" spans="1:15">
      <c r="A229" s="163" t="s">
        <v>941</v>
      </c>
      <c r="B229" s="163" t="s">
        <v>2213</v>
      </c>
      <c r="C229" s="163" t="s">
        <v>942</v>
      </c>
      <c r="D229" s="163" t="s">
        <v>1086</v>
      </c>
      <c r="E229" s="163" t="s">
        <v>3511</v>
      </c>
      <c r="F229" s="163" t="s">
        <v>944</v>
      </c>
      <c r="G229" s="163" t="s">
        <v>943</v>
      </c>
      <c r="H229" s="163" t="s">
        <v>3893</v>
      </c>
      <c r="I229" s="164">
        <v>25</v>
      </c>
      <c r="J229" s="164">
        <v>25</v>
      </c>
      <c r="K229" s="164">
        <v>25</v>
      </c>
      <c r="L229" s="164">
        <v>25</v>
      </c>
      <c r="M229" s="164">
        <v>25</v>
      </c>
      <c r="N229" s="164">
        <v>55</v>
      </c>
    </row>
    <row r="230" spans="1:15">
      <c r="A230" s="163" t="s">
        <v>946</v>
      </c>
      <c r="B230" s="163" t="s">
        <v>2213</v>
      </c>
      <c r="C230" s="163" t="s">
        <v>947</v>
      </c>
      <c r="D230" s="163" t="s">
        <v>2221</v>
      </c>
      <c r="E230" s="163" t="s">
        <v>3511</v>
      </c>
      <c r="F230" s="163" t="s">
        <v>945</v>
      </c>
      <c r="G230" s="163" t="s">
        <v>948</v>
      </c>
      <c r="H230" s="163" t="s">
        <v>3894</v>
      </c>
      <c r="I230" s="164">
        <v>25</v>
      </c>
      <c r="J230" s="164">
        <v>25</v>
      </c>
      <c r="K230" s="164">
        <v>25</v>
      </c>
      <c r="L230" s="164">
        <v>25</v>
      </c>
      <c r="M230" s="164">
        <v>25</v>
      </c>
      <c r="N230" s="164">
        <v>55</v>
      </c>
      <c r="O230" s="163" t="s">
        <v>4374</v>
      </c>
    </row>
    <row r="231" spans="1:15">
      <c r="A231" s="163" t="s">
        <v>1701</v>
      </c>
      <c r="B231" s="163" t="s">
        <v>2057</v>
      </c>
      <c r="C231" s="163" t="s">
        <v>1702</v>
      </c>
      <c r="D231" s="163" t="s">
        <v>1608</v>
      </c>
      <c r="E231" s="163" t="s">
        <v>3533</v>
      </c>
      <c r="F231" s="163" t="s">
        <v>1700</v>
      </c>
      <c r="G231" s="163" t="s">
        <v>1703</v>
      </c>
      <c r="H231" s="163" t="s">
        <v>3895</v>
      </c>
      <c r="I231" s="164">
        <v>25</v>
      </c>
      <c r="J231" s="164">
        <v>25</v>
      </c>
      <c r="K231" s="164">
        <v>25</v>
      </c>
      <c r="L231" s="164">
        <v>25</v>
      </c>
      <c r="M231" s="164">
        <v>18</v>
      </c>
      <c r="N231" s="164">
        <v>55</v>
      </c>
      <c r="O231" s="163" t="s">
        <v>4358</v>
      </c>
    </row>
    <row r="232" spans="1:15">
      <c r="A232" s="163" t="s">
        <v>1112</v>
      </c>
      <c r="B232" s="163" t="s">
        <v>2213</v>
      </c>
      <c r="C232" s="163" t="s">
        <v>1113</v>
      </c>
      <c r="D232" s="163" t="s">
        <v>1086</v>
      </c>
      <c r="E232" s="163" t="s">
        <v>3511</v>
      </c>
      <c r="F232" s="163" t="s">
        <v>1115</v>
      </c>
      <c r="G232" s="163" t="s">
        <v>1114</v>
      </c>
      <c r="H232" s="163" t="s">
        <v>3896</v>
      </c>
      <c r="I232" s="164">
        <v>25</v>
      </c>
      <c r="J232" s="164">
        <v>18</v>
      </c>
      <c r="K232" s="164">
        <v>25</v>
      </c>
      <c r="L232" s="164">
        <v>18</v>
      </c>
      <c r="M232" s="164">
        <v>25</v>
      </c>
      <c r="N232" s="164">
        <v>55</v>
      </c>
    </row>
    <row r="233" spans="1:15">
      <c r="A233" s="163" t="s">
        <v>949</v>
      </c>
      <c r="B233" s="163" t="s">
        <v>2213</v>
      </c>
      <c r="C233" s="163" t="s">
        <v>950</v>
      </c>
      <c r="D233" s="163" t="s">
        <v>953</v>
      </c>
      <c r="E233" s="163" t="s">
        <v>3511</v>
      </c>
      <c r="F233" s="163" t="s">
        <v>952</v>
      </c>
      <c r="G233" s="163" t="s">
        <v>951</v>
      </c>
      <c r="H233" s="163" t="s">
        <v>3897</v>
      </c>
      <c r="I233" s="164">
        <v>25</v>
      </c>
      <c r="J233" s="164">
        <v>25</v>
      </c>
      <c r="K233" s="164">
        <v>25</v>
      </c>
      <c r="L233" s="164">
        <v>25</v>
      </c>
      <c r="M233" s="164">
        <v>25</v>
      </c>
      <c r="N233" s="164">
        <v>55</v>
      </c>
      <c r="O233" s="163" t="s">
        <v>4375</v>
      </c>
    </row>
    <row r="234" spans="1:15">
      <c r="A234" s="163" t="s">
        <v>954</v>
      </c>
      <c r="B234" s="163" t="s">
        <v>2213</v>
      </c>
      <c r="C234" s="163" t="s">
        <v>955</v>
      </c>
      <c r="D234" s="163" t="s">
        <v>2221</v>
      </c>
      <c r="E234" s="163" t="s">
        <v>3511</v>
      </c>
      <c r="F234" s="163" t="s">
        <v>890</v>
      </c>
      <c r="G234" s="163" t="s">
        <v>956</v>
      </c>
      <c r="H234" s="163" t="s">
        <v>3898</v>
      </c>
      <c r="I234" s="164">
        <v>25</v>
      </c>
      <c r="J234" s="164">
        <v>25</v>
      </c>
      <c r="K234" s="164">
        <v>25</v>
      </c>
      <c r="L234" s="164">
        <v>18</v>
      </c>
      <c r="M234" s="164">
        <v>25</v>
      </c>
      <c r="N234" s="164">
        <v>55</v>
      </c>
      <c r="O234" s="163" t="s">
        <v>4316</v>
      </c>
    </row>
    <row r="235" spans="1:15">
      <c r="A235" s="163" t="s">
        <v>3376</v>
      </c>
      <c r="B235" s="163" t="s">
        <v>2213</v>
      </c>
      <c r="C235" s="163" t="s">
        <v>3377</v>
      </c>
      <c r="D235" s="163" t="s">
        <v>953</v>
      </c>
      <c r="E235" s="163" t="s">
        <v>3511</v>
      </c>
      <c r="F235" s="163" t="s">
        <v>1206</v>
      </c>
      <c r="G235" s="163" t="s">
        <v>3378</v>
      </c>
      <c r="H235" s="163" t="s">
        <v>3899</v>
      </c>
      <c r="I235" s="164">
        <v>25</v>
      </c>
      <c r="J235" s="164">
        <v>25</v>
      </c>
      <c r="K235" s="164">
        <v>25</v>
      </c>
      <c r="L235" s="164">
        <v>25</v>
      </c>
      <c r="M235" s="164">
        <v>25</v>
      </c>
      <c r="N235" s="164">
        <v>55</v>
      </c>
    </row>
    <row r="236" spans="1:15">
      <c r="A236" s="163" t="s">
        <v>1157</v>
      </c>
      <c r="B236" s="163" t="s">
        <v>2213</v>
      </c>
      <c r="C236" s="163" t="s">
        <v>1158</v>
      </c>
      <c r="D236" s="163" t="s">
        <v>1147</v>
      </c>
      <c r="E236" s="163" t="s">
        <v>3511</v>
      </c>
      <c r="F236" s="163" t="s">
        <v>1160</v>
      </c>
      <c r="G236" s="163" t="s">
        <v>1159</v>
      </c>
      <c r="H236" s="163" t="s">
        <v>3720</v>
      </c>
      <c r="I236" s="164">
        <v>18</v>
      </c>
      <c r="J236" s="164">
        <v>18</v>
      </c>
      <c r="K236" s="164">
        <v>18</v>
      </c>
      <c r="L236" s="164">
        <v>18</v>
      </c>
      <c r="M236" s="164">
        <v>18</v>
      </c>
      <c r="N236" s="164">
        <v>55</v>
      </c>
    </row>
    <row r="237" spans="1:15">
      <c r="A237" s="163" t="s">
        <v>4131</v>
      </c>
      <c r="B237" s="163" t="s">
        <v>2213</v>
      </c>
      <c r="C237" s="163" t="s">
        <v>4132</v>
      </c>
      <c r="D237" s="163" t="s">
        <v>1086</v>
      </c>
      <c r="E237" s="163" t="s">
        <v>3511</v>
      </c>
      <c r="F237" s="163" t="s">
        <v>1085</v>
      </c>
      <c r="G237" s="163" t="s">
        <v>4133</v>
      </c>
      <c r="H237" s="163" t="s">
        <v>4134</v>
      </c>
      <c r="I237" s="164">
        <v>25</v>
      </c>
      <c r="J237" s="164">
        <v>25</v>
      </c>
      <c r="K237" s="164">
        <v>25</v>
      </c>
      <c r="L237" s="164">
        <v>25</v>
      </c>
      <c r="M237" s="164">
        <v>25</v>
      </c>
      <c r="N237" s="164">
        <v>55</v>
      </c>
    </row>
    <row r="238" spans="1:15">
      <c r="A238" s="163" t="s">
        <v>1116</v>
      </c>
      <c r="B238" s="163" t="s">
        <v>2213</v>
      </c>
      <c r="C238" s="163" t="s">
        <v>1117</v>
      </c>
      <c r="D238" s="163" t="s">
        <v>1086</v>
      </c>
      <c r="E238" s="163" t="s">
        <v>3511</v>
      </c>
      <c r="F238" s="163" t="s">
        <v>1119</v>
      </c>
      <c r="G238" s="163" t="s">
        <v>1118</v>
      </c>
      <c r="H238" s="163" t="s">
        <v>3900</v>
      </c>
      <c r="I238" s="164">
        <v>25</v>
      </c>
      <c r="J238" s="164">
        <v>18</v>
      </c>
      <c r="K238" s="164">
        <v>25</v>
      </c>
      <c r="L238" s="164">
        <v>18</v>
      </c>
      <c r="M238" s="164">
        <v>25</v>
      </c>
      <c r="N238" s="164">
        <v>55</v>
      </c>
      <c r="O238" s="163" t="s">
        <v>4325</v>
      </c>
    </row>
    <row r="239" spans="1:15">
      <c r="A239" s="163" t="s">
        <v>1120</v>
      </c>
      <c r="B239" s="163" t="s">
        <v>2213</v>
      </c>
      <c r="C239" s="163" t="s">
        <v>1121</v>
      </c>
      <c r="D239" s="163" t="s">
        <v>1086</v>
      </c>
      <c r="E239" s="163" t="s">
        <v>3511</v>
      </c>
      <c r="F239" s="163" t="s">
        <v>1123</v>
      </c>
      <c r="G239" s="163" t="s">
        <v>1122</v>
      </c>
      <c r="H239" s="163" t="s">
        <v>3901</v>
      </c>
      <c r="I239" s="164">
        <v>25</v>
      </c>
      <c r="J239" s="164">
        <v>25</v>
      </c>
      <c r="K239" s="164">
        <v>25</v>
      </c>
      <c r="L239" s="164">
        <v>25</v>
      </c>
      <c r="M239" s="164">
        <v>25</v>
      </c>
      <c r="N239" s="164">
        <v>55</v>
      </c>
      <c r="O239" s="163" t="s">
        <v>4376</v>
      </c>
    </row>
    <row r="240" spans="1:15">
      <c r="A240" s="163" t="s">
        <v>1067</v>
      </c>
      <c r="B240" s="163" t="s">
        <v>2213</v>
      </c>
      <c r="C240" s="163" t="s">
        <v>1068</v>
      </c>
      <c r="D240" s="163" t="s">
        <v>2422</v>
      </c>
      <c r="E240" s="163" t="s">
        <v>3513</v>
      </c>
      <c r="F240" s="163" t="s">
        <v>978</v>
      </c>
      <c r="G240" s="163" t="s">
        <v>1069</v>
      </c>
      <c r="H240" s="163" t="s">
        <v>3902</v>
      </c>
      <c r="I240" s="164">
        <v>25</v>
      </c>
      <c r="J240" s="164">
        <v>25</v>
      </c>
      <c r="K240" s="164">
        <v>25</v>
      </c>
      <c r="L240" s="164">
        <v>25</v>
      </c>
      <c r="M240" s="164">
        <v>25</v>
      </c>
      <c r="N240" s="164">
        <v>55</v>
      </c>
      <c r="O240" s="163" t="s">
        <v>4354</v>
      </c>
    </row>
    <row r="241" spans="1:15">
      <c r="A241" s="163" t="s">
        <v>1327</v>
      </c>
      <c r="B241" s="163" t="s">
        <v>874</v>
      </c>
      <c r="C241" s="163" t="s">
        <v>1328</v>
      </c>
      <c r="D241" s="163" t="s">
        <v>1306</v>
      </c>
      <c r="E241" s="163" t="s">
        <v>3525</v>
      </c>
      <c r="F241" s="163" t="s">
        <v>1314</v>
      </c>
      <c r="G241" s="163" t="s">
        <v>1313</v>
      </c>
      <c r="H241" s="163" t="s">
        <v>3903</v>
      </c>
      <c r="I241" s="164">
        <v>25</v>
      </c>
      <c r="J241" s="164">
        <v>18</v>
      </c>
      <c r="K241" s="164">
        <v>25</v>
      </c>
      <c r="L241" s="164">
        <v>18</v>
      </c>
      <c r="M241" s="164">
        <v>25</v>
      </c>
      <c r="N241" s="164">
        <v>55</v>
      </c>
      <c r="O241" s="163" t="s">
        <v>4309</v>
      </c>
    </row>
    <row r="242" spans="1:15">
      <c r="A242" s="163" t="s">
        <v>2401</v>
      </c>
      <c r="B242" s="163" t="s">
        <v>2213</v>
      </c>
      <c r="C242" s="163" t="s">
        <v>2402</v>
      </c>
      <c r="D242" s="163" t="s">
        <v>2422</v>
      </c>
      <c r="E242" s="163" t="s">
        <v>3518</v>
      </c>
      <c r="F242" s="163" t="s">
        <v>2423</v>
      </c>
      <c r="G242" s="163" t="s">
        <v>2403</v>
      </c>
      <c r="H242" s="163" t="s">
        <v>3904</v>
      </c>
      <c r="I242" s="164">
        <v>25</v>
      </c>
      <c r="J242" s="164">
        <v>25</v>
      </c>
      <c r="K242" s="164">
        <v>25</v>
      </c>
      <c r="L242" s="164">
        <v>25</v>
      </c>
      <c r="M242" s="164">
        <v>25</v>
      </c>
      <c r="N242" s="164">
        <v>55</v>
      </c>
      <c r="O242" s="163" t="s">
        <v>4353</v>
      </c>
    </row>
    <row r="243" spans="1:15">
      <c r="A243" s="163" t="s">
        <v>1190</v>
      </c>
      <c r="B243" s="163" t="s">
        <v>2213</v>
      </c>
      <c r="C243" s="163" t="s">
        <v>1191</v>
      </c>
      <c r="D243" s="163" t="s">
        <v>1147</v>
      </c>
      <c r="E243" s="163" t="s">
        <v>3517</v>
      </c>
      <c r="F243" s="163" t="s">
        <v>1193</v>
      </c>
      <c r="G243" s="163" t="s">
        <v>1192</v>
      </c>
      <c r="H243" s="163" t="s">
        <v>3905</v>
      </c>
      <c r="I243" s="164">
        <v>18</v>
      </c>
      <c r="J243" s="164">
        <v>18</v>
      </c>
      <c r="K243" s="164">
        <v>18</v>
      </c>
      <c r="L243" s="164">
        <v>18</v>
      </c>
      <c r="M243" s="164">
        <v>18</v>
      </c>
      <c r="N243" s="164">
        <v>55</v>
      </c>
    </row>
    <row r="244" spans="1:15">
      <c r="A244" s="163" t="s">
        <v>1124</v>
      </c>
      <c r="B244" s="163" t="s">
        <v>2213</v>
      </c>
      <c r="C244" s="163" t="s">
        <v>1125</v>
      </c>
      <c r="D244" s="163" t="s">
        <v>1086</v>
      </c>
      <c r="E244" s="163" t="s">
        <v>3511</v>
      </c>
      <c r="F244" s="163" t="s">
        <v>1127</v>
      </c>
      <c r="G244" s="163" t="s">
        <v>1126</v>
      </c>
      <c r="H244" s="163" t="s">
        <v>3906</v>
      </c>
      <c r="I244" s="164">
        <v>18</v>
      </c>
      <c r="J244" s="164">
        <v>18</v>
      </c>
      <c r="K244" s="164">
        <v>18</v>
      </c>
      <c r="L244" s="164">
        <v>18</v>
      </c>
      <c r="M244" s="164">
        <v>18</v>
      </c>
      <c r="N244" s="164">
        <v>55</v>
      </c>
    </row>
    <row r="245" spans="1:15">
      <c r="A245" s="163" t="s">
        <v>957</v>
      </c>
      <c r="B245" s="163" t="s">
        <v>865</v>
      </c>
      <c r="C245" s="163" t="s">
        <v>958</v>
      </c>
      <c r="D245" s="163" t="s">
        <v>864</v>
      </c>
      <c r="E245" s="163" t="s">
        <v>3511</v>
      </c>
      <c r="F245" s="163" t="s">
        <v>2215</v>
      </c>
      <c r="G245" s="163" t="s">
        <v>2214</v>
      </c>
      <c r="H245" s="163" t="s">
        <v>3907</v>
      </c>
      <c r="I245" s="164">
        <v>25</v>
      </c>
      <c r="J245" s="164">
        <v>25</v>
      </c>
      <c r="K245" s="164">
        <v>25</v>
      </c>
      <c r="L245" s="164">
        <v>25</v>
      </c>
      <c r="M245" s="164">
        <v>25</v>
      </c>
      <c r="N245" s="164">
        <v>55</v>
      </c>
    </row>
    <row r="246" spans="1:15">
      <c r="A246" s="163" t="s">
        <v>960</v>
      </c>
      <c r="B246" s="163" t="s">
        <v>865</v>
      </c>
      <c r="C246" s="163" t="s">
        <v>961</v>
      </c>
      <c r="D246" s="163" t="s">
        <v>864</v>
      </c>
      <c r="E246" s="163" t="s">
        <v>3511</v>
      </c>
      <c r="F246" s="163" t="s">
        <v>959</v>
      </c>
      <c r="G246" s="163" t="s">
        <v>962</v>
      </c>
      <c r="H246" s="163" t="s">
        <v>3908</v>
      </c>
      <c r="I246" s="164">
        <v>25</v>
      </c>
      <c r="J246" s="164">
        <v>25</v>
      </c>
      <c r="K246" s="164">
        <v>25</v>
      </c>
      <c r="L246" s="164">
        <v>25</v>
      </c>
      <c r="M246" s="164">
        <v>25</v>
      </c>
      <c r="N246" s="164">
        <v>55</v>
      </c>
    </row>
    <row r="247" spans="1:15">
      <c r="A247" s="163" t="s">
        <v>963</v>
      </c>
      <c r="B247" s="163" t="s">
        <v>2213</v>
      </c>
      <c r="C247" s="163" t="s">
        <v>964</v>
      </c>
      <c r="D247" s="163" t="s">
        <v>1147</v>
      </c>
      <c r="E247" s="163" t="s">
        <v>3511</v>
      </c>
      <c r="F247" s="163" t="s">
        <v>959</v>
      </c>
      <c r="G247" s="163" t="s">
        <v>965</v>
      </c>
      <c r="H247" s="163" t="s">
        <v>3909</v>
      </c>
      <c r="I247" s="164">
        <v>25</v>
      </c>
      <c r="J247" s="164">
        <v>25</v>
      </c>
      <c r="K247" s="164">
        <v>25</v>
      </c>
      <c r="L247" s="164">
        <v>25</v>
      </c>
      <c r="M247" s="164">
        <v>25</v>
      </c>
      <c r="N247" s="164">
        <v>55</v>
      </c>
    </row>
    <row r="248" spans="1:15">
      <c r="A248" s="163" t="s">
        <v>967</v>
      </c>
      <c r="B248" s="163" t="s">
        <v>874</v>
      </c>
      <c r="C248" s="163" t="s">
        <v>968</v>
      </c>
      <c r="D248" s="163" t="s">
        <v>864</v>
      </c>
      <c r="E248" s="163" t="s">
        <v>3511</v>
      </c>
      <c r="F248" s="163" t="s">
        <v>970</v>
      </c>
      <c r="G248" s="163" t="s">
        <v>969</v>
      </c>
      <c r="H248" s="163" t="s">
        <v>3910</v>
      </c>
      <c r="I248" s="164">
        <v>25</v>
      </c>
      <c r="J248" s="164">
        <v>25</v>
      </c>
      <c r="K248" s="164">
        <v>25</v>
      </c>
      <c r="L248" s="164">
        <v>25</v>
      </c>
      <c r="M248" s="164">
        <v>25</v>
      </c>
      <c r="N248" s="164">
        <v>55</v>
      </c>
    </row>
    <row r="249" spans="1:15">
      <c r="A249" s="163" t="s">
        <v>971</v>
      </c>
      <c r="B249" s="163" t="s">
        <v>865</v>
      </c>
      <c r="C249" s="163" t="s">
        <v>972</v>
      </c>
      <c r="D249" s="163" t="s">
        <v>864</v>
      </c>
      <c r="E249" s="163" t="s">
        <v>3511</v>
      </c>
      <c r="F249" s="163" t="s">
        <v>974</v>
      </c>
      <c r="G249" s="163" t="s">
        <v>973</v>
      </c>
      <c r="H249" s="163" t="s">
        <v>3911</v>
      </c>
      <c r="I249" s="164" t="s">
        <v>2796</v>
      </c>
      <c r="J249" s="164" t="s">
        <v>2796</v>
      </c>
      <c r="K249" s="164">
        <v>18</v>
      </c>
      <c r="L249" s="164" t="s">
        <v>2796</v>
      </c>
      <c r="M249" s="164" t="s">
        <v>2796</v>
      </c>
      <c r="N249" s="164">
        <v>55</v>
      </c>
    </row>
    <row r="250" spans="1:15">
      <c r="A250" s="163" t="s">
        <v>975</v>
      </c>
      <c r="B250" s="163" t="s">
        <v>865</v>
      </c>
      <c r="C250" s="163" t="s">
        <v>976</v>
      </c>
      <c r="D250" s="163" t="s">
        <v>864</v>
      </c>
      <c r="E250" s="163" t="s">
        <v>3513</v>
      </c>
      <c r="F250" s="163" t="s">
        <v>978</v>
      </c>
      <c r="G250" s="163" t="s">
        <v>977</v>
      </c>
      <c r="H250" s="163" t="s">
        <v>3912</v>
      </c>
      <c r="I250" s="164">
        <v>18</v>
      </c>
      <c r="J250" s="164">
        <v>18</v>
      </c>
      <c r="K250" s="164">
        <v>18</v>
      </c>
      <c r="L250" s="164">
        <v>18</v>
      </c>
      <c r="M250" s="164">
        <v>18</v>
      </c>
      <c r="N250" s="164">
        <v>55</v>
      </c>
    </row>
    <row r="251" spans="1:15">
      <c r="A251" s="163" t="s">
        <v>980</v>
      </c>
      <c r="B251" s="163" t="s">
        <v>2213</v>
      </c>
      <c r="C251" s="163" t="s">
        <v>981</v>
      </c>
      <c r="D251" s="163" t="s">
        <v>2221</v>
      </c>
      <c r="E251" s="163" t="s">
        <v>3511</v>
      </c>
      <c r="F251" s="163" t="s">
        <v>983</v>
      </c>
      <c r="G251" s="163" t="s">
        <v>982</v>
      </c>
      <c r="H251" s="163" t="s">
        <v>3913</v>
      </c>
      <c r="I251" s="164">
        <v>18</v>
      </c>
      <c r="J251" s="164">
        <v>18</v>
      </c>
      <c r="K251" s="164">
        <v>18</v>
      </c>
      <c r="L251" s="164">
        <v>18</v>
      </c>
      <c r="M251" s="164">
        <v>18</v>
      </c>
      <c r="N251" s="164">
        <v>55</v>
      </c>
    </row>
    <row r="252" spans="1:15">
      <c r="A252" s="163" t="s">
        <v>1344</v>
      </c>
      <c r="B252" s="163" t="s">
        <v>3382</v>
      </c>
      <c r="C252" s="163" t="s">
        <v>1345</v>
      </c>
      <c r="D252" s="163" t="s">
        <v>1306</v>
      </c>
      <c r="E252" s="163" t="s">
        <v>3525</v>
      </c>
      <c r="F252" s="163" t="s">
        <v>1347</v>
      </c>
      <c r="G252" s="163" t="s">
        <v>1346</v>
      </c>
      <c r="H252" s="163" t="s">
        <v>3914</v>
      </c>
      <c r="I252" s="164">
        <v>18</v>
      </c>
      <c r="J252" s="164">
        <v>9</v>
      </c>
      <c r="K252" s="164">
        <v>18</v>
      </c>
      <c r="L252" s="164">
        <v>9</v>
      </c>
      <c r="M252" s="164">
        <v>18</v>
      </c>
      <c r="N252" s="164">
        <v>50</v>
      </c>
      <c r="O252" s="163" t="s">
        <v>4309</v>
      </c>
    </row>
    <row r="253" spans="1:15">
      <c r="A253" s="163" t="s">
        <v>984</v>
      </c>
      <c r="B253" s="163" t="s">
        <v>865</v>
      </c>
      <c r="C253" s="163" t="s">
        <v>985</v>
      </c>
      <c r="D253" s="163" t="s">
        <v>864</v>
      </c>
      <c r="E253" s="163" t="s">
        <v>3511</v>
      </c>
      <c r="F253" s="163" t="s">
        <v>868</v>
      </c>
      <c r="G253" s="163" t="s">
        <v>986</v>
      </c>
      <c r="H253" s="163" t="s">
        <v>3915</v>
      </c>
      <c r="I253" s="164">
        <v>25</v>
      </c>
      <c r="J253" s="164">
        <v>25</v>
      </c>
      <c r="K253" s="164">
        <v>25</v>
      </c>
      <c r="L253" s="164">
        <v>25</v>
      </c>
      <c r="M253" s="164">
        <v>25</v>
      </c>
      <c r="N253" s="164">
        <v>55</v>
      </c>
    </row>
    <row r="254" spans="1:15">
      <c r="A254" s="163" t="s">
        <v>987</v>
      </c>
      <c r="B254" s="163" t="s">
        <v>865</v>
      </c>
      <c r="C254" s="163" t="s">
        <v>988</v>
      </c>
      <c r="D254" s="163" t="s">
        <v>864</v>
      </c>
      <c r="E254" s="163" t="s">
        <v>3511</v>
      </c>
      <c r="F254" s="163" t="s">
        <v>868</v>
      </c>
      <c r="G254" s="163" t="s">
        <v>989</v>
      </c>
      <c r="H254" s="163" t="s">
        <v>3916</v>
      </c>
      <c r="I254" s="164">
        <v>25</v>
      </c>
      <c r="J254" s="164">
        <v>18</v>
      </c>
      <c r="K254" s="164">
        <v>25</v>
      </c>
      <c r="L254" s="164">
        <v>18</v>
      </c>
      <c r="M254" s="164">
        <v>18</v>
      </c>
      <c r="N254" s="164">
        <v>55</v>
      </c>
    </row>
    <row r="255" spans="1:15">
      <c r="A255" s="163" t="s">
        <v>990</v>
      </c>
      <c r="B255" s="163" t="s">
        <v>865</v>
      </c>
      <c r="C255" s="163" t="s">
        <v>991</v>
      </c>
      <c r="D255" s="163" t="s">
        <v>864</v>
      </c>
      <c r="E255" s="163" t="s">
        <v>3514</v>
      </c>
      <c r="F255" s="163" t="s">
        <v>993</v>
      </c>
      <c r="G255" s="163" t="s">
        <v>992</v>
      </c>
      <c r="H255" s="163" t="s">
        <v>3917</v>
      </c>
      <c r="I255" s="164">
        <v>25</v>
      </c>
      <c r="J255" s="164">
        <v>25</v>
      </c>
      <c r="K255" s="164">
        <v>25</v>
      </c>
      <c r="L255" s="164">
        <v>25</v>
      </c>
      <c r="M255" s="164">
        <v>25</v>
      </c>
      <c r="N255" s="164">
        <v>60</v>
      </c>
    </row>
    <row r="256" spans="1:15">
      <c r="A256" s="163" t="s">
        <v>994</v>
      </c>
      <c r="B256" s="163" t="s">
        <v>865</v>
      </c>
      <c r="C256" s="163" t="s">
        <v>995</v>
      </c>
      <c r="D256" s="163" t="s">
        <v>864</v>
      </c>
      <c r="E256" s="163" t="s">
        <v>3511</v>
      </c>
      <c r="F256" s="163" t="s">
        <v>868</v>
      </c>
      <c r="G256" s="163" t="s">
        <v>996</v>
      </c>
      <c r="H256" s="163" t="s">
        <v>3916</v>
      </c>
      <c r="I256" s="164">
        <v>25</v>
      </c>
      <c r="J256" s="164">
        <v>18</v>
      </c>
      <c r="K256" s="164">
        <v>25</v>
      </c>
      <c r="L256" s="164">
        <v>18</v>
      </c>
      <c r="M256" s="164">
        <v>18</v>
      </c>
      <c r="N256" s="164">
        <v>55</v>
      </c>
    </row>
    <row r="257" spans="1:15">
      <c r="A257" s="163" t="s">
        <v>1161</v>
      </c>
      <c r="B257" s="163" t="s">
        <v>2213</v>
      </c>
      <c r="C257" s="163" t="s">
        <v>1162</v>
      </c>
      <c r="D257" s="163" t="s">
        <v>1147</v>
      </c>
      <c r="E257" s="163" t="s">
        <v>3511</v>
      </c>
      <c r="F257" s="163" t="s">
        <v>959</v>
      </c>
      <c r="G257" s="163" t="s">
        <v>1163</v>
      </c>
      <c r="H257" s="163" t="s">
        <v>3918</v>
      </c>
      <c r="I257" s="164">
        <v>18</v>
      </c>
      <c r="J257" s="164">
        <v>18</v>
      </c>
      <c r="K257" s="164">
        <v>18</v>
      </c>
      <c r="L257" s="164">
        <v>18</v>
      </c>
      <c r="M257" s="164">
        <v>18</v>
      </c>
      <c r="N257" s="164">
        <v>55</v>
      </c>
    </row>
    <row r="258" spans="1:15">
      <c r="A258" s="163" t="s">
        <v>997</v>
      </c>
      <c r="B258" s="163" t="s">
        <v>865</v>
      </c>
      <c r="C258" s="163" t="s">
        <v>998</v>
      </c>
      <c r="D258" s="163" t="s">
        <v>864</v>
      </c>
      <c r="E258" s="163" t="s">
        <v>3511</v>
      </c>
      <c r="F258" s="163" t="s">
        <v>868</v>
      </c>
      <c r="G258" s="163" t="s">
        <v>996</v>
      </c>
      <c r="H258" s="163" t="s">
        <v>3916</v>
      </c>
      <c r="I258" s="164">
        <v>25</v>
      </c>
      <c r="J258" s="164">
        <v>18</v>
      </c>
      <c r="K258" s="164">
        <v>25</v>
      </c>
      <c r="L258" s="164">
        <v>18</v>
      </c>
      <c r="M258" s="164">
        <v>18</v>
      </c>
      <c r="N258" s="164">
        <v>55</v>
      </c>
    </row>
    <row r="259" spans="1:15">
      <c r="A259" s="163" t="s">
        <v>1296</v>
      </c>
      <c r="B259" s="163" t="s">
        <v>874</v>
      </c>
      <c r="C259" s="163" t="s">
        <v>1297</v>
      </c>
      <c r="D259" s="163" t="s">
        <v>1267</v>
      </c>
      <c r="E259" s="163" t="s">
        <v>3524</v>
      </c>
      <c r="F259" s="163" t="s">
        <v>1299</v>
      </c>
      <c r="G259" s="163" t="s">
        <v>1298</v>
      </c>
      <c r="H259" s="163" t="s">
        <v>1300</v>
      </c>
      <c r="I259" s="164">
        <v>25</v>
      </c>
      <c r="J259" s="164">
        <v>25</v>
      </c>
      <c r="K259" s="164">
        <v>25</v>
      </c>
      <c r="L259" s="164">
        <v>25</v>
      </c>
      <c r="M259" s="164">
        <v>25</v>
      </c>
      <c r="N259" s="164">
        <v>55</v>
      </c>
      <c r="O259" s="163" t="s">
        <v>4309</v>
      </c>
    </row>
    <row r="260" spans="1:15">
      <c r="A260" s="163" t="s">
        <v>999</v>
      </c>
      <c r="B260" s="163" t="s">
        <v>2213</v>
      </c>
      <c r="C260" s="163" t="s">
        <v>1000</v>
      </c>
      <c r="D260" s="163" t="s">
        <v>2221</v>
      </c>
      <c r="E260" s="163" t="s">
        <v>3511</v>
      </c>
      <c r="F260" s="163" t="s">
        <v>908</v>
      </c>
      <c r="G260" s="163" t="s">
        <v>1001</v>
      </c>
      <c r="H260" s="163" t="s">
        <v>3919</v>
      </c>
      <c r="I260" s="164">
        <v>18</v>
      </c>
      <c r="J260" s="164">
        <v>18</v>
      </c>
      <c r="K260" s="164">
        <v>18</v>
      </c>
      <c r="L260" s="164">
        <v>18</v>
      </c>
      <c r="M260" s="164">
        <v>18</v>
      </c>
      <c r="N260" s="164">
        <v>55</v>
      </c>
    </row>
    <row r="261" spans="1:15">
      <c r="A261" s="163" t="s">
        <v>1002</v>
      </c>
      <c r="B261" s="163" t="s">
        <v>2213</v>
      </c>
      <c r="C261" s="163" t="s">
        <v>1003</v>
      </c>
      <c r="D261" s="163" t="s">
        <v>1086</v>
      </c>
      <c r="E261" s="163" t="s">
        <v>3511</v>
      </c>
      <c r="F261" s="163" t="s">
        <v>1005</v>
      </c>
      <c r="G261" s="163" t="s">
        <v>1004</v>
      </c>
      <c r="H261" s="163" t="s">
        <v>3920</v>
      </c>
      <c r="I261" s="164">
        <v>25</v>
      </c>
      <c r="J261" s="164">
        <v>25</v>
      </c>
      <c r="K261" s="164">
        <v>25</v>
      </c>
      <c r="L261" s="164">
        <v>25</v>
      </c>
      <c r="M261" s="164">
        <v>25</v>
      </c>
      <c r="N261" s="164">
        <v>55</v>
      </c>
      <c r="O261" s="163" t="s">
        <v>4377</v>
      </c>
    </row>
    <row r="262" spans="1:15">
      <c r="A262" s="163" t="s">
        <v>1006</v>
      </c>
      <c r="B262" s="163" t="s">
        <v>2213</v>
      </c>
      <c r="C262" s="163" t="s">
        <v>1007</v>
      </c>
      <c r="D262" s="163" t="s">
        <v>2221</v>
      </c>
      <c r="E262" s="163" t="s">
        <v>3511</v>
      </c>
      <c r="F262" s="163" t="s">
        <v>908</v>
      </c>
      <c r="G262" s="163" t="s">
        <v>1008</v>
      </c>
      <c r="H262" s="163" t="s">
        <v>3921</v>
      </c>
      <c r="I262" s="164">
        <v>18</v>
      </c>
      <c r="J262" s="164">
        <v>18</v>
      </c>
      <c r="K262" s="164">
        <v>18</v>
      </c>
      <c r="L262" s="164">
        <v>18</v>
      </c>
      <c r="M262" s="164">
        <v>18</v>
      </c>
      <c r="N262" s="164">
        <v>55</v>
      </c>
    </row>
    <row r="263" spans="1:15">
      <c r="A263" s="163" t="s">
        <v>1128</v>
      </c>
      <c r="B263" s="163" t="s">
        <v>2213</v>
      </c>
      <c r="C263" s="163" t="s">
        <v>1129</v>
      </c>
      <c r="D263" s="163" t="s">
        <v>1086</v>
      </c>
      <c r="E263" s="163" t="s">
        <v>3511</v>
      </c>
      <c r="F263" s="163" t="s">
        <v>1086</v>
      </c>
      <c r="G263" s="163" t="s">
        <v>1130</v>
      </c>
      <c r="H263" s="163" t="s">
        <v>3922</v>
      </c>
      <c r="I263" s="164">
        <v>25</v>
      </c>
      <c r="J263" s="164">
        <v>25</v>
      </c>
      <c r="K263" s="164">
        <v>25</v>
      </c>
      <c r="L263" s="164">
        <v>25</v>
      </c>
      <c r="M263" s="164">
        <v>25</v>
      </c>
      <c r="N263" s="164">
        <v>55</v>
      </c>
      <c r="O263" s="163" t="s">
        <v>4325</v>
      </c>
    </row>
    <row r="264" spans="1:15">
      <c r="A264" s="163" t="s">
        <v>1009</v>
      </c>
      <c r="B264" s="163" t="s">
        <v>2063</v>
      </c>
      <c r="C264" s="163" t="s">
        <v>1010</v>
      </c>
      <c r="D264" s="163" t="s">
        <v>868</v>
      </c>
      <c r="E264" s="163" t="s">
        <v>3511</v>
      </c>
      <c r="F264" s="163" t="s">
        <v>1012</v>
      </c>
      <c r="G264" s="163" t="s">
        <v>1011</v>
      </c>
      <c r="H264" s="163" t="s">
        <v>3923</v>
      </c>
      <c r="I264" s="164">
        <v>25</v>
      </c>
      <c r="J264" s="164">
        <v>25</v>
      </c>
      <c r="K264" s="164">
        <v>25</v>
      </c>
      <c r="L264" s="164">
        <v>25</v>
      </c>
      <c r="M264" s="164">
        <v>25</v>
      </c>
      <c r="N264" s="164">
        <v>55</v>
      </c>
      <c r="O264" s="163" t="s">
        <v>4323</v>
      </c>
    </row>
    <row r="265" spans="1:15">
      <c r="A265" s="163" t="s">
        <v>1443</v>
      </c>
      <c r="B265" s="163" t="s">
        <v>874</v>
      </c>
      <c r="C265" s="163" t="s">
        <v>1444</v>
      </c>
      <c r="D265" s="163" t="s">
        <v>1409</v>
      </c>
      <c r="E265" s="163" t="s">
        <v>3516</v>
      </c>
      <c r="F265" s="163" t="s">
        <v>1409</v>
      </c>
      <c r="G265" s="163" t="s">
        <v>1445</v>
      </c>
      <c r="H265" s="163" t="s">
        <v>3924</v>
      </c>
      <c r="I265" s="164">
        <v>25</v>
      </c>
      <c r="J265" s="164">
        <v>18</v>
      </c>
      <c r="K265" s="164">
        <v>25</v>
      </c>
      <c r="L265" s="164">
        <v>18</v>
      </c>
      <c r="M265" s="164">
        <v>25</v>
      </c>
      <c r="N265" s="164">
        <v>50</v>
      </c>
      <c r="O265" s="163" t="s">
        <v>4319</v>
      </c>
    </row>
    <row r="266" spans="1:15">
      <c r="A266" s="163" t="s">
        <v>1013</v>
      </c>
      <c r="B266" s="163" t="s">
        <v>865</v>
      </c>
      <c r="C266" s="163" t="s">
        <v>1014</v>
      </c>
      <c r="D266" s="163" t="s">
        <v>864</v>
      </c>
      <c r="E266" s="163" t="s">
        <v>3511</v>
      </c>
      <c r="F266" s="163" t="s">
        <v>868</v>
      </c>
      <c r="G266" s="163" t="s">
        <v>1015</v>
      </c>
      <c r="H266" s="163" t="s">
        <v>3925</v>
      </c>
      <c r="I266" s="164" t="s">
        <v>2796</v>
      </c>
      <c r="J266" s="164">
        <v>18</v>
      </c>
      <c r="K266" s="164" t="s">
        <v>2796</v>
      </c>
      <c r="L266" s="164">
        <v>18</v>
      </c>
      <c r="M266" s="164">
        <v>18</v>
      </c>
      <c r="N266" s="164">
        <v>55</v>
      </c>
    </row>
    <row r="267" spans="1:15">
      <c r="A267" s="163" t="s">
        <v>1019</v>
      </c>
      <c r="B267" s="163" t="s">
        <v>2213</v>
      </c>
      <c r="C267" s="163" t="s">
        <v>1020</v>
      </c>
      <c r="D267" s="163" t="s">
        <v>2221</v>
      </c>
      <c r="E267" s="163" t="s">
        <v>3511</v>
      </c>
      <c r="F267" s="163" t="s">
        <v>901</v>
      </c>
      <c r="G267" s="163" t="s">
        <v>1021</v>
      </c>
      <c r="H267" s="163" t="s">
        <v>3926</v>
      </c>
      <c r="I267" s="164">
        <v>18</v>
      </c>
      <c r="J267" s="164">
        <v>18</v>
      </c>
      <c r="K267" s="164">
        <v>18</v>
      </c>
      <c r="L267" s="164">
        <v>18</v>
      </c>
      <c r="M267" s="164">
        <v>18</v>
      </c>
      <c r="N267" s="164">
        <v>55</v>
      </c>
    </row>
    <row r="268" spans="1:15">
      <c r="A268" s="163" t="s">
        <v>1648</v>
      </c>
      <c r="B268" s="163" t="s">
        <v>2057</v>
      </c>
      <c r="C268" s="163" t="s">
        <v>1649</v>
      </c>
      <c r="D268" s="163" t="s">
        <v>1608</v>
      </c>
      <c r="E268" s="163" t="s">
        <v>863</v>
      </c>
      <c r="F268" s="163" t="s">
        <v>863</v>
      </c>
      <c r="G268" s="163" t="s">
        <v>1650</v>
      </c>
      <c r="H268" s="163" t="s">
        <v>3927</v>
      </c>
      <c r="I268" s="164">
        <v>25</v>
      </c>
      <c r="J268" s="164">
        <v>18</v>
      </c>
      <c r="K268" s="164">
        <v>25</v>
      </c>
      <c r="L268" s="164">
        <v>25</v>
      </c>
      <c r="M268" s="164">
        <v>25</v>
      </c>
      <c r="N268" s="164">
        <v>55</v>
      </c>
      <c r="O268" s="163" t="s">
        <v>4320</v>
      </c>
    </row>
    <row r="269" spans="1:15">
      <c r="A269" s="163" t="s">
        <v>1022</v>
      </c>
      <c r="B269" s="163" t="s">
        <v>2213</v>
      </c>
      <c r="C269" s="163" t="s">
        <v>1023</v>
      </c>
      <c r="D269" s="163" t="s">
        <v>1086</v>
      </c>
      <c r="E269" s="163" t="s">
        <v>3511</v>
      </c>
      <c r="F269" s="163" t="s">
        <v>1025</v>
      </c>
      <c r="G269" s="163" t="s">
        <v>1024</v>
      </c>
      <c r="H269" s="163" t="s">
        <v>3928</v>
      </c>
      <c r="I269" s="164">
        <v>25</v>
      </c>
      <c r="J269" s="164">
        <v>25</v>
      </c>
      <c r="K269" s="164">
        <v>25</v>
      </c>
      <c r="L269" s="164">
        <v>25</v>
      </c>
      <c r="M269" s="164">
        <v>25</v>
      </c>
      <c r="N269" s="164">
        <v>55</v>
      </c>
      <c r="O269" s="163" t="s">
        <v>4378</v>
      </c>
    </row>
    <row r="270" spans="1:15">
      <c r="A270" s="163" t="s">
        <v>1026</v>
      </c>
      <c r="B270" s="163" t="s">
        <v>2213</v>
      </c>
      <c r="C270" s="163" t="s">
        <v>1027</v>
      </c>
      <c r="D270" s="163" t="s">
        <v>2422</v>
      </c>
      <c r="E270" s="163" t="s">
        <v>3515</v>
      </c>
      <c r="F270" s="163" t="s">
        <v>1029</v>
      </c>
      <c r="G270" s="163" t="s">
        <v>1028</v>
      </c>
      <c r="H270" s="163" t="s">
        <v>3929</v>
      </c>
      <c r="I270" s="164">
        <v>25</v>
      </c>
      <c r="J270" s="164">
        <v>25</v>
      </c>
      <c r="K270" s="164">
        <v>25</v>
      </c>
      <c r="L270" s="164">
        <v>25</v>
      </c>
      <c r="M270" s="164">
        <v>25</v>
      </c>
      <c r="N270" s="164">
        <v>55</v>
      </c>
      <c r="O270" s="163" t="s">
        <v>4379</v>
      </c>
    </row>
    <row r="271" spans="1:15">
      <c r="A271" s="163" t="s">
        <v>1036</v>
      </c>
      <c r="B271" s="163" t="s">
        <v>865</v>
      </c>
      <c r="C271" s="163" t="s">
        <v>1037</v>
      </c>
      <c r="D271" s="163" t="s">
        <v>864</v>
      </c>
      <c r="E271" s="163" t="s">
        <v>3511</v>
      </c>
      <c r="F271" s="163" t="s">
        <v>868</v>
      </c>
      <c r="G271" s="163" t="s">
        <v>1038</v>
      </c>
      <c r="H271" s="163" t="s">
        <v>3930</v>
      </c>
      <c r="I271" s="164">
        <v>25</v>
      </c>
      <c r="J271" s="164">
        <v>25</v>
      </c>
      <c r="K271" s="164">
        <v>25</v>
      </c>
      <c r="L271" s="164">
        <v>25</v>
      </c>
      <c r="M271" s="164" t="s">
        <v>2796</v>
      </c>
      <c r="N271" s="164">
        <v>55</v>
      </c>
    </row>
    <row r="272" spans="1:15">
      <c r="A272" s="163" t="s">
        <v>1793</v>
      </c>
      <c r="B272" s="163" t="s">
        <v>2063</v>
      </c>
      <c r="C272" s="163" t="s">
        <v>1794</v>
      </c>
      <c r="D272" s="163" t="s">
        <v>868</v>
      </c>
      <c r="E272" s="163" t="s">
        <v>3511</v>
      </c>
      <c r="F272" s="163" t="s">
        <v>868</v>
      </c>
      <c r="G272" s="163" t="s">
        <v>1795</v>
      </c>
      <c r="H272" s="163" t="s">
        <v>3931</v>
      </c>
      <c r="I272" s="164">
        <v>25</v>
      </c>
      <c r="J272" s="164">
        <v>25</v>
      </c>
      <c r="K272" s="164">
        <v>25</v>
      </c>
      <c r="L272" s="164">
        <v>25</v>
      </c>
      <c r="M272" s="164">
        <v>25</v>
      </c>
      <c r="N272" s="164">
        <v>55</v>
      </c>
      <c r="O272" s="163" t="s">
        <v>4323</v>
      </c>
    </row>
    <row r="273" spans="1:15">
      <c r="A273" s="163" t="s">
        <v>1039</v>
      </c>
      <c r="B273" s="163" t="s">
        <v>2213</v>
      </c>
      <c r="C273" s="163" t="s">
        <v>1040</v>
      </c>
      <c r="D273" s="163" t="s">
        <v>868</v>
      </c>
      <c r="E273" s="163" t="s">
        <v>3511</v>
      </c>
      <c r="F273" s="163" t="s">
        <v>868</v>
      </c>
      <c r="G273" s="163" t="s">
        <v>1041</v>
      </c>
      <c r="H273" s="163" t="s">
        <v>3932</v>
      </c>
      <c r="I273" s="164">
        <v>25</v>
      </c>
      <c r="J273" s="164">
        <v>25</v>
      </c>
      <c r="K273" s="164">
        <v>25</v>
      </c>
      <c r="L273" s="164">
        <v>25</v>
      </c>
      <c r="M273" s="164">
        <v>25</v>
      </c>
      <c r="N273" s="164">
        <v>55</v>
      </c>
      <c r="O273" s="163" t="s">
        <v>4323</v>
      </c>
    </row>
    <row r="274" spans="1:15">
      <c r="A274" s="163" t="s">
        <v>1404</v>
      </c>
      <c r="B274" s="163" t="s">
        <v>2213</v>
      </c>
      <c r="C274" s="163" t="s">
        <v>1405</v>
      </c>
      <c r="D274" s="163" t="s">
        <v>953</v>
      </c>
      <c r="E274" s="163" t="s">
        <v>3511</v>
      </c>
      <c r="F274" s="163" t="s">
        <v>1206</v>
      </c>
      <c r="G274" s="163" t="s">
        <v>1406</v>
      </c>
      <c r="H274" s="163" t="s">
        <v>3933</v>
      </c>
      <c r="I274" s="164">
        <v>25</v>
      </c>
      <c r="J274" s="164">
        <v>25</v>
      </c>
      <c r="K274" s="164">
        <v>25</v>
      </c>
      <c r="L274" s="164">
        <v>25</v>
      </c>
      <c r="M274" s="164">
        <v>25</v>
      </c>
      <c r="N274" s="164">
        <v>55</v>
      </c>
      <c r="O274" s="163" t="s">
        <v>4380</v>
      </c>
    </row>
    <row r="275" spans="1:15">
      <c r="A275" s="163" t="s">
        <v>1796</v>
      </c>
      <c r="B275" s="163" t="s">
        <v>2063</v>
      </c>
      <c r="C275" s="163" t="s">
        <v>1797</v>
      </c>
      <c r="D275" s="163" t="s">
        <v>868</v>
      </c>
      <c r="E275" s="163" t="s">
        <v>3511</v>
      </c>
      <c r="F275" s="163" t="s">
        <v>868</v>
      </c>
      <c r="G275" s="163" t="s">
        <v>1798</v>
      </c>
      <c r="H275" s="163" t="s">
        <v>3934</v>
      </c>
      <c r="I275" s="164">
        <v>25</v>
      </c>
      <c r="J275" s="164">
        <v>25</v>
      </c>
      <c r="K275" s="164">
        <v>25</v>
      </c>
      <c r="L275" s="164">
        <v>25</v>
      </c>
      <c r="M275" s="164">
        <v>25</v>
      </c>
      <c r="N275" s="164">
        <v>55</v>
      </c>
      <c r="O275" s="163" t="s">
        <v>4323</v>
      </c>
    </row>
    <row r="276" spans="1:15">
      <c r="A276" s="163" t="s">
        <v>1799</v>
      </c>
      <c r="B276" s="163" t="s">
        <v>2063</v>
      </c>
      <c r="C276" s="163" t="s">
        <v>1800</v>
      </c>
      <c r="D276" s="163" t="s">
        <v>868</v>
      </c>
      <c r="E276" s="163" t="s">
        <v>3511</v>
      </c>
      <c r="F276" s="163" t="s">
        <v>868</v>
      </c>
      <c r="G276" s="163" t="s">
        <v>1801</v>
      </c>
      <c r="H276" s="163" t="s">
        <v>3935</v>
      </c>
      <c r="I276" s="164">
        <v>25</v>
      </c>
      <c r="J276" s="164">
        <v>25</v>
      </c>
      <c r="K276" s="164">
        <v>25</v>
      </c>
      <c r="L276" s="164">
        <v>25</v>
      </c>
      <c r="M276" s="164">
        <v>25</v>
      </c>
      <c r="N276" s="164">
        <v>55</v>
      </c>
      <c r="O276" s="163" t="s">
        <v>4323</v>
      </c>
    </row>
    <row r="277" spans="1:15">
      <c r="A277" s="163" t="s">
        <v>1042</v>
      </c>
      <c r="B277" s="163" t="s">
        <v>865</v>
      </c>
      <c r="C277" s="163" t="s">
        <v>1043</v>
      </c>
      <c r="D277" s="163" t="s">
        <v>864</v>
      </c>
      <c r="E277" s="163" t="s">
        <v>3511</v>
      </c>
      <c r="F277" s="163" t="s">
        <v>868</v>
      </c>
      <c r="G277" s="163" t="s">
        <v>1044</v>
      </c>
      <c r="N277" s="164">
        <v>55</v>
      </c>
    </row>
    <row r="278" spans="1:15">
      <c r="A278" s="163" t="s">
        <v>1401</v>
      </c>
      <c r="B278" s="163" t="s">
        <v>2213</v>
      </c>
      <c r="C278" s="163" t="s">
        <v>1402</v>
      </c>
      <c r="D278" s="163" t="s">
        <v>1086</v>
      </c>
      <c r="E278" s="163" t="s">
        <v>3517</v>
      </c>
      <c r="F278" s="163" t="s">
        <v>1400</v>
      </c>
      <c r="G278" s="163" t="s">
        <v>1403</v>
      </c>
      <c r="H278" s="163" t="s">
        <v>3936</v>
      </c>
      <c r="I278" s="164">
        <v>25</v>
      </c>
      <c r="J278" s="164">
        <v>25</v>
      </c>
      <c r="K278" s="164">
        <v>25</v>
      </c>
      <c r="L278" s="164">
        <v>25</v>
      </c>
      <c r="M278" s="164">
        <v>25</v>
      </c>
      <c r="N278" s="164">
        <v>55</v>
      </c>
      <c r="O278" s="163" t="s">
        <v>4313</v>
      </c>
    </row>
    <row r="279" spans="1:15">
      <c r="A279" s="163" t="s">
        <v>2270</v>
      </c>
      <c r="B279" s="163" t="s">
        <v>2057</v>
      </c>
      <c r="C279" s="163" t="s">
        <v>2271</v>
      </c>
      <c r="D279" s="163" t="s">
        <v>1608</v>
      </c>
      <c r="E279" s="163" t="s">
        <v>3533</v>
      </c>
      <c r="F279" s="163" t="s">
        <v>1700</v>
      </c>
      <c r="G279" s="163" t="s">
        <v>2272</v>
      </c>
      <c r="H279" s="163" t="s">
        <v>3937</v>
      </c>
      <c r="I279" s="164">
        <v>18</v>
      </c>
      <c r="J279" s="164">
        <v>18</v>
      </c>
      <c r="K279" s="164">
        <v>18</v>
      </c>
      <c r="L279" s="164">
        <v>18</v>
      </c>
      <c r="M279" s="164">
        <v>18</v>
      </c>
      <c r="N279" s="164">
        <v>55</v>
      </c>
      <c r="O279" s="163" t="s">
        <v>4320</v>
      </c>
    </row>
    <row r="280" spans="1:15">
      <c r="A280" s="163" t="s">
        <v>1651</v>
      </c>
      <c r="B280" s="163" t="s">
        <v>2057</v>
      </c>
      <c r="C280" s="163" t="s">
        <v>1652</v>
      </c>
      <c r="D280" s="163" t="s">
        <v>1608</v>
      </c>
      <c r="E280" s="163" t="s">
        <v>863</v>
      </c>
      <c r="F280" s="163" t="s">
        <v>1647</v>
      </c>
      <c r="G280" s="163" t="s">
        <v>1646</v>
      </c>
      <c r="H280" s="163" t="s">
        <v>3938</v>
      </c>
      <c r="I280" s="164">
        <v>25</v>
      </c>
      <c r="J280" s="164">
        <v>18</v>
      </c>
      <c r="K280" s="164">
        <v>25</v>
      </c>
      <c r="L280" s="164">
        <v>18</v>
      </c>
      <c r="M280" s="164">
        <v>25</v>
      </c>
      <c r="N280" s="164">
        <v>60</v>
      </c>
    </row>
    <row r="281" spans="1:15">
      <c r="A281" s="163" t="s">
        <v>1450</v>
      </c>
      <c r="B281" s="163" t="s">
        <v>874</v>
      </c>
      <c r="C281" s="163" t="s">
        <v>1451</v>
      </c>
      <c r="D281" s="163" t="s">
        <v>1409</v>
      </c>
      <c r="E281" s="163" t="s">
        <v>3514</v>
      </c>
      <c r="F281" s="163" t="s">
        <v>1449</v>
      </c>
      <c r="G281" s="163" t="s">
        <v>1452</v>
      </c>
      <c r="H281" s="163" t="s">
        <v>3939</v>
      </c>
      <c r="I281" s="164">
        <v>25</v>
      </c>
      <c r="J281" s="164">
        <v>25</v>
      </c>
      <c r="K281" s="164">
        <v>25</v>
      </c>
      <c r="L281" s="164">
        <v>25</v>
      </c>
      <c r="M281" s="164">
        <v>25</v>
      </c>
      <c r="N281" s="164">
        <v>55</v>
      </c>
      <c r="O281" s="163" t="s">
        <v>4338</v>
      </c>
    </row>
    <row r="282" spans="1:15">
      <c r="A282" s="163" t="s">
        <v>1257</v>
      </c>
      <c r="B282" s="163" t="s">
        <v>2213</v>
      </c>
      <c r="C282" s="163" t="s">
        <v>1258</v>
      </c>
      <c r="D282" s="163" t="s">
        <v>953</v>
      </c>
      <c r="E282" s="163" t="s">
        <v>3511</v>
      </c>
      <c r="F282" s="163" t="s">
        <v>1256</v>
      </c>
      <c r="G282" s="163" t="s">
        <v>1255</v>
      </c>
      <c r="H282" s="163" t="s">
        <v>3940</v>
      </c>
      <c r="I282" s="164">
        <v>25</v>
      </c>
      <c r="J282" s="164">
        <v>25</v>
      </c>
      <c r="K282" s="164">
        <v>25</v>
      </c>
      <c r="L282" s="164">
        <v>25</v>
      </c>
      <c r="M282" s="164">
        <v>25</v>
      </c>
      <c r="N282" s="164">
        <v>55</v>
      </c>
      <c r="O282" s="163" t="s">
        <v>4381</v>
      </c>
    </row>
    <row r="283" spans="1:15">
      <c r="A283" s="163" t="s">
        <v>1364</v>
      </c>
      <c r="B283" s="163" t="s">
        <v>3382</v>
      </c>
      <c r="C283" s="163" t="s">
        <v>1365</v>
      </c>
      <c r="D283" s="163" t="s">
        <v>1306</v>
      </c>
      <c r="E283" s="163" t="s">
        <v>3525</v>
      </c>
      <c r="F283" s="163" t="s">
        <v>1367</v>
      </c>
      <c r="G283" s="163" t="s">
        <v>1366</v>
      </c>
      <c r="H283" s="163" t="s">
        <v>3941</v>
      </c>
      <c r="I283" s="164">
        <v>18</v>
      </c>
      <c r="J283" s="164">
        <v>18</v>
      </c>
      <c r="K283" s="164">
        <v>18</v>
      </c>
      <c r="L283" s="164">
        <v>9</v>
      </c>
      <c r="M283" s="164">
        <v>18</v>
      </c>
      <c r="N283" s="164">
        <v>50</v>
      </c>
      <c r="O283" s="163" t="s">
        <v>4367</v>
      </c>
    </row>
    <row r="284" spans="1:15">
      <c r="A284" s="163" t="s">
        <v>2000</v>
      </c>
      <c r="B284" s="163" t="s">
        <v>865</v>
      </c>
      <c r="C284" s="163" t="s">
        <v>2001</v>
      </c>
      <c r="D284" s="163" t="s">
        <v>864</v>
      </c>
      <c r="E284" s="163" t="s">
        <v>3511</v>
      </c>
      <c r="F284" s="163" t="s">
        <v>868</v>
      </c>
      <c r="G284" s="163" t="s">
        <v>966</v>
      </c>
      <c r="H284" s="163" t="s">
        <v>3942</v>
      </c>
      <c r="I284" s="164">
        <v>9</v>
      </c>
      <c r="J284" s="164">
        <v>9</v>
      </c>
      <c r="K284" s="164">
        <v>9</v>
      </c>
      <c r="L284" s="164">
        <v>0</v>
      </c>
      <c r="M284" s="164">
        <v>9</v>
      </c>
      <c r="N284" s="164">
        <v>50</v>
      </c>
    </row>
    <row r="285" spans="1:15">
      <c r="A285" s="163" t="s">
        <v>2002</v>
      </c>
      <c r="B285" s="163" t="s">
        <v>2063</v>
      </c>
      <c r="C285" s="163" t="s">
        <v>2003</v>
      </c>
      <c r="D285" s="163" t="s">
        <v>868</v>
      </c>
      <c r="E285" s="163" t="s">
        <v>3511</v>
      </c>
      <c r="F285" s="163" t="s">
        <v>868</v>
      </c>
      <c r="G285" s="163" t="s">
        <v>879</v>
      </c>
      <c r="H285" s="163" t="s">
        <v>3943</v>
      </c>
      <c r="I285" s="164">
        <v>25</v>
      </c>
      <c r="J285" s="164">
        <v>18</v>
      </c>
      <c r="K285" s="164">
        <v>25</v>
      </c>
      <c r="L285" s="164">
        <v>18</v>
      </c>
      <c r="M285" s="164">
        <v>25</v>
      </c>
      <c r="N285" s="164">
        <v>55</v>
      </c>
      <c r="O285" s="163" t="s">
        <v>4323</v>
      </c>
    </row>
    <row r="286" spans="1:15">
      <c r="A286" s="163" t="s">
        <v>2007</v>
      </c>
      <c r="B286" s="163" t="s">
        <v>2213</v>
      </c>
      <c r="C286" s="163" t="s">
        <v>2008</v>
      </c>
      <c r="D286" s="163" t="s">
        <v>953</v>
      </c>
      <c r="E286" s="163" t="s">
        <v>3511</v>
      </c>
      <c r="F286" s="163" t="s">
        <v>2010</v>
      </c>
      <c r="G286" s="163" t="s">
        <v>2009</v>
      </c>
      <c r="H286" s="163" t="s">
        <v>3944</v>
      </c>
      <c r="I286" s="164">
        <v>25</v>
      </c>
      <c r="J286" s="164">
        <v>25</v>
      </c>
      <c r="K286" s="164">
        <v>25</v>
      </c>
      <c r="L286" s="164">
        <v>25</v>
      </c>
      <c r="M286" s="164">
        <v>25</v>
      </c>
      <c r="N286" s="164">
        <v>55</v>
      </c>
    </row>
    <row r="287" spans="1:15">
      <c r="A287" s="163" t="s">
        <v>2033</v>
      </c>
      <c r="B287" s="163" t="s">
        <v>865</v>
      </c>
      <c r="C287" s="163" t="s">
        <v>2034</v>
      </c>
      <c r="D287" s="163" t="s">
        <v>864</v>
      </c>
      <c r="E287" s="163" t="s">
        <v>3511</v>
      </c>
      <c r="F287" s="163" t="s">
        <v>2036</v>
      </c>
      <c r="G287" s="163" t="s">
        <v>2035</v>
      </c>
      <c r="H287" s="163" t="s">
        <v>3945</v>
      </c>
      <c r="I287" s="164" t="s">
        <v>2796</v>
      </c>
      <c r="J287" s="164" t="s">
        <v>2796</v>
      </c>
      <c r="K287" s="164" t="s">
        <v>2796</v>
      </c>
      <c r="L287" s="164" t="s">
        <v>2796</v>
      </c>
      <c r="M287" s="164" t="s">
        <v>2796</v>
      </c>
      <c r="N287" s="164">
        <v>50</v>
      </c>
    </row>
    <row r="288" spans="1:15">
      <c r="A288" s="163" t="s">
        <v>2004</v>
      </c>
      <c r="B288" s="163" t="s">
        <v>2213</v>
      </c>
      <c r="C288" s="163" t="s">
        <v>2005</v>
      </c>
      <c r="D288" s="163" t="s">
        <v>1147</v>
      </c>
      <c r="E288" s="163" t="s">
        <v>3511</v>
      </c>
      <c r="F288" s="163" t="s">
        <v>1168</v>
      </c>
      <c r="G288" s="163" t="s">
        <v>2006</v>
      </c>
      <c r="H288" s="163" t="s">
        <v>3946</v>
      </c>
      <c r="I288" s="164">
        <v>25</v>
      </c>
      <c r="J288" s="164">
        <v>25</v>
      </c>
      <c r="K288" s="164">
        <v>25</v>
      </c>
      <c r="L288" s="164">
        <v>25</v>
      </c>
      <c r="M288" s="164">
        <v>25</v>
      </c>
      <c r="N288" s="164">
        <v>55</v>
      </c>
      <c r="O288" s="163" t="s">
        <v>4382</v>
      </c>
    </row>
    <row r="289" spans="1:15">
      <c r="A289" s="163" t="s">
        <v>1987</v>
      </c>
      <c r="B289" s="163" t="s">
        <v>874</v>
      </c>
      <c r="C289" s="163" t="s">
        <v>1988</v>
      </c>
      <c r="D289" s="163" t="s">
        <v>1409</v>
      </c>
      <c r="E289" s="163" t="s">
        <v>3516</v>
      </c>
      <c r="F289" s="163" t="s">
        <v>1413</v>
      </c>
      <c r="G289" s="163" t="s">
        <v>1989</v>
      </c>
      <c r="H289" s="163" t="s">
        <v>3947</v>
      </c>
      <c r="I289" s="164">
        <v>25</v>
      </c>
      <c r="J289" s="164">
        <v>25</v>
      </c>
      <c r="K289" s="164">
        <v>25</v>
      </c>
      <c r="L289" s="164">
        <v>18</v>
      </c>
      <c r="M289" s="164">
        <v>25</v>
      </c>
      <c r="N289" s="164">
        <v>60</v>
      </c>
      <c r="O289" s="163" t="s">
        <v>4322</v>
      </c>
    </row>
    <row r="290" spans="1:15">
      <c r="A290" s="163" t="s">
        <v>2017</v>
      </c>
      <c r="B290" s="163" t="s">
        <v>2057</v>
      </c>
      <c r="C290" s="163" t="s">
        <v>2018</v>
      </c>
      <c r="D290" s="163" t="s">
        <v>1608</v>
      </c>
      <c r="E290" s="163" t="s">
        <v>863</v>
      </c>
      <c r="F290" s="163" t="s">
        <v>1610</v>
      </c>
      <c r="G290" s="163" t="s">
        <v>1609</v>
      </c>
      <c r="H290" s="163" t="s">
        <v>3948</v>
      </c>
      <c r="I290" s="164">
        <v>18</v>
      </c>
      <c r="J290" s="164">
        <v>18</v>
      </c>
      <c r="K290" s="164">
        <v>18</v>
      </c>
      <c r="L290" s="164">
        <v>18</v>
      </c>
      <c r="M290" s="164">
        <v>18</v>
      </c>
      <c r="N290" s="164">
        <v>50</v>
      </c>
    </row>
    <row r="291" spans="1:15">
      <c r="A291" s="163" t="s">
        <v>1992</v>
      </c>
      <c r="B291" s="163" t="s">
        <v>2213</v>
      </c>
      <c r="C291" s="163" t="s">
        <v>2011</v>
      </c>
      <c r="D291" s="163" t="s">
        <v>953</v>
      </c>
      <c r="E291" s="163" t="s">
        <v>3511</v>
      </c>
      <c r="F291" s="163" t="s">
        <v>1256</v>
      </c>
      <c r="G291" s="163" t="s">
        <v>2012</v>
      </c>
      <c r="H291" s="163" t="s">
        <v>3940</v>
      </c>
      <c r="I291" s="164">
        <v>25</v>
      </c>
      <c r="J291" s="164">
        <v>25</v>
      </c>
      <c r="K291" s="164">
        <v>25</v>
      </c>
      <c r="L291" s="164">
        <v>25</v>
      </c>
      <c r="M291" s="164">
        <v>25</v>
      </c>
      <c r="N291" s="164">
        <v>55</v>
      </c>
      <c r="O291" s="163" t="s">
        <v>4381</v>
      </c>
    </row>
    <row r="292" spans="1:15">
      <c r="A292" s="163" t="s">
        <v>2013</v>
      </c>
      <c r="B292" s="163" t="s">
        <v>874</v>
      </c>
      <c r="C292" s="163" t="s">
        <v>2014</v>
      </c>
      <c r="D292" s="163" t="s">
        <v>1306</v>
      </c>
      <c r="E292" s="163" t="s">
        <v>3525</v>
      </c>
      <c r="F292" s="163" t="s">
        <v>1318</v>
      </c>
      <c r="G292" s="163" t="s">
        <v>1322</v>
      </c>
      <c r="H292" s="163" t="s">
        <v>3949</v>
      </c>
      <c r="I292" s="164">
        <v>25</v>
      </c>
      <c r="J292" s="164">
        <v>25</v>
      </c>
      <c r="K292" s="164">
        <v>25</v>
      </c>
      <c r="L292" s="164">
        <v>25</v>
      </c>
      <c r="M292" s="164">
        <v>25</v>
      </c>
      <c r="N292" s="164">
        <v>55</v>
      </c>
      <c r="O292" s="163" t="s">
        <v>4309</v>
      </c>
    </row>
    <row r="293" spans="1:15">
      <c r="A293" s="163" t="s">
        <v>2019</v>
      </c>
      <c r="B293" s="163" t="s">
        <v>2057</v>
      </c>
      <c r="C293" s="163" t="s">
        <v>2020</v>
      </c>
      <c r="D293" s="163" t="s">
        <v>1608</v>
      </c>
      <c r="E293" s="163" t="s">
        <v>863</v>
      </c>
      <c r="F293" s="163" t="s">
        <v>863</v>
      </c>
      <c r="G293" s="163" t="s">
        <v>1639</v>
      </c>
      <c r="H293" s="163" t="s">
        <v>3836</v>
      </c>
      <c r="I293" s="164">
        <v>25</v>
      </c>
      <c r="J293" s="164">
        <v>18</v>
      </c>
      <c r="K293" s="164">
        <v>25</v>
      </c>
      <c r="L293" s="164">
        <v>25</v>
      </c>
      <c r="M293" s="164">
        <v>25</v>
      </c>
      <c r="N293" s="164">
        <v>55</v>
      </c>
      <c r="O293" s="163" t="s">
        <v>4333</v>
      </c>
    </row>
    <row r="294" spans="1:15">
      <c r="A294" s="163" t="s">
        <v>2061</v>
      </c>
      <c r="B294" s="163" t="s">
        <v>2057</v>
      </c>
      <c r="C294" s="163" t="s">
        <v>2062</v>
      </c>
      <c r="D294" s="163" t="s">
        <v>1608</v>
      </c>
      <c r="E294" s="163" t="s">
        <v>863</v>
      </c>
      <c r="F294" s="163" t="s">
        <v>1647</v>
      </c>
      <c r="G294" s="163" t="s">
        <v>1646</v>
      </c>
      <c r="H294" s="163" t="s">
        <v>3938</v>
      </c>
      <c r="I294" s="164">
        <v>25</v>
      </c>
      <c r="J294" s="164">
        <v>18</v>
      </c>
      <c r="K294" s="164">
        <v>25</v>
      </c>
      <c r="L294" s="164">
        <v>18</v>
      </c>
      <c r="M294" s="164">
        <v>25</v>
      </c>
      <c r="N294" s="164">
        <v>60</v>
      </c>
      <c r="O294" s="163" t="s">
        <v>4316</v>
      </c>
    </row>
    <row r="295" spans="1:15">
      <c r="A295" s="163" t="s">
        <v>2037</v>
      </c>
      <c r="B295" s="163" t="s">
        <v>865</v>
      </c>
      <c r="C295" s="163" t="s">
        <v>2038</v>
      </c>
      <c r="D295" s="163" t="s">
        <v>864</v>
      </c>
      <c r="E295" s="163" t="s">
        <v>3511</v>
      </c>
      <c r="F295" s="163" t="s">
        <v>868</v>
      </c>
      <c r="G295" s="163" t="s">
        <v>3475</v>
      </c>
      <c r="H295" s="163" t="s">
        <v>3950</v>
      </c>
      <c r="I295" s="164">
        <v>25</v>
      </c>
      <c r="J295" s="164">
        <v>25</v>
      </c>
      <c r="K295" s="164">
        <v>25</v>
      </c>
      <c r="L295" s="164">
        <v>25</v>
      </c>
      <c r="M295" s="164">
        <v>25</v>
      </c>
      <c r="N295" s="164">
        <v>55</v>
      </c>
    </row>
    <row r="296" spans="1:15">
      <c r="A296" s="163" t="s">
        <v>2049</v>
      </c>
      <c r="B296" s="163" t="s">
        <v>2213</v>
      </c>
      <c r="C296" s="163" t="s">
        <v>2050</v>
      </c>
      <c r="D296" s="163" t="s">
        <v>953</v>
      </c>
      <c r="E296" s="163" t="s">
        <v>3511</v>
      </c>
      <c r="F296" s="163" t="s">
        <v>1238</v>
      </c>
      <c r="G296" s="163" t="s">
        <v>2051</v>
      </c>
      <c r="H296" s="163" t="s">
        <v>3951</v>
      </c>
      <c r="I296" s="164">
        <v>25</v>
      </c>
      <c r="J296" s="164">
        <v>25</v>
      </c>
      <c r="K296" s="164">
        <v>25</v>
      </c>
      <c r="L296" s="164">
        <v>25</v>
      </c>
      <c r="M296" s="164">
        <v>25</v>
      </c>
      <c r="N296" s="164">
        <v>55</v>
      </c>
      <c r="O296" s="163" t="s">
        <v>4350</v>
      </c>
    </row>
    <row r="297" spans="1:15">
      <c r="A297" s="163" t="s">
        <v>2039</v>
      </c>
      <c r="B297" s="163" t="s">
        <v>2213</v>
      </c>
      <c r="C297" s="163" t="s">
        <v>2040</v>
      </c>
      <c r="D297" s="163" t="s">
        <v>2221</v>
      </c>
      <c r="E297" s="163" t="s">
        <v>3511</v>
      </c>
      <c r="F297" s="163" t="s">
        <v>897</v>
      </c>
      <c r="G297" s="163" t="s">
        <v>928</v>
      </c>
      <c r="H297" s="163" t="s">
        <v>3952</v>
      </c>
      <c r="I297" s="164">
        <v>18</v>
      </c>
      <c r="J297" s="164">
        <v>18</v>
      </c>
      <c r="K297" s="164">
        <v>18</v>
      </c>
      <c r="L297" s="164">
        <v>18</v>
      </c>
      <c r="M297" s="164">
        <v>18</v>
      </c>
      <c r="N297" s="164">
        <v>55</v>
      </c>
      <c r="O297" s="163" t="s">
        <v>4316</v>
      </c>
    </row>
    <row r="298" spans="1:15">
      <c r="A298" s="163" t="s">
        <v>2021</v>
      </c>
      <c r="B298" s="163" t="s">
        <v>2063</v>
      </c>
      <c r="C298" s="163" t="s">
        <v>2041</v>
      </c>
      <c r="D298" s="163" t="s">
        <v>868</v>
      </c>
      <c r="E298" s="163" t="s">
        <v>3511</v>
      </c>
      <c r="F298" s="163" t="s">
        <v>868</v>
      </c>
      <c r="G298" s="163" t="s">
        <v>875</v>
      </c>
      <c r="H298" s="163" t="s">
        <v>3953</v>
      </c>
      <c r="I298" s="164">
        <v>25</v>
      </c>
      <c r="J298" s="164">
        <v>25</v>
      </c>
      <c r="K298" s="164">
        <v>25</v>
      </c>
      <c r="L298" s="164">
        <v>25</v>
      </c>
      <c r="M298" s="164">
        <v>25</v>
      </c>
      <c r="N298" s="164">
        <v>55</v>
      </c>
      <c r="O298" s="163" t="s">
        <v>4323</v>
      </c>
    </row>
    <row r="299" spans="1:15">
      <c r="A299" s="163" t="s">
        <v>2054</v>
      </c>
      <c r="B299" s="163" t="s">
        <v>3382</v>
      </c>
      <c r="C299" s="163" t="s">
        <v>2055</v>
      </c>
      <c r="D299" s="163" t="s">
        <v>1306</v>
      </c>
      <c r="E299" s="163" t="s">
        <v>3525</v>
      </c>
      <c r="F299" s="163" t="s">
        <v>1392</v>
      </c>
      <c r="G299" s="163" t="s">
        <v>2056</v>
      </c>
      <c r="H299" s="163" t="s">
        <v>3954</v>
      </c>
      <c r="I299" s="164">
        <v>18</v>
      </c>
      <c r="J299" s="164">
        <v>9</v>
      </c>
      <c r="K299" s="164">
        <v>18</v>
      </c>
      <c r="L299" s="164">
        <v>9</v>
      </c>
      <c r="M299" s="164">
        <v>18</v>
      </c>
      <c r="N299" s="164">
        <v>55</v>
      </c>
      <c r="O299" s="163" t="s">
        <v>4368</v>
      </c>
    </row>
    <row r="300" spans="1:15">
      <c r="A300" s="163" t="s">
        <v>2042</v>
      </c>
      <c r="B300" s="163" t="s">
        <v>865</v>
      </c>
      <c r="C300" s="163" t="s">
        <v>2043</v>
      </c>
      <c r="D300" s="163" t="s">
        <v>864</v>
      </c>
      <c r="E300" s="163" t="s">
        <v>3514</v>
      </c>
      <c r="F300" s="163" t="s">
        <v>4383</v>
      </c>
      <c r="G300" s="163" t="s">
        <v>4384</v>
      </c>
      <c r="H300" s="163" t="s">
        <v>3956</v>
      </c>
      <c r="I300" s="164">
        <v>25</v>
      </c>
      <c r="J300" s="164">
        <v>25</v>
      </c>
      <c r="K300" s="164">
        <v>25</v>
      </c>
      <c r="L300" s="164">
        <v>25</v>
      </c>
      <c r="M300" s="164">
        <v>25</v>
      </c>
      <c r="N300" s="164">
        <v>60</v>
      </c>
      <c r="O300" s="163" t="s">
        <v>4338</v>
      </c>
    </row>
    <row r="301" spans="1:15">
      <c r="A301" s="163" t="s">
        <v>2046</v>
      </c>
      <c r="B301" s="163" t="s">
        <v>2213</v>
      </c>
      <c r="C301" s="163" t="s">
        <v>2047</v>
      </c>
      <c r="D301" s="163" t="s">
        <v>1147</v>
      </c>
      <c r="E301" s="163" t="s">
        <v>3511</v>
      </c>
      <c r="F301" s="163" t="s">
        <v>1175</v>
      </c>
      <c r="G301" s="163" t="s">
        <v>2048</v>
      </c>
      <c r="H301" s="163" t="s">
        <v>3957</v>
      </c>
      <c r="I301" s="164">
        <v>18</v>
      </c>
      <c r="J301" s="164">
        <v>18</v>
      </c>
      <c r="K301" s="164">
        <v>18</v>
      </c>
      <c r="L301" s="164">
        <v>18</v>
      </c>
      <c r="M301" s="164">
        <v>18</v>
      </c>
      <c r="N301" s="164">
        <v>55</v>
      </c>
      <c r="O301" s="163" t="s">
        <v>4316</v>
      </c>
    </row>
    <row r="302" spans="1:15">
      <c r="A302" s="163" t="s">
        <v>2044</v>
      </c>
      <c r="B302" s="163" t="s">
        <v>2213</v>
      </c>
      <c r="C302" s="163" t="s">
        <v>2045</v>
      </c>
      <c r="D302" s="163" t="s">
        <v>1086</v>
      </c>
      <c r="E302" s="163" t="s">
        <v>3511</v>
      </c>
      <c r="F302" s="163" t="s">
        <v>1778</v>
      </c>
      <c r="G302" s="163" t="s">
        <v>2193</v>
      </c>
      <c r="H302" s="163" t="s">
        <v>3958</v>
      </c>
      <c r="I302" s="164">
        <v>18</v>
      </c>
      <c r="J302" s="164">
        <v>18</v>
      </c>
      <c r="K302" s="164">
        <v>18</v>
      </c>
      <c r="L302" s="164">
        <v>18</v>
      </c>
      <c r="M302" s="164">
        <v>18</v>
      </c>
      <c r="N302" s="164">
        <v>55</v>
      </c>
      <c r="O302" s="163" t="s">
        <v>4325</v>
      </c>
    </row>
    <row r="303" spans="1:15">
      <c r="A303" s="163" t="s">
        <v>2058</v>
      </c>
      <c r="B303" s="163" t="s">
        <v>2057</v>
      </c>
      <c r="C303" s="163" t="s">
        <v>1456</v>
      </c>
      <c r="D303" s="163" t="s">
        <v>1459</v>
      </c>
      <c r="E303" s="163" t="s">
        <v>3516</v>
      </c>
      <c r="F303" s="163" t="s">
        <v>1458</v>
      </c>
      <c r="G303" s="163" t="s">
        <v>1457</v>
      </c>
      <c r="H303" s="163" t="s">
        <v>3959</v>
      </c>
      <c r="I303" s="164">
        <v>25</v>
      </c>
      <c r="J303" s="164">
        <v>25</v>
      </c>
      <c r="K303" s="164">
        <v>25</v>
      </c>
      <c r="L303" s="164">
        <v>18</v>
      </c>
      <c r="M303" s="164">
        <v>25</v>
      </c>
      <c r="N303" s="164">
        <v>55</v>
      </c>
      <c r="O303" s="163" t="s">
        <v>4385</v>
      </c>
    </row>
    <row r="304" spans="1:15">
      <c r="A304" s="163" t="s">
        <v>2150</v>
      </c>
      <c r="B304" s="163" t="s">
        <v>2057</v>
      </c>
      <c r="C304" s="163" t="s">
        <v>2151</v>
      </c>
      <c r="D304" s="163" t="s">
        <v>1459</v>
      </c>
      <c r="E304" s="163" t="s">
        <v>3531</v>
      </c>
      <c r="F304" s="163" t="s">
        <v>2153</v>
      </c>
      <c r="G304" s="163" t="s">
        <v>2152</v>
      </c>
      <c r="H304" s="163" t="s">
        <v>3960</v>
      </c>
      <c r="I304" s="164">
        <v>25</v>
      </c>
      <c r="J304" s="164">
        <v>25</v>
      </c>
      <c r="K304" s="164">
        <v>25</v>
      </c>
      <c r="L304" s="164">
        <v>25</v>
      </c>
      <c r="M304" s="164">
        <v>25</v>
      </c>
      <c r="N304" s="164">
        <v>55</v>
      </c>
      <c r="O304" s="163" t="s">
        <v>4342</v>
      </c>
    </row>
    <row r="305" spans="1:15">
      <c r="A305" s="163" t="s">
        <v>2138</v>
      </c>
      <c r="B305" s="163" t="s">
        <v>2063</v>
      </c>
      <c r="C305" s="163" t="s">
        <v>2139</v>
      </c>
      <c r="D305" s="163" t="s">
        <v>868</v>
      </c>
      <c r="E305" s="163" t="s">
        <v>3511</v>
      </c>
      <c r="F305" s="163" t="s">
        <v>2154</v>
      </c>
      <c r="G305" s="163" t="s">
        <v>2140</v>
      </c>
      <c r="H305" s="163" t="s">
        <v>3961</v>
      </c>
      <c r="I305" s="164">
        <v>25</v>
      </c>
      <c r="J305" s="164">
        <v>25</v>
      </c>
      <c r="K305" s="164">
        <v>25</v>
      </c>
      <c r="L305" s="164">
        <v>25</v>
      </c>
      <c r="M305" s="164">
        <v>25</v>
      </c>
      <c r="N305" s="164">
        <v>55</v>
      </c>
      <c r="O305" s="163" t="s">
        <v>4316</v>
      </c>
    </row>
    <row r="306" spans="1:15">
      <c r="A306" s="163" t="s">
        <v>2141</v>
      </c>
      <c r="B306" s="163" t="s">
        <v>2213</v>
      </c>
      <c r="C306" s="163" t="s">
        <v>2142</v>
      </c>
      <c r="D306" s="163" t="s">
        <v>2221</v>
      </c>
      <c r="E306" s="163" t="s">
        <v>3511</v>
      </c>
      <c r="F306" s="163" t="s">
        <v>908</v>
      </c>
      <c r="G306" s="163" t="s">
        <v>2143</v>
      </c>
      <c r="H306" s="163" t="s">
        <v>3962</v>
      </c>
      <c r="I306" s="164">
        <v>25</v>
      </c>
      <c r="J306" s="164">
        <v>25</v>
      </c>
      <c r="K306" s="164">
        <v>25</v>
      </c>
      <c r="L306" s="164">
        <v>25</v>
      </c>
      <c r="M306" s="164">
        <v>25</v>
      </c>
      <c r="N306" s="164">
        <v>55</v>
      </c>
      <c r="O306" s="163" t="s">
        <v>4316</v>
      </c>
    </row>
    <row r="307" spans="1:15">
      <c r="A307" s="163" t="s">
        <v>2144</v>
      </c>
      <c r="B307" s="163" t="s">
        <v>2213</v>
      </c>
      <c r="C307" s="163" t="s">
        <v>2145</v>
      </c>
      <c r="D307" s="163" t="s">
        <v>2221</v>
      </c>
      <c r="E307" s="163" t="s">
        <v>3511</v>
      </c>
      <c r="F307" s="163" t="s">
        <v>936</v>
      </c>
      <c r="G307" s="163" t="s">
        <v>2146</v>
      </c>
      <c r="I307" s="164">
        <v>25</v>
      </c>
      <c r="J307" s="164">
        <v>25</v>
      </c>
      <c r="K307" s="164">
        <v>25</v>
      </c>
      <c r="L307" s="164">
        <v>25</v>
      </c>
      <c r="M307" s="164">
        <v>25</v>
      </c>
      <c r="N307" s="164">
        <v>55</v>
      </c>
    </row>
    <row r="308" spans="1:15">
      <c r="A308" s="163" t="s">
        <v>2157</v>
      </c>
      <c r="B308" s="163" t="s">
        <v>2213</v>
      </c>
      <c r="C308" s="163" t="s">
        <v>2158</v>
      </c>
      <c r="D308" s="163" t="s">
        <v>953</v>
      </c>
      <c r="E308" s="163" t="s">
        <v>3511</v>
      </c>
      <c r="F308" s="163" t="s">
        <v>1246</v>
      </c>
      <c r="G308" s="163" t="s">
        <v>2159</v>
      </c>
      <c r="H308" s="163" t="s">
        <v>3963</v>
      </c>
      <c r="I308" s="164">
        <v>25</v>
      </c>
      <c r="J308" s="164">
        <v>25</v>
      </c>
      <c r="K308" s="164">
        <v>25</v>
      </c>
      <c r="L308" s="164">
        <v>25</v>
      </c>
      <c r="M308" s="164">
        <v>25</v>
      </c>
      <c r="N308" s="164">
        <v>55</v>
      </c>
      <c r="O308" s="163" t="s">
        <v>4316</v>
      </c>
    </row>
    <row r="309" spans="1:15">
      <c r="A309" s="163" t="s">
        <v>2163</v>
      </c>
      <c r="B309" s="163" t="s">
        <v>3382</v>
      </c>
      <c r="C309" s="163" t="s">
        <v>2164</v>
      </c>
      <c r="D309" s="163" t="s">
        <v>1306</v>
      </c>
      <c r="E309" s="163" t="s">
        <v>3525</v>
      </c>
      <c r="F309" s="163" t="s">
        <v>2166</v>
      </c>
      <c r="G309" s="163" t="s">
        <v>2165</v>
      </c>
      <c r="H309" s="163" t="s">
        <v>3941</v>
      </c>
      <c r="I309" s="164">
        <v>18</v>
      </c>
      <c r="J309" s="164">
        <v>18</v>
      </c>
      <c r="K309" s="164">
        <v>18</v>
      </c>
      <c r="L309" s="164">
        <v>9</v>
      </c>
      <c r="M309" s="164">
        <v>18</v>
      </c>
      <c r="N309" s="164">
        <v>50</v>
      </c>
      <c r="O309" s="163" t="s">
        <v>4316</v>
      </c>
    </row>
    <row r="310" spans="1:15">
      <c r="A310" s="163" t="s">
        <v>2160</v>
      </c>
      <c r="B310" s="163" t="s">
        <v>874</v>
      </c>
      <c r="C310" s="163" t="s">
        <v>2161</v>
      </c>
      <c r="D310" s="163" t="s">
        <v>1267</v>
      </c>
      <c r="E310" s="163" t="s">
        <v>3524</v>
      </c>
      <c r="F310" s="163" t="s">
        <v>2052</v>
      </c>
      <c r="G310" s="163" t="s">
        <v>2162</v>
      </c>
      <c r="H310" s="163" t="s">
        <v>3964</v>
      </c>
      <c r="I310" s="164">
        <v>25</v>
      </c>
      <c r="J310" s="164">
        <v>25</v>
      </c>
      <c r="K310" s="164">
        <v>25</v>
      </c>
      <c r="L310" s="164">
        <v>18</v>
      </c>
      <c r="M310" s="164">
        <v>25</v>
      </c>
      <c r="N310" s="164">
        <v>55</v>
      </c>
      <c r="O310" s="163" t="s">
        <v>4309</v>
      </c>
    </row>
    <row r="311" spans="1:15">
      <c r="A311" s="163" t="s">
        <v>2169</v>
      </c>
      <c r="B311" s="163" t="s">
        <v>2063</v>
      </c>
      <c r="C311" s="163" t="s">
        <v>2170</v>
      </c>
      <c r="D311" s="163" t="s">
        <v>868</v>
      </c>
      <c r="E311" s="163" t="s">
        <v>3511</v>
      </c>
      <c r="F311" s="163" t="s">
        <v>2172</v>
      </c>
      <c r="G311" s="163" t="s">
        <v>2171</v>
      </c>
      <c r="H311" s="163" t="s">
        <v>3965</v>
      </c>
      <c r="I311" s="164">
        <v>25</v>
      </c>
      <c r="J311" s="164">
        <v>25</v>
      </c>
      <c r="K311" s="164">
        <v>25</v>
      </c>
      <c r="L311" s="164">
        <v>25</v>
      </c>
      <c r="M311" s="164">
        <v>25</v>
      </c>
      <c r="N311" s="164">
        <v>55</v>
      </c>
      <c r="O311" s="163" t="s">
        <v>4323</v>
      </c>
    </row>
    <row r="312" spans="1:15">
      <c r="A312" s="163" t="s">
        <v>2173</v>
      </c>
      <c r="B312" s="163" t="s">
        <v>865</v>
      </c>
      <c r="C312" s="163" t="s">
        <v>2174</v>
      </c>
      <c r="D312" s="163" t="s">
        <v>864</v>
      </c>
      <c r="E312" s="163" t="s">
        <v>3511</v>
      </c>
      <c r="F312" s="163" t="s">
        <v>2185</v>
      </c>
      <c r="G312" s="163" t="s">
        <v>2175</v>
      </c>
      <c r="H312" s="163" t="s">
        <v>3966</v>
      </c>
      <c r="I312" s="164">
        <v>0</v>
      </c>
      <c r="J312" s="164">
        <v>0</v>
      </c>
      <c r="K312" s="164">
        <v>0</v>
      </c>
      <c r="L312" s="164">
        <v>0</v>
      </c>
      <c r="M312" s="164">
        <v>0</v>
      </c>
      <c r="N312" s="164">
        <v>55</v>
      </c>
    </row>
    <row r="313" spans="1:15">
      <c r="A313" s="163" t="s">
        <v>2177</v>
      </c>
      <c r="B313" s="163" t="s">
        <v>874</v>
      </c>
      <c r="C313" s="163" t="s">
        <v>2178</v>
      </c>
      <c r="D313" s="163" t="s">
        <v>1267</v>
      </c>
      <c r="E313" s="163" t="s">
        <v>3524</v>
      </c>
      <c r="F313" s="163" t="s">
        <v>2199</v>
      </c>
      <c r="G313" s="163" t="s">
        <v>2179</v>
      </c>
      <c r="H313" s="163" t="s">
        <v>3967</v>
      </c>
      <c r="I313" s="164">
        <v>18</v>
      </c>
      <c r="J313" s="164">
        <v>9</v>
      </c>
      <c r="K313" s="164">
        <v>18</v>
      </c>
      <c r="L313" s="164">
        <v>9</v>
      </c>
      <c r="M313" s="164">
        <v>18</v>
      </c>
      <c r="N313" s="164">
        <v>50</v>
      </c>
      <c r="O313" s="163" t="s">
        <v>4309</v>
      </c>
    </row>
    <row r="314" spans="1:15">
      <c r="A314" s="163" t="s">
        <v>2194</v>
      </c>
      <c r="B314" s="163" t="s">
        <v>2213</v>
      </c>
      <c r="C314" s="163" t="s">
        <v>2195</v>
      </c>
      <c r="D314" s="163" t="s">
        <v>1086</v>
      </c>
      <c r="E314" s="163" t="s">
        <v>3511</v>
      </c>
      <c r="F314" s="163" t="s">
        <v>1085</v>
      </c>
      <c r="G314" s="163" t="s">
        <v>2196</v>
      </c>
      <c r="H314" s="163" t="s">
        <v>3968</v>
      </c>
      <c r="I314" s="164">
        <v>25</v>
      </c>
      <c r="J314" s="164">
        <v>25</v>
      </c>
      <c r="K314" s="164">
        <v>25</v>
      </c>
      <c r="L314" s="164">
        <v>25</v>
      </c>
      <c r="M314" s="164">
        <v>25</v>
      </c>
      <c r="N314" s="164">
        <v>55</v>
      </c>
    </row>
    <row r="315" spans="1:15">
      <c r="A315" s="163" t="s">
        <v>2180</v>
      </c>
      <c r="B315" s="163" t="s">
        <v>2213</v>
      </c>
      <c r="C315" s="163" t="s">
        <v>2186</v>
      </c>
      <c r="D315" s="163" t="s">
        <v>1086</v>
      </c>
      <c r="E315" s="163" t="s">
        <v>3511</v>
      </c>
      <c r="F315" s="163" t="s">
        <v>944</v>
      </c>
      <c r="G315" s="163" t="s">
        <v>2187</v>
      </c>
      <c r="H315" s="163" t="s">
        <v>3969</v>
      </c>
      <c r="I315" s="164">
        <v>25</v>
      </c>
      <c r="J315" s="164">
        <v>25</v>
      </c>
      <c r="K315" s="164">
        <v>25</v>
      </c>
      <c r="L315" s="164">
        <v>25</v>
      </c>
      <c r="M315" s="164">
        <v>25</v>
      </c>
      <c r="N315" s="164">
        <v>55</v>
      </c>
    </row>
    <row r="316" spans="1:15">
      <c r="A316" s="163" t="s">
        <v>2181</v>
      </c>
      <c r="B316" s="163" t="s">
        <v>2063</v>
      </c>
      <c r="C316" s="163" t="s">
        <v>2182</v>
      </c>
      <c r="D316" s="163" t="s">
        <v>868</v>
      </c>
      <c r="E316" s="163" t="s">
        <v>3511</v>
      </c>
      <c r="F316" s="163" t="s">
        <v>2206</v>
      </c>
      <c r="G316" s="163" t="s">
        <v>2205</v>
      </c>
      <c r="H316" s="163" t="s">
        <v>3970</v>
      </c>
      <c r="I316" s="164">
        <v>25</v>
      </c>
      <c r="J316" s="164">
        <v>25</v>
      </c>
      <c r="K316" s="164">
        <v>25</v>
      </c>
      <c r="L316" s="164">
        <v>25</v>
      </c>
      <c r="M316" s="164">
        <v>25</v>
      </c>
      <c r="N316" s="164">
        <v>55</v>
      </c>
      <c r="O316" s="163" t="s">
        <v>4323</v>
      </c>
    </row>
    <row r="317" spans="1:15">
      <c r="A317" s="163" t="s">
        <v>2183</v>
      </c>
      <c r="B317" s="163" t="s">
        <v>2063</v>
      </c>
      <c r="C317" s="163" t="s">
        <v>2184</v>
      </c>
      <c r="D317" s="163" t="s">
        <v>868</v>
      </c>
      <c r="E317" s="163" t="s">
        <v>3511</v>
      </c>
      <c r="F317" s="163" t="s">
        <v>2172</v>
      </c>
      <c r="G317" s="163" t="s">
        <v>2207</v>
      </c>
      <c r="H317" s="163" t="s">
        <v>3971</v>
      </c>
      <c r="I317" s="164">
        <v>25</v>
      </c>
      <c r="J317" s="164">
        <v>25</v>
      </c>
      <c r="K317" s="164">
        <v>25</v>
      </c>
      <c r="L317" s="164">
        <v>25</v>
      </c>
      <c r="M317" s="164">
        <v>25</v>
      </c>
      <c r="N317" s="164">
        <v>55</v>
      </c>
    </row>
    <row r="318" spans="1:15">
      <c r="A318" s="163" t="s">
        <v>2188</v>
      </c>
      <c r="B318" s="163" t="s">
        <v>2213</v>
      </c>
      <c r="C318" s="163" t="s">
        <v>2189</v>
      </c>
      <c r="D318" s="163" t="s">
        <v>2221</v>
      </c>
      <c r="E318" s="163" t="s">
        <v>3511</v>
      </c>
      <c r="F318" s="163" t="s">
        <v>2191</v>
      </c>
      <c r="G318" s="163" t="s">
        <v>2190</v>
      </c>
      <c r="H318" s="163" t="s">
        <v>3972</v>
      </c>
      <c r="I318" s="164">
        <v>18</v>
      </c>
      <c r="J318" s="164">
        <v>18</v>
      </c>
      <c r="K318" s="164">
        <v>18</v>
      </c>
      <c r="L318" s="164">
        <v>18</v>
      </c>
      <c r="M318" s="164">
        <v>18</v>
      </c>
      <c r="N318" s="164">
        <v>55</v>
      </c>
    </row>
    <row r="319" spans="1:15">
      <c r="A319" s="163" t="s">
        <v>2203</v>
      </c>
      <c r="B319" s="163" t="s">
        <v>2057</v>
      </c>
      <c r="C319" s="163" t="s">
        <v>2204</v>
      </c>
      <c r="D319" s="163" t="s">
        <v>1459</v>
      </c>
      <c r="E319" s="163" t="s">
        <v>3531</v>
      </c>
      <c r="F319" s="163" t="s">
        <v>1604</v>
      </c>
      <c r="G319" s="163" t="s">
        <v>1603</v>
      </c>
      <c r="H319" s="163" t="s">
        <v>3973</v>
      </c>
      <c r="I319" s="164">
        <v>25</v>
      </c>
      <c r="J319" s="164">
        <v>25</v>
      </c>
      <c r="K319" s="164">
        <v>25</v>
      </c>
      <c r="L319" s="164">
        <v>25</v>
      </c>
      <c r="M319" s="164">
        <v>25</v>
      </c>
      <c r="N319" s="164">
        <v>55</v>
      </c>
      <c r="O319" s="163" t="s">
        <v>4345</v>
      </c>
    </row>
    <row r="320" spans="1:15">
      <c r="A320" s="163" t="s">
        <v>2266</v>
      </c>
      <c r="B320" s="163" t="s">
        <v>2057</v>
      </c>
      <c r="C320" s="163" t="s">
        <v>1016</v>
      </c>
      <c r="D320" s="163" t="s">
        <v>1459</v>
      </c>
      <c r="E320" s="163" t="s">
        <v>3516</v>
      </c>
      <c r="F320" s="163" t="s">
        <v>1018</v>
      </c>
      <c r="G320" s="163" t="s">
        <v>1017</v>
      </c>
      <c r="H320" s="163" t="s">
        <v>3974</v>
      </c>
      <c r="I320" s="164">
        <v>25</v>
      </c>
      <c r="J320" s="164">
        <v>25</v>
      </c>
      <c r="K320" s="164">
        <v>25</v>
      </c>
      <c r="L320" s="164">
        <v>25</v>
      </c>
      <c r="M320" s="164">
        <v>25</v>
      </c>
      <c r="N320" s="164">
        <v>55</v>
      </c>
      <c r="O320" s="163" t="s">
        <v>4336</v>
      </c>
    </row>
    <row r="321" spans="1:15">
      <c r="A321" s="163" t="s">
        <v>2216</v>
      </c>
      <c r="B321" s="163" t="s">
        <v>874</v>
      </c>
      <c r="C321" s="163" t="s">
        <v>2260</v>
      </c>
      <c r="D321" s="163" t="s">
        <v>1409</v>
      </c>
      <c r="E321" s="163" t="s">
        <v>3516</v>
      </c>
      <c r="F321" s="163" t="s">
        <v>1408</v>
      </c>
      <c r="G321" s="163" t="s">
        <v>1407</v>
      </c>
      <c r="H321" s="163" t="s">
        <v>3975</v>
      </c>
      <c r="I321" s="164">
        <v>25</v>
      </c>
      <c r="J321" s="164">
        <v>25</v>
      </c>
      <c r="K321" s="164">
        <v>25</v>
      </c>
      <c r="L321" s="164">
        <v>18</v>
      </c>
      <c r="M321" s="164">
        <v>25</v>
      </c>
      <c r="N321" s="164">
        <v>55</v>
      </c>
      <c r="O321" s="163" t="s">
        <v>4386</v>
      </c>
    </row>
    <row r="322" spans="1:15">
      <c r="A322" s="163" t="s">
        <v>2217</v>
      </c>
      <c r="B322" s="163" t="s">
        <v>874</v>
      </c>
      <c r="C322" s="163" t="s">
        <v>2261</v>
      </c>
      <c r="D322" s="163" t="s">
        <v>1409</v>
      </c>
      <c r="E322" s="163" t="s">
        <v>3516</v>
      </c>
      <c r="F322" s="163" t="s">
        <v>1408</v>
      </c>
      <c r="G322" s="163" t="s">
        <v>2262</v>
      </c>
      <c r="H322" s="163" t="s">
        <v>3976</v>
      </c>
      <c r="I322" s="164">
        <v>25</v>
      </c>
      <c r="J322" s="164">
        <v>25</v>
      </c>
      <c r="K322" s="164">
        <v>25</v>
      </c>
      <c r="L322" s="164">
        <v>18</v>
      </c>
      <c r="M322" s="164">
        <v>25</v>
      </c>
      <c r="N322" s="164">
        <v>55</v>
      </c>
      <c r="O322" s="163" t="s">
        <v>4386</v>
      </c>
    </row>
    <row r="323" spans="1:15">
      <c r="A323" s="163" t="s">
        <v>2219</v>
      </c>
      <c r="B323" s="163" t="s">
        <v>865</v>
      </c>
      <c r="C323" s="163" t="s">
        <v>2246</v>
      </c>
      <c r="D323" s="163" t="s">
        <v>864</v>
      </c>
      <c r="E323" s="163" t="s">
        <v>3511</v>
      </c>
      <c r="F323" s="163" t="s">
        <v>979</v>
      </c>
      <c r="G323" s="163" t="s">
        <v>2220</v>
      </c>
      <c r="I323" s="164">
        <v>25</v>
      </c>
      <c r="J323" s="164">
        <v>25</v>
      </c>
      <c r="K323" s="164">
        <v>25</v>
      </c>
      <c r="L323" s="164">
        <v>25</v>
      </c>
      <c r="M323" s="164">
        <v>25</v>
      </c>
      <c r="N323" s="164">
        <v>55</v>
      </c>
    </row>
    <row r="324" spans="1:15">
      <c r="A324" s="163" t="s">
        <v>2218</v>
      </c>
      <c r="B324" s="163" t="s">
        <v>865</v>
      </c>
      <c r="C324" s="163" t="s">
        <v>2222</v>
      </c>
      <c r="D324" s="163" t="s">
        <v>864</v>
      </c>
      <c r="E324" s="163" t="s">
        <v>3511</v>
      </c>
      <c r="F324" s="163" t="s">
        <v>2224</v>
      </c>
      <c r="G324" s="163" t="s">
        <v>2223</v>
      </c>
      <c r="I324" s="164">
        <v>25</v>
      </c>
      <c r="J324" s="164">
        <v>25</v>
      </c>
      <c r="K324" s="164">
        <v>25</v>
      </c>
      <c r="L324" s="164">
        <v>25</v>
      </c>
      <c r="M324" s="164">
        <v>25</v>
      </c>
      <c r="N324" s="164">
        <v>55</v>
      </c>
      <c r="O324" s="163" t="s">
        <v>4316</v>
      </c>
    </row>
    <row r="325" spans="1:15">
      <c r="A325" s="163" t="s">
        <v>2247</v>
      </c>
      <c r="B325" s="163" t="s">
        <v>2213</v>
      </c>
      <c r="C325" s="163" t="s">
        <v>2248</v>
      </c>
      <c r="D325" s="163" t="s">
        <v>1086</v>
      </c>
      <c r="E325" s="163" t="s">
        <v>3511</v>
      </c>
      <c r="F325" s="163" t="s">
        <v>1085</v>
      </c>
      <c r="G325" s="163" t="s">
        <v>2249</v>
      </c>
      <c r="H325" s="163" t="s">
        <v>3977</v>
      </c>
      <c r="I325" s="164">
        <v>25</v>
      </c>
      <c r="J325" s="164">
        <v>25</v>
      </c>
      <c r="K325" s="164">
        <v>25</v>
      </c>
      <c r="L325" s="164">
        <v>25</v>
      </c>
      <c r="M325" s="164">
        <v>25</v>
      </c>
      <c r="N325" s="164">
        <v>55</v>
      </c>
      <c r="O325" s="163" t="s">
        <v>4325</v>
      </c>
    </row>
    <row r="326" spans="1:15">
      <c r="A326" s="163" t="s">
        <v>2225</v>
      </c>
      <c r="B326" s="163" t="s">
        <v>2213</v>
      </c>
      <c r="C326" s="163" t="s">
        <v>2226</v>
      </c>
      <c r="D326" s="163" t="s">
        <v>2221</v>
      </c>
      <c r="E326" s="163" t="s">
        <v>3511</v>
      </c>
      <c r="F326" s="163" t="s">
        <v>2228</v>
      </c>
      <c r="G326" s="163" t="s">
        <v>2227</v>
      </c>
      <c r="H326" s="163" t="s">
        <v>3978</v>
      </c>
      <c r="I326" s="164">
        <v>25</v>
      </c>
      <c r="J326" s="164">
        <v>25</v>
      </c>
      <c r="K326" s="164">
        <v>25</v>
      </c>
      <c r="L326" s="164">
        <v>25</v>
      </c>
      <c r="M326" s="164">
        <v>25</v>
      </c>
      <c r="N326" s="164">
        <v>55</v>
      </c>
    </row>
    <row r="327" spans="1:15">
      <c r="A327" s="163" t="s">
        <v>2229</v>
      </c>
      <c r="B327" s="163" t="s">
        <v>2213</v>
      </c>
      <c r="C327" s="163" t="s">
        <v>2230</v>
      </c>
      <c r="D327" s="163" t="s">
        <v>2221</v>
      </c>
      <c r="E327" s="163" t="s">
        <v>3511</v>
      </c>
      <c r="F327" s="163" t="s">
        <v>945</v>
      </c>
      <c r="G327" s="163" t="s">
        <v>2231</v>
      </c>
      <c r="H327" s="163" t="s">
        <v>3979</v>
      </c>
      <c r="I327" s="164">
        <v>25</v>
      </c>
      <c r="J327" s="164">
        <v>25</v>
      </c>
      <c r="K327" s="164">
        <v>25</v>
      </c>
      <c r="L327" s="164">
        <v>25</v>
      </c>
      <c r="M327" s="164">
        <v>25</v>
      </c>
      <c r="N327" s="164">
        <v>55</v>
      </c>
      <c r="O327" s="163" t="s">
        <v>4316</v>
      </c>
    </row>
    <row r="328" spans="1:15">
      <c r="A328" s="163" t="s">
        <v>2232</v>
      </c>
      <c r="B328" s="163" t="s">
        <v>2213</v>
      </c>
      <c r="C328" s="163" t="s">
        <v>2233</v>
      </c>
      <c r="D328" s="163" t="s">
        <v>2221</v>
      </c>
      <c r="E328" s="163" t="s">
        <v>3511</v>
      </c>
      <c r="F328" s="163" t="s">
        <v>908</v>
      </c>
      <c r="G328" s="163" t="s">
        <v>2234</v>
      </c>
      <c r="H328" s="163" t="s">
        <v>3980</v>
      </c>
      <c r="I328" s="164">
        <v>25</v>
      </c>
      <c r="J328" s="164">
        <v>25</v>
      </c>
      <c r="K328" s="164">
        <v>25</v>
      </c>
      <c r="L328" s="164">
        <v>25</v>
      </c>
      <c r="M328" s="164">
        <v>25</v>
      </c>
      <c r="N328" s="164">
        <v>55</v>
      </c>
      <c r="O328" s="163" t="s">
        <v>4316</v>
      </c>
    </row>
    <row r="329" spans="1:15">
      <c r="A329" s="163" t="s">
        <v>2250</v>
      </c>
      <c r="B329" s="163" t="s">
        <v>2213</v>
      </c>
      <c r="C329" s="163" t="s">
        <v>2251</v>
      </c>
      <c r="D329" s="163" t="s">
        <v>1086</v>
      </c>
      <c r="E329" s="163" t="s">
        <v>3511</v>
      </c>
      <c r="F329" s="163" t="s">
        <v>944</v>
      </c>
      <c r="G329" s="163" t="s">
        <v>2252</v>
      </c>
      <c r="H329" s="163" t="s">
        <v>3981</v>
      </c>
      <c r="I329" s="164">
        <v>25</v>
      </c>
      <c r="J329" s="164">
        <v>25</v>
      </c>
      <c r="K329" s="164">
        <v>25</v>
      </c>
      <c r="L329" s="164">
        <v>25</v>
      </c>
      <c r="M329" s="164">
        <v>25</v>
      </c>
      <c r="N329" s="164">
        <v>55</v>
      </c>
    </row>
    <row r="330" spans="1:15">
      <c r="A330" s="163" t="s">
        <v>2253</v>
      </c>
      <c r="B330" s="163" t="s">
        <v>2213</v>
      </c>
      <c r="C330" s="163" t="s">
        <v>2254</v>
      </c>
      <c r="D330" s="163" t="s">
        <v>953</v>
      </c>
      <c r="E330" s="163" t="s">
        <v>3511</v>
      </c>
      <c r="F330" s="163" t="s">
        <v>1238</v>
      </c>
      <c r="G330" s="163" t="s">
        <v>2255</v>
      </c>
      <c r="H330" s="163" t="s">
        <v>3982</v>
      </c>
      <c r="I330" s="164">
        <v>25</v>
      </c>
      <c r="J330" s="164">
        <v>25</v>
      </c>
      <c r="K330" s="164">
        <v>25</v>
      </c>
      <c r="L330" s="164">
        <v>25</v>
      </c>
      <c r="M330" s="164">
        <v>25</v>
      </c>
      <c r="N330" s="164">
        <v>55</v>
      </c>
      <c r="O330" s="163" t="s">
        <v>4387</v>
      </c>
    </row>
    <row r="331" spans="1:15">
      <c r="A331" s="163" t="s">
        <v>2263</v>
      </c>
      <c r="B331" s="163" t="s">
        <v>874</v>
      </c>
      <c r="C331" s="163" t="s">
        <v>2264</v>
      </c>
      <c r="D331" s="163" t="s">
        <v>1409</v>
      </c>
      <c r="E331" s="163" t="s">
        <v>3516</v>
      </c>
      <c r="F331" s="163" t="s">
        <v>1417</v>
      </c>
      <c r="G331" s="163" t="s">
        <v>2265</v>
      </c>
      <c r="H331" s="163" t="s">
        <v>3983</v>
      </c>
      <c r="I331" s="164">
        <v>25</v>
      </c>
      <c r="J331" s="164">
        <v>25</v>
      </c>
      <c r="K331" s="164">
        <v>25</v>
      </c>
      <c r="L331" s="164">
        <v>25</v>
      </c>
      <c r="M331" s="164">
        <v>25</v>
      </c>
      <c r="N331" s="164">
        <v>55</v>
      </c>
      <c r="O331" s="163" t="s">
        <v>4319</v>
      </c>
    </row>
    <row r="332" spans="1:15">
      <c r="A332" s="163" t="s">
        <v>2235</v>
      </c>
      <c r="B332" s="163" t="s">
        <v>865</v>
      </c>
      <c r="C332" s="163" t="s">
        <v>2236</v>
      </c>
      <c r="D332" s="163" t="s">
        <v>864</v>
      </c>
      <c r="E332" s="163" t="s">
        <v>3511</v>
      </c>
      <c r="F332" s="163" t="s">
        <v>2238</v>
      </c>
      <c r="G332" s="163" t="s">
        <v>2237</v>
      </c>
      <c r="H332" s="163" t="s">
        <v>3984</v>
      </c>
      <c r="I332" s="164">
        <v>18</v>
      </c>
      <c r="J332" s="164">
        <v>18</v>
      </c>
      <c r="K332" s="164">
        <v>18</v>
      </c>
      <c r="L332" s="164">
        <v>18</v>
      </c>
      <c r="M332" s="164">
        <v>18</v>
      </c>
      <c r="N332" s="164">
        <v>55</v>
      </c>
    </row>
    <row r="333" spans="1:15">
      <c r="A333" s="163" t="s">
        <v>2239</v>
      </c>
      <c r="B333" s="163" t="s">
        <v>865</v>
      </c>
      <c r="C333" s="163" t="s">
        <v>2240</v>
      </c>
      <c r="D333" s="163" t="s">
        <v>864</v>
      </c>
      <c r="E333" s="163" t="s">
        <v>3511</v>
      </c>
      <c r="F333" s="163" t="s">
        <v>2242</v>
      </c>
      <c r="G333" s="163" t="s">
        <v>2241</v>
      </c>
      <c r="H333" s="163" t="s">
        <v>2176</v>
      </c>
      <c r="I333" s="164">
        <v>18</v>
      </c>
      <c r="J333" s="164">
        <v>18</v>
      </c>
      <c r="K333" s="164">
        <v>18</v>
      </c>
      <c r="L333" s="164">
        <v>18</v>
      </c>
      <c r="M333" s="164">
        <v>18</v>
      </c>
      <c r="N333" s="164">
        <v>55</v>
      </c>
    </row>
    <row r="334" spans="1:15">
      <c r="A334" s="163" t="s">
        <v>2273</v>
      </c>
      <c r="B334" s="163" t="s">
        <v>2063</v>
      </c>
      <c r="C334" s="163" t="s">
        <v>2274</v>
      </c>
      <c r="D334" s="163" t="s">
        <v>868</v>
      </c>
      <c r="E334" s="163" t="s">
        <v>3511</v>
      </c>
      <c r="F334" s="163" t="s">
        <v>2276</v>
      </c>
      <c r="G334" s="163" t="s">
        <v>2275</v>
      </c>
      <c r="H334" s="163" t="s">
        <v>3955</v>
      </c>
      <c r="I334" s="164">
        <v>25</v>
      </c>
      <c r="J334" s="164">
        <v>25</v>
      </c>
      <c r="K334" s="164">
        <v>25</v>
      </c>
      <c r="L334" s="164">
        <v>25</v>
      </c>
      <c r="M334" s="164">
        <v>25</v>
      </c>
      <c r="N334" s="164">
        <v>55</v>
      </c>
    </row>
    <row r="335" spans="1:15">
      <c r="A335" s="163" t="s">
        <v>2243</v>
      </c>
      <c r="B335" s="163" t="s">
        <v>865</v>
      </c>
      <c r="C335" s="163" t="s">
        <v>2244</v>
      </c>
      <c r="D335" s="163" t="s">
        <v>864</v>
      </c>
      <c r="E335" s="163" t="s">
        <v>3511</v>
      </c>
      <c r="F335" s="163" t="s">
        <v>2192</v>
      </c>
      <c r="G335" s="163" t="s">
        <v>2245</v>
      </c>
      <c r="I335" s="164">
        <v>25</v>
      </c>
      <c r="J335" s="164">
        <v>25</v>
      </c>
      <c r="K335" s="164">
        <v>25</v>
      </c>
      <c r="L335" s="164">
        <v>25</v>
      </c>
      <c r="M335" s="164">
        <v>25</v>
      </c>
      <c r="N335" s="164">
        <v>55</v>
      </c>
    </row>
    <row r="336" spans="1:15">
      <c r="A336" s="163" t="s">
        <v>2315</v>
      </c>
      <c r="B336" s="163" t="s">
        <v>2063</v>
      </c>
      <c r="C336" s="163" t="s">
        <v>2316</v>
      </c>
      <c r="D336" s="163" t="s">
        <v>868</v>
      </c>
      <c r="E336" s="163" t="s">
        <v>3511</v>
      </c>
      <c r="F336" s="163" t="s">
        <v>2318</v>
      </c>
      <c r="G336" s="163" t="s">
        <v>2317</v>
      </c>
      <c r="H336" s="163" t="s">
        <v>3985</v>
      </c>
      <c r="I336" s="164">
        <v>18</v>
      </c>
      <c r="J336" s="164">
        <v>18</v>
      </c>
      <c r="K336" s="164">
        <v>18</v>
      </c>
      <c r="L336" s="164">
        <v>18</v>
      </c>
      <c r="M336" s="164">
        <v>18</v>
      </c>
      <c r="N336" s="164">
        <v>55</v>
      </c>
    </row>
    <row r="337" spans="1:15">
      <c r="A337" s="163" t="s">
        <v>2277</v>
      </c>
      <c r="B337" s="163" t="s">
        <v>865</v>
      </c>
      <c r="C337" s="163" t="s">
        <v>2278</v>
      </c>
      <c r="D337" s="163" t="s">
        <v>864</v>
      </c>
      <c r="E337" s="163" t="s">
        <v>3511</v>
      </c>
      <c r="F337" s="163" t="s">
        <v>2280</v>
      </c>
      <c r="G337" s="163" t="s">
        <v>2279</v>
      </c>
      <c r="H337" s="163" t="s">
        <v>3986</v>
      </c>
      <c r="I337" s="164">
        <v>18</v>
      </c>
      <c r="J337" s="164">
        <v>18</v>
      </c>
      <c r="K337" s="164">
        <v>18</v>
      </c>
      <c r="L337" s="164">
        <v>18</v>
      </c>
      <c r="M337" s="164">
        <v>18</v>
      </c>
      <c r="N337" s="164">
        <v>55</v>
      </c>
    </row>
    <row r="338" spans="1:15">
      <c r="A338" s="163" t="s">
        <v>2281</v>
      </c>
      <c r="B338" s="163" t="s">
        <v>865</v>
      </c>
      <c r="C338" s="163" t="s">
        <v>2282</v>
      </c>
      <c r="D338" s="163" t="s">
        <v>864</v>
      </c>
      <c r="E338" s="163" t="s">
        <v>3511</v>
      </c>
      <c r="F338" s="163" t="s">
        <v>2191</v>
      </c>
      <c r="G338" s="163" t="s">
        <v>2283</v>
      </c>
      <c r="I338" s="164">
        <v>25</v>
      </c>
      <c r="J338" s="164">
        <v>25</v>
      </c>
      <c r="K338" s="164">
        <v>25</v>
      </c>
      <c r="L338" s="164">
        <v>25</v>
      </c>
      <c r="M338" s="164">
        <v>25</v>
      </c>
      <c r="N338" s="164">
        <v>55</v>
      </c>
    </row>
    <row r="339" spans="1:15">
      <c r="A339" s="163" t="s">
        <v>2284</v>
      </c>
      <c r="B339" s="163" t="s">
        <v>865</v>
      </c>
      <c r="C339" s="163" t="s">
        <v>2285</v>
      </c>
      <c r="D339" s="163" t="s">
        <v>864</v>
      </c>
      <c r="E339" s="163" t="s">
        <v>3511</v>
      </c>
      <c r="F339" s="163" t="s">
        <v>2287</v>
      </c>
      <c r="G339" s="163" t="s">
        <v>2286</v>
      </c>
      <c r="I339" s="164">
        <v>18</v>
      </c>
      <c r="J339" s="164">
        <v>18</v>
      </c>
      <c r="K339" s="164">
        <v>18</v>
      </c>
      <c r="L339" s="164">
        <v>18</v>
      </c>
      <c r="M339" s="164">
        <v>18</v>
      </c>
      <c r="N339" s="164">
        <v>55</v>
      </c>
    </row>
    <row r="340" spans="1:15">
      <c r="A340" s="163" t="s">
        <v>2302</v>
      </c>
      <c r="B340" s="163" t="s">
        <v>2213</v>
      </c>
      <c r="C340" s="163" t="s">
        <v>2303</v>
      </c>
      <c r="D340" s="163" t="s">
        <v>1086</v>
      </c>
      <c r="E340" s="163" t="s">
        <v>3511</v>
      </c>
      <c r="F340" s="163" t="s">
        <v>944</v>
      </c>
      <c r="G340" s="163" t="s">
        <v>2304</v>
      </c>
      <c r="H340" s="163" t="s">
        <v>3987</v>
      </c>
      <c r="I340" s="164">
        <v>25</v>
      </c>
      <c r="J340" s="164">
        <v>25</v>
      </c>
      <c r="K340" s="164">
        <v>25</v>
      </c>
      <c r="L340" s="164">
        <v>25</v>
      </c>
      <c r="M340" s="164">
        <v>25</v>
      </c>
      <c r="N340" s="164">
        <v>55</v>
      </c>
    </row>
    <row r="341" spans="1:15">
      <c r="A341" s="163" t="s">
        <v>2305</v>
      </c>
      <c r="B341" s="163" t="s">
        <v>2213</v>
      </c>
      <c r="C341" s="163" t="s">
        <v>2306</v>
      </c>
      <c r="D341" s="163" t="s">
        <v>1147</v>
      </c>
      <c r="E341" s="163" t="s">
        <v>3511</v>
      </c>
      <c r="F341" s="163" t="s">
        <v>2308</v>
      </c>
      <c r="G341" s="163" t="s">
        <v>2307</v>
      </c>
      <c r="I341" s="164">
        <v>18</v>
      </c>
      <c r="J341" s="164">
        <v>18</v>
      </c>
      <c r="K341" s="164">
        <v>18</v>
      </c>
      <c r="L341" s="164">
        <v>18</v>
      </c>
      <c r="M341" s="164">
        <v>18</v>
      </c>
      <c r="N341" s="164">
        <v>55</v>
      </c>
      <c r="O341" s="163" t="s">
        <v>4388</v>
      </c>
    </row>
    <row r="342" spans="1:15">
      <c r="A342" s="163" t="s">
        <v>2288</v>
      </c>
      <c r="B342" s="163" t="s">
        <v>865</v>
      </c>
      <c r="C342" s="163" t="s">
        <v>2289</v>
      </c>
      <c r="D342" s="163" t="s">
        <v>864</v>
      </c>
      <c r="E342" s="163" t="s">
        <v>3511</v>
      </c>
      <c r="F342" s="163" t="s">
        <v>2291</v>
      </c>
      <c r="G342" s="163" t="s">
        <v>2290</v>
      </c>
      <c r="H342" s="163" t="s">
        <v>3988</v>
      </c>
      <c r="I342" s="164">
        <v>25</v>
      </c>
      <c r="J342" s="164">
        <v>25</v>
      </c>
      <c r="K342" s="164">
        <v>25</v>
      </c>
      <c r="L342" s="164">
        <v>25</v>
      </c>
      <c r="M342" s="164">
        <v>25</v>
      </c>
      <c r="N342" s="164">
        <v>55</v>
      </c>
    </row>
    <row r="343" spans="1:15">
      <c r="A343" s="163" t="s">
        <v>2309</v>
      </c>
      <c r="B343" s="163" t="s">
        <v>2213</v>
      </c>
      <c r="C343" s="163" t="s">
        <v>2310</v>
      </c>
      <c r="D343" s="163" t="s">
        <v>1147</v>
      </c>
      <c r="E343" s="163" t="s">
        <v>3511</v>
      </c>
      <c r="F343" s="163" t="s">
        <v>1160</v>
      </c>
      <c r="G343" s="163" t="s">
        <v>2311</v>
      </c>
      <c r="I343" s="164">
        <v>25</v>
      </c>
      <c r="J343" s="164">
        <v>25</v>
      </c>
      <c r="K343" s="164">
        <v>25</v>
      </c>
      <c r="L343" s="164">
        <v>25</v>
      </c>
      <c r="M343" s="164">
        <v>25</v>
      </c>
      <c r="N343" s="164">
        <v>55</v>
      </c>
    </row>
    <row r="344" spans="1:15">
      <c r="A344" s="163" t="s">
        <v>2312</v>
      </c>
      <c r="B344" s="163" t="s">
        <v>874</v>
      </c>
      <c r="C344" s="163" t="s">
        <v>2313</v>
      </c>
      <c r="D344" s="163" t="s">
        <v>1306</v>
      </c>
      <c r="E344" s="163" t="s">
        <v>3525</v>
      </c>
      <c r="F344" s="163" t="s">
        <v>1306</v>
      </c>
      <c r="G344" s="163" t="s">
        <v>2314</v>
      </c>
      <c r="H344" s="163" t="s">
        <v>3989</v>
      </c>
      <c r="I344" s="164">
        <v>25</v>
      </c>
      <c r="J344" s="164">
        <v>25</v>
      </c>
      <c r="K344" s="164">
        <v>25</v>
      </c>
      <c r="L344" s="164">
        <v>25</v>
      </c>
      <c r="M344" s="164">
        <v>25</v>
      </c>
      <c r="N344" s="164">
        <v>55</v>
      </c>
      <c r="O344" s="163" t="s">
        <v>4309</v>
      </c>
    </row>
    <row r="345" spans="1:15">
      <c r="A345" s="163" t="s">
        <v>2292</v>
      </c>
      <c r="B345" s="163" t="s">
        <v>865</v>
      </c>
      <c r="C345" s="163" t="s">
        <v>2293</v>
      </c>
      <c r="D345" s="163" t="s">
        <v>864</v>
      </c>
      <c r="E345" s="163" t="s">
        <v>3511</v>
      </c>
      <c r="F345" s="163" t="s">
        <v>2295</v>
      </c>
      <c r="G345" s="163" t="s">
        <v>2294</v>
      </c>
      <c r="I345" s="164">
        <v>18</v>
      </c>
      <c r="J345" s="164">
        <v>18</v>
      </c>
      <c r="K345" s="164">
        <v>18</v>
      </c>
      <c r="L345" s="164">
        <v>18</v>
      </c>
      <c r="M345" s="164">
        <v>18</v>
      </c>
      <c r="N345" s="164">
        <v>55</v>
      </c>
    </row>
    <row r="346" spans="1:15">
      <c r="A346" s="163" t="s">
        <v>2319</v>
      </c>
      <c r="B346" s="163" t="s">
        <v>2063</v>
      </c>
      <c r="C346" s="163" t="s">
        <v>2320</v>
      </c>
      <c r="D346" s="163" t="s">
        <v>868</v>
      </c>
      <c r="E346" s="163" t="s">
        <v>3511</v>
      </c>
      <c r="F346" s="163" t="s">
        <v>2322</v>
      </c>
      <c r="G346" s="163" t="s">
        <v>2321</v>
      </c>
      <c r="H346" s="163" t="s">
        <v>3990</v>
      </c>
      <c r="I346" s="164">
        <v>25</v>
      </c>
      <c r="J346" s="164">
        <v>25</v>
      </c>
      <c r="K346" s="164">
        <v>25</v>
      </c>
      <c r="L346" s="164">
        <v>25</v>
      </c>
      <c r="M346" s="164">
        <v>25</v>
      </c>
      <c r="N346" s="164">
        <v>55</v>
      </c>
    </row>
    <row r="347" spans="1:15">
      <c r="A347" s="163" t="s">
        <v>2323</v>
      </c>
      <c r="B347" s="163" t="s">
        <v>2063</v>
      </c>
      <c r="C347" s="163" t="s">
        <v>2324</v>
      </c>
      <c r="D347" s="163" t="s">
        <v>868</v>
      </c>
      <c r="E347" s="163" t="s">
        <v>3511</v>
      </c>
      <c r="F347" s="163" t="s">
        <v>1012</v>
      </c>
      <c r="G347" s="163" t="s">
        <v>2325</v>
      </c>
      <c r="H347" s="163" t="s">
        <v>3991</v>
      </c>
      <c r="I347" s="164">
        <v>25</v>
      </c>
      <c r="J347" s="164">
        <v>25</v>
      </c>
      <c r="K347" s="164">
        <v>25</v>
      </c>
      <c r="L347" s="164">
        <v>25</v>
      </c>
      <c r="M347" s="164">
        <v>25</v>
      </c>
      <c r="N347" s="164">
        <v>55</v>
      </c>
    </row>
    <row r="348" spans="1:15">
      <c r="A348" s="163" t="s">
        <v>2296</v>
      </c>
      <c r="B348" s="163" t="s">
        <v>865</v>
      </c>
      <c r="C348" s="163" t="s">
        <v>2297</v>
      </c>
      <c r="D348" s="163" t="s">
        <v>864</v>
      </c>
      <c r="E348" s="163" t="s">
        <v>3511</v>
      </c>
      <c r="F348" s="163" t="s">
        <v>2242</v>
      </c>
      <c r="G348" s="163" t="s">
        <v>2298</v>
      </c>
      <c r="H348" s="163" t="s">
        <v>3992</v>
      </c>
      <c r="I348" s="164">
        <v>25</v>
      </c>
      <c r="J348" s="164">
        <v>25</v>
      </c>
      <c r="K348" s="164">
        <v>25</v>
      </c>
      <c r="L348" s="164">
        <v>25</v>
      </c>
      <c r="M348" s="164">
        <v>25</v>
      </c>
      <c r="N348" s="164">
        <v>55</v>
      </c>
      <c r="O348" s="163" t="s">
        <v>4316</v>
      </c>
    </row>
    <row r="349" spans="1:15">
      <c r="A349" s="163" t="s">
        <v>2343</v>
      </c>
      <c r="B349" s="163" t="s">
        <v>874</v>
      </c>
      <c r="C349" s="163" t="s">
        <v>2344</v>
      </c>
      <c r="D349" s="163" t="s">
        <v>1306</v>
      </c>
      <c r="E349" s="163" t="s">
        <v>3525</v>
      </c>
      <c r="F349" s="163" t="s">
        <v>1361</v>
      </c>
      <c r="G349" s="163" t="s">
        <v>2345</v>
      </c>
      <c r="I349" s="164">
        <v>25</v>
      </c>
      <c r="J349" s="164">
        <v>25</v>
      </c>
      <c r="K349" s="164">
        <v>25</v>
      </c>
      <c r="L349" s="164">
        <v>25</v>
      </c>
      <c r="M349" s="164">
        <v>25</v>
      </c>
      <c r="N349" s="164">
        <v>55</v>
      </c>
      <c r="O349" s="163" t="s">
        <v>4309</v>
      </c>
    </row>
    <row r="350" spans="1:15">
      <c r="A350" s="163" t="s">
        <v>2351</v>
      </c>
      <c r="B350" s="163" t="s">
        <v>2063</v>
      </c>
      <c r="C350" s="163" t="s">
        <v>2352</v>
      </c>
      <c r="D350" s="163" t="s">
        <v>868</v>
      </c>
      <c r="E350" s="163" t="s">
        <v>3511</v>
      </c>
      <c r="F350" s="163" t="s">
        <v>868</v>
      </c>
      <c r="G350" s="163" t="s">
        <v>2353</v>
      </c>
      <c r="H350" s="163" t="s">
        <v>3993</v>
      </c>
      <c r="I350" s="164">
        <v>25</v>
      </c>
      <c r="J350" s="164">
        <v>25</v>
      </c>
      <c r="K350" s="164">
        <v>25</v>
      </c>
      <c r="L350" s="164">
        <v>25</v>
      </c>
      <c r="M350" s="164">
        <v>25</v>
      </c>
      <c r="N350" s="164">
        <v>55</v>
      </c>
    </row>
    <row r="351" spans="1:15">
      <c r="A351" s="163" t="s">
        <v>2335</v>
      </c>
      <c r="B351" s="163" t="s">
        <v>865</v>
      </c>
      <c r="C351" s="163" t="s">
        <v>2336</v>
      </c>
      <c r="D351" s="163" t="s">
        <v>864</v>
      </c>
      <c r="E351" s="163" t="s">
        <v>3511</v>
      </c>
      <c r="F351" s="163" t="s">
        <v>2338</v>
      </c>
      <c r="G351" s="163" t="s">
        <v>2337</v>
      </c>
      <c r="I351" s="164">
        <v>25</v>
      </c>
      <c r="J351" s="164">
        <v>25</v>
      </c>
      <c r="K351" s="164">
        <v>25</v>
      </c>
      <c r="L351" s="164">
        <v>25</v>
      </c>
      <c r="M351" s="164">
        <v>25</v>
      </c>
      <c r="N351" s="164">
        <v>55</v>
      </c>
      <c r="O351" s="163" t="s">
        <v>4316</v>
      </c>
    </row>
    <row r="352" spans="1:15">
      <c r="A352" s="163" t="s">
        <v>2326</v>
      </c>
      <c r="B352" s="163" t="s">
        <v>2213</v>
      </c>
      <c r="C352" s="163" t="s">
        <v>2327</v>
      </c>
      <c r="D352" s="163" t="s">
        <v>1086</v>
      </c>
      <c r="E352" s="163" t="s">
        <v>3511</v>
      </c>
      <c r="F352" s="163" t="s">
        <v>2328</v>
      </c>
      <c r="G352" s="163" t="s">
        <v>2424</v>
      </c>
      <c r="I352" s="164">
        <v>25</v>
      </c>
      <c r="J352" s="164">
        <v>25</v>
      </c>
      <c r="K352" s="164">
        <v>25</v>
      </c>
      <c r="L352" s="164">
        <v>25</v>
      </c>
      <c r="M352" s="164">
        <v>25</v>
      </c>
      <c r="N352" s="164">
        <v>55</v>
      </c>
      <c r="O352" s="163" t="s">
        <v>4389</v>
      </c>
    </row>
    <row r="353" spans="1:15">
      <c r="A353" s="163" t="s">
        <v>2339</v>
      </c>
      <c r="B353" s="163" t="s">
        <v>2213</v>
      </c>
      <c r="C353" s="163" t="s">
        <v>2340</v>
      </c>
      <c r="D353" s="163" t="s">
        <v>1086</v>
      </c>
      <c r="E353" s="163" t="s">
        <v>3511</v>
      </c>
      <c r="F353" s="163" t="s">
        <v>1119</v>
      </c>
      <c r="G353" s="163" t="s">
        <v>2341</v>
      </c>
      <c r="H353" s="163" t="s">
        <v>3994</v>
      </c>
      <c r="I353" s="164">
        <v>25</v>
      </c>
      <c r="J353" s="164">
        <v>25</v>
      </c>
      <c r="K353" s="164">
        <v>25</v>
      </c>
      <c r="L353" s="164">
        <v>25</v>
      </c>
      <c r="M353" s="164">
        <v>25</v>
      </c>
      <c r="N353" s="164">
        <v>55</v>
      </c>
      <c r="O353" s="163" t="s">
        <v>4316</v>
      </c>
    </row>
    <row r="354" spans="1:15">
      <c r="A354" s="163" t="s">
        <v>2329</v>
      </c>
      <c r="B354" s="163" t="s">
        <v>2213</v>
      </c>
      <c r="C354" s="163" t="s">
        <v>2330</v>
      </c>
      <c r="D354" s="163" t="s">
        <v>1086</v>
      </c>
      <c r="E354" s="163" t="s">
        <v>3517</v>
      </c>
      <c r="F354" s="163" t="s">
        <v>1400</v>
      </c>
      <c r="G354" s="163" t="s">
        <v>2331</v>
      </c>
      <c r="I354" s="164">
        <v>25</v>
      </c>
      <c r="J354" s="164">
        <v>25</v>
      </c>
      <c r="K354" s="164">
        <v>25</v>
      </c>
      <c r="L354" s="164">
        <v>25</v>
      </c>
      <c r="M354" s="164">
        <v>25</v>
      </c>
      <c r="N354" s="164">
        <v>55</v>
      </c>
      <c r="O354" s="163" t="s">
        <v>4316</v>
      </c>
    </row>
    <row r="355" spans="1:15">
      <c r="A355" s="163" t="s">
        <v>2332</v>
      </c>
      <c r="B355" s="163" t="s">
        <v>2213</v>
      </c>
      <c r="C355" s="163" t="s">
        <v>2333</v>
      </c>
      <c r="D355" s="163" t="s">
        <v>953</v>
      </c>
      <c r="E355" s="163" t="s">
        <v>3511</v>
      </c>
      <c r="F355" s="163" t="s">
        <v>1262</v>
      </c>
      <c r="G355" s="163" t="s">
        <v>2334</v>
      </c>
      <c r="H355" s="163" t="s">
        <v>3995</v>
      </c>
      <c r="I355" s="164">
        <v>25</v>
      </c>
      <c r="J355" s="164">
        <v>25</v>
      </c>
      <c r="K355" s="164">
        <v>25</v>
      </c>
      <c r="L355" s="164">
        <v>25</v>
      </c>
      <c r="M355" s="164">
        <v>25</v>
      </c>
      <c r="N355" s="164">
        <v>55</v>
      </c>
      <c r="O355" s="163" t="s">
        <v>4359</v>
      </c>
    </row>
    <row r="356" spans="1:15">
      <c r="A356" s="163" t="s">
        <v>2404</v>
      </c>
      <c r="B356" s="163" t="s">
        <v>2213</v>
      </c>
      <c r="C356" s="163" t="s">
        <v>2405</v>
      </c>
      <c r="D356" s="163" t="s">
        <v>2221</v>
      </c>
      <c r="E356" s="163" t="s">
        <v>3511</v>
      </c>
      <c r="F356" s="163" t="s">
        <v>2407</v>
      </c>
      <c r="G356" s="163" t="s">
        <v>2406</v>
      </c>
      <c r="H356" s="163" t="s">
        <v>3996</v>
      </c>
      <c r="I356" s="164">
        <v>18</v>
      </c>
      <c r="J356" s="164">
        <v>18</v>
      </c>
      <c r="K356" s="164">
        <v>18</v>
      </c>
      <c r="L356" s="164">
        <v>18</v>
      </c>
      <c r="M356" s="164">
        <v>18</v>
      </c>
      <c r="N356" s="164">
        <v>55</v>
      </c>
      <c r="O356" s="163" t="s">
        <v>4316</v>
      </c>
    </row>
    <row r="357" spans="1:15">
      <c r="A357" s="163" t="s">
        <v>2456</v>
      </c>
      <c r="B357" s="163" t="s">
        <v>874</v>
      </c>
      <c r="C357" s="163" t="s">
        <v>2457</v>
      </c>
      <c r="D357" s="163" t="s">
        <v>1267</v>
      </c>
      <c r="E357" s="163" t="s">
        <v>3524</v>
      </c>
      <c r="F357" s="163" t="s">
        <v>1266</v>
      </c>
      <c r="G357" s="163" t="s">
        <v>2458</v>
      </c>
      <c r="H357" s="163" t="s">
        <v>3818</v>
      </c>
      <c r="I357" s="164">
        <v>25</v>
      </c>
      <c r="J357" s="164">
        <v>25</v>
      </c>
      <c r="K357" s="164">
        <v>25</v>
      </c>
      <c r="L357" s="164">
        <v>25</v>
      </c>
      <c r="M357" s="164">
        <v>25</v>
      </c>
      <c r="N357" s="164">
        <v>60</v>
      </c>
      <c r="O357" s="163" t="s">
        <v>4314</v>
      </c>
    </row>
    <row r="358" spans="1:15">
      <c r="A358" s="163" t="s">
        <v>2432</v>
      </c>
      <c r="B358" s="163" t="s">
        <v>2213</v>
      </c>
      <c r="C358" s="163" t="s">
        <v>2433</v>
      </c>
      <c r="D358" s="163" t="s">
        <v>1147</v>
      </c>
      <c r="E358" s="163" t="s">
        <v>3511</v>
      </c>
      <c r="F358" s="163" t="s">
        <v>1168</v>
      </c>
      <c r="G358" s="163" t="s">
        <v>2434</v>
      </c>
      <c r="H358" s="163" t="s">
        <v>3997</v>
      </c>
      <c r="I358" s="164">
        <v>25</v>
      </c>
      <c r="J358" s="164">
        <v>25</v>
      </c>
      <c r="K358" s="164">
        <v>25</v>
      </c>
      <c r="L358" s="164">
        <v>25</v>
      </c>
      <c r="M358" s="164">
        <v>25</v>
      </c>
      <c r="N358" s="164">
        <v>55</v>
      </c>
    </row>
    <row r="359" spans="1:15">
      <c r="A359" s="163" t="s">
        <v>2465</v>
      </c>
      <c r="B359" s="163" t="s">
        <v>3489</v>
      </c>
      <c r="C359" s="163" t="s">
        <v>2466</v>
      </c>
      <c r="D359" s="163" t="s">
        <v>1459</v>
      </c>
      <c r="E359" s="163" t="s">
        <v>3519</v>
      </c>
      <c r="F359" s="163" t="s">
        <v>1493</v>
      </c>
      <c r="G359" s="163" t="s">
        <v>2467</v>
      </c>
      <c r="H359" s="163" t="s">
        <v>3998</v>
      </c>
      <c r="I359" s="164">
        <v>25</v>
      </c>
      <c r="J359" s="164">
        <v>25</v>
      </c>
      <c r="K359" s="164">
        <v>25</v>
      </c>
      <c r="L359" s="164">
        <v>25</v>
      </c>
      <c r="M359" s="164">
        <v>25</v>
      </c>
      <c r="N359" s="164">
        <v>55</v>
      </c>
      <c r="O359" s="163" t="s">
        <v>4319</v>
      </c>
    </row>
    <row r="360" spans="1:15">
      <c r="A360" s="163" t="s">
        <v>2408</v>
      </c>
      <c r="B360" s="163" t="s">
        <v>865</v>
      </c>
      <c r="C360" s="163" t="s">
        <v>2409</v>
      </c>
      <c r="D360" s="163" t="s">
        <v>864</v>
      </c>
      <c r="E360" s="163" t="s">
        <v>3511</v>
      </c>
      <c r="F360" s="163" t="s">
        <v>979</v>
      </c>
      <c r="G360" s="163" t="s">
        <v>2410</v>
      </c>
      <c r="H360" s="163" t="s">
        <v>3999</v>
      </c>
      <c r="I360" s="164">
        <v>25</v>
      </c>
      <c r="J360" s="164">
        <v>25</v>
      </c>
      <c r="K360" s="164">
        <v>25</v>
      </c>
      <c r="L360" s="164">
        <v>25</v>
      </c>
      <c r="M360" s="164">
        <v>25</v>
      </c>
      <c r="N360" s="164">
        <v>55</v>
      </c>
      <c r="O360" s="163" t="s">
        <v>4316</v>
      </c>
    </row>
    <row r="361" spans="1:15">
      <c r="A361" s="163" t="s">
        <v>2468</v>
      </c>
      <c r="B361" s="163" t="s">
        <v>2063</v>
      </c>
      <c r="C361" s="163" t="s">
        <v>2469</v>
      </c>
      <c r="D361" s="163" t="s">
        <v>868</v>
      </c>
      <c r="E361" s="163" t="s">
        <v>3511</v>
      </c>
      <c r="F361" s="163" t="s">
        <v>2224</v>
      </c>
      <c r="G361" s="163" t="s">
        <v>2470</v>
      </c>
      <c r="H361" s="163" t="s">
        <v>4000</v>
      </c>
      <c r="I361" s="164">
        <v>25</v>
      </c>
      <c r="J361" s="164">
        <v>25</v>
      </c>
      <c r="K361" s="164">
        <v>25</v>
      </c>
      <c r="L361" s="164">
        <v>25</v>
      </c>
      <c r="M361" s="164">
        <v>25</v>
      </c>
      <c r="N361" s="164">
        <v>55</v>
      </c>
    </row>
    <row r="362" spans="1:15">
      <c r="A362" s="163" t="s">
        <v>2411</v>
      </c>
      <c r="B362" s="163" t="s">
        <v>2213</v>
      </c>
      <c r="C362" s="163" t="s">
        <v>2412</v>
      </c>
      <c r="D362" s="163" t="s">
        <v>2221</v>
      </c>
      <c r="E362" s="163" t="s">
        <v>3511</v>
      </c>
      <c r="F362" s="163" t="s">
        <v>2414</v>
      </c>
      <c r="G362" s="163" t="s">
        <v>2413</v>
      </c>
      <c r="H362" s="163" t="s">
        <v>4001</v>
      </c>
      <c r="I362" s="164">
        <v>25</v>
      </c>
      <c r="J362" s="164">
        <v>25</v>
      </c>
      <c r="K362" s="164">
        <v>25</v>
      </c>
      <c r="L362" s="164">
        <v>25</v>
      </c>
      <c r="M362" s="164">
        <v>25</v>
      </c>
      <c r="N362" s="164">
        <v>55</v>
      </c>
      <c r="O362" s="163" t="s">
        <v>4390</v>
      </c>
    </row>
    <row r="363" spans="1:15">
      <c r="A363" s="163" t="s">
        <v>2445</v>
      </c>
      <c r="B363" s="163" t="s">
        <v>2213</v>
      </c>
      <c r="C363" s="163" t="s">
        <v>2446</v>
      </c>
      <c r="D363" s="163" t="s">
        <v>953</v>
      </c>
      <c r="E363" s="163" t="s">
        <v>3511</v>
      </c>
      <c r="F363" s="163" t="s">
        <v>2448</v>
      </c>
      <c r="G363" s="163" t="s">
        <v>2447</v>
      </c>
      <c r="H363" s="163" t="s">
        <v>4002</v>
      </c>
      <c r="I363" s="164">
        <v>25</v>
      </c>
      <c r="J363" s="164">
        <v>25</v>
      </c>
      <c r="K363" s="164">
        <v>25</v>
      </c>
      <c r="L363" s="164">
        <v>25</v>
      </c>
      <c r="M363" s="164">
        <v>25</v>
      </c>
      <c r="N363" s="164">
        <v>55</v>
      </c>
      <c r="O363" s="163" t="s">
        <v>4391</v>
      </c>
    </row>
    <row r="364" spans="1:15">
      <c r="A364" s="163" t="s">
        <v>2435</v>
      </c>
      <c r="B364" s="163" t="s">
        <v>2213</v>
      </c>
      <c r="C364" s="163" t="s">
        <v>2436</v>
      </c>
      <c r="D364" s="163" t="s">
        <v>1147</v>
      </c>
      <c r="E364" s="163" t="s">
        <v>3517</v>
      </c>
      <c r="F364" s="163" t="s">
        <v>1182</v>
      </c>
      <c r="G364" s="163" t="s">
        <v>2437</v>
      </c>
      <c r="H364" s="163" t="s">
        <v>4003</v>
      </c>
      <c r="I364" s="164">
        <v>25</v>
      </c>
      <c r="J364" s="164">
        <v>25</v>
      </c>
      <c r="K364" s="164">
        <v>25</v>
      </c>
      <c r="L364" s="164">
        <v>25</v>
      </c>
      <c r="M364" s="164">
        <v>25</v>
      </c>
      <c r="N364" s="164">
        <v>55</v>
      </c>
      <c r="O364" s="163" t="s">
        <v>4392</v>
      </c>
    </row>
    <row r="365" spans="1:15">
      <c r="A365" s="163" t="s">
        <v>2438</v>
      </c>
      <c r="B365" s="163" t="s">
        <v>2213</v>
      </c>
      <c r="C365" s="163" t="s">
        <v>2439</v>
      </c>
      <c r="D365" s="163" t="s">
        <v>953</v>
      </c>
      <c r="E365" s="163" t="s">
        <v>3511</v>
      </c>
      <c r="F365" s="163" t="s">
        <v>2441</v>
      </c>
      <c r="G365" s="163" t="s">
        <v>2440</v>
      </c>
      <c r="H365" s="163" t="s">
        <v>4004</v>
      </c>
      <c r="I365" s="164">
        <v>25</v>
      </c>
      <c r="J365" s="164">
        <v>25</v>
      </c>
      <c r="K365" s="164">
        <v>25</v>
      </c>
      <c r="L365" s="164">
        <v>25</v>
      </c>
      <c r="M365" s="164">
        <v>25</v>
      </c>
      <c r="N365" s="164">
        <v>55</v>
      </c>
      <c r="O365" s="163" t="s">
        <v>4316</v>
      </c>
    </row>
    <row r="366" spans="1:15">
      <c r="A366" s="163" t="s">
        <v>2459</v>
      </c>
      <c r="B366" s="163" t="s">
        <v>874</v>
      </c>
      <c r="C366" s="163" t="s">
        <v>2460</v>
      </c>
      <c r="D366" s="163" t="s">
        <v>1306</v>
      </c>
      <c r="E366" s="163" t="s">
        <v>3525</v>
      </c>
      <c r="F366" s="163" t="s">
        <v>2015</v>
      </c>
      <c r="G366" s="163" t="s">
        <v>2461</v>
      </c>
      <c r="H366" s="163" t="s">
        <v>4005</v>
      </c>
      <c r="I366" s="164">
        <v>25</v>
      </c>
      <c r="J366" s="164">
        <v>25</v>
      </c>
      <c r="K366" s="164">
        <v>25</v>
      </c>
      <c r="L366" s="164">
        <v>25</v>
      </c>
      <c r="M366" s="164">
        <v>25</v>
      </c>
      <c r="N366" s="164">
        <v>55</v>
      </c>
      <c r="O366" s="163" t="s">
        <v>4309</v>
      </c>
    </row>
    <row r="367" spans="1:15">
      <c r="A367" s="163" t="s">
        <v>2471</v>
      </c>
      <c r="B367" s="163" t="s">
        <v>2063</v>
      </c>
      <c r="C367" s="163" t="s">
        <v>2472</v>
      </c>
      <c r="D367" s="163" t="s">
        <v>868</v>
      </c>
      <c r="E367" s="163" t="s">
        <v>3511</v>
      </c>
      <c r="F367" s="163" t="s">
        <v>2474</v>
      </c>
      <c r="G367" s="163" t="s">
        <v>2473</v>
      </c>
      <c r="I367" s="164">
        <v>18</v>
      </c>
      <c r="J367" s="164">
        <v>18</v>
      </c>
      <c r="K367" s="164">
        <v>18</v>
      </c>
      <c r="L367" s="164">
        <v>18</v>
      </c>
      <c r="M367" s="164">
        <v>18</v>
      </c>
      <c r="N367" s="164">
        <v>55</v>
      </c>
    </row>
    <row r="368" spans="1:15">
      <c r="A368" s="163" t="s">
        <v>2475</v>
      </c>
      <c r="B368" s="163" t="s">
        <v>2480</v>
      </c>
      <c r="C368" s="163" t="s">
        <v>2476</v>
      </c>
      <c r="D368" s="163" t="s">
        <v>2479</v>
      </c>
      <c r="E368" s="163" t="s">
        <v>3514</v>
      </c>
      <c r="F368" s="163" t="s">
        <v>2478</v>
      </c>
      <c r="G368" s="163" t="s">
        <v>2477</v>
      </c>
      <c r="H368" s="163" t="s">
        <v>4006</v>
      </c>
      <c r="I368" s="164" t="s">
        <v>2796</v>
      </c>
      <c r="J368" s="164" t="s">
        <v>2796</v>
      </c>
      <c r="K368" s="164" t="s">
        <v>2796</v>
      </c>
      <c r="L368" s="164" t="s">
        <v>2796</v>
      </c>
      <c r="M368" s="164" t="s">
        <v>2796</v>
      </c>
      <c r="N368" s="164">
        <v>55</v>
      </c>
      <c r="O368" s="163" t="s">
        <v>4393</v>
      </c>
    </row>
    <row r="369" spans="1:15">
      <c r="A369" s="163" t="s">
        <v>2415</v>
      </c>
      <c r="B369" s="163" t="s">
        <v>2213</v>
      </c>
      <c r="C369" s="163" t="s">
        <v>2416</v>
      </c>
      <c r="D369" s="163" t="s">
        <v>2221</v>
      </c>
      <c r="E369" s="163" t="s">
        <v>3511</v>
      </c>
      <c r="F369" s="163" t="s">
        <v>983</v>
      </c>
      <c r="G369" s="163" t="s">
        <v>2417</v>
      </c>
      <c r="H369" s="163" t="s">
        <v>4007</v>
      </c>
      <c r="I369" s="164">
        <v>25</v>
      </c>
      <c r="J369" s="164">
        <v>25</v>
      </c>
      <c r="K369" s="164">
        <v>25</v>
      </c>
      <c r="L369" s="164">
        <v>25</v>
      </c>
      <c r="M369" s="164">
        <v>25</v>
      </c>
      <c r="N369" s="164">
        <v>55</v>
      </c>
    </row>
    <row r="370" spans="1:15">
      <c r="A370" s="163" t="s">
        <v>2429</v>
      </c>
      <c r="B370" s="163" t="s">
        <v>2213</v>
      </c>
      <c r="C370" s="163" t="s">
        <v>2430</v>
      </c>
      <c r="D370" s="163" t="s">
        <v>1086</v>
      </c>
      <c r="E370" s="163" t="s">
        <v>3511</v>
      </c>
      <c r="F370" s="163" t="s">
        <v>944</v>
      </c>
      <c r="G370" s="163" t="s">
        <v>2431</v>
      </c>
      <c r="H370" s="163" t="s">
        <v>4008</v>
      </c>
      <c r="I370" s="164">
        <v>25</v>
      </c>
      <c r="J370" s="164">
        <v>25</v>
      </c>
      <c r="K370" s="164">
        <v>25</v>
      </c>
      <c r="L370" s="164">
        <v>25</v>
      </c>
      <c r="M370" s="164">
        <v>25</v>
      </c>
      <c r="N370" s="164">
        <v>55</v>
      </c>
    </row>
    <row r="371" spans="1:15">
      <c r="A371" s="163" t="s">
        <v>2481</v>
      </c>
      <c r="B371" s="163" t="s">
        <v>2480</v>
      </c>
      <c r="C371" s="163" t="s">
        <v>2482</v>
      </c>
      <c r="D371" s="163" t="s">
        <v>2479</v>
      </c>
      <c r="E371" s="163" t="s">
        <v>3514</v>
      </c>
      <c r="F371" s="163" t="s">
        <v>2484</v>
      </c>
      <c r="G371" s="163" t="s">
        <v>2483</v>
      </c>
      <c r="H371" s="163" t="s">
        <v>4009</v>
      </c>
      <c r="I371" s="164" t="s">
        <v>2796</v>
      </c>
      <c r="J371" s="164" t="s">
        <v>2796</v>
      </c>
      <c r="K371" s="164" t="s">
        <v>2796</v>
      </c>
      <c r="L371" s="164" t="s">
        <v>2796</v>
      </c>
      <c r="M371" s="164" t="s">
        <v>2796</v>
      </c>
      <c r="N371" s="164">
        <v>55</v>
      </c>
      <c r="O371" s="163" t="s">
        <v>4393</v>
      </c>
    </row>
    <row r="372" spans="1:15">
      <c r="A372" s="163" t="s">
        <v>2442</v>
      </c>
      <c r="B372" s="163" t="s">
        <v>2213</v>
      </c>
      <c r="C372" s="163" t="s">
        <v>2443</v>
      </c>
      <c r="D372" s="163" t="s">
        <v>953</v>
      </c>
      <c r="E372" s="163" t="s">
        <v>3511</v>
      </c>
      <c r="F372" s="163" t="s">
        <v>2441</v>
      </c>
      <c r="G372" s="163" t="s">
        <v>2444</v>
      </c>
      <c r="H372" s="163" t="s">
        <v>4010</v>
      </c>
      <c r="I372" s="164">
        <v>25</v>
      </c>
      <c r="J372" s="164">
        <v>25</v>
      </c>
      <c r="K372" s="164">
        <v>25</v>
      </c>
      <c r="L372" s="164">
        <v>25</v>
      </c>
      <c r="M372" s="164">
        <v>25</v>
      </c>
      <c r="N372" s="164">
        <v>55</v>
      </c>
      <c r="O372" s="163" t="s">
        <v>4316</v>
      </c>
    </row>
    <row r="373" spans="1:15">
      <c r="A373" s="163" t="s">
        <v>2449</v>
      </c>
      <c r="B373" s="163" t="s">
        <v>2213</v>
      </c>
      <c r="C373" s="163" t="s">
        <v>2450</v>
      </c>
      <c r="D373" s="163" t="s">
        <v>2422</v>
      </c>
      <c r="E373" s="163" t="s">
        <v>3515</v>
      </c>
      <c r="F373" s="163" t="s">
        <v>2452</v>
      </c>
      <c r="G373" s="163" t="s">
        <v>2451</v>
      </c>
      <c r="H373" s="163" t="s">
        <v>4011</v>
      </c>
      <c r="I373" s="164">
        <v>25</v>
      </c>
      <c r="J373" s="164">
        <v>25</v>
      </c>
      <c r="K373" s="164">
        <v>25</v>
      </c>
      <c r="L373" s="164">
        <v>25</v>
      </c>
      <c r="M373" s="164">
        <v>25</v>
      </c>
      <c r="N373" s="164">
        <v>55</v>
      </c>
      <c r="O373" s="163" t="s">
        <v>4394</v>
      </c>
    </row>
    <row r="374" spans="1:15">
      <c r="A374" s="163" t="s">
        <v>2462</v>
      </c>
      <c r="B374" s="163" t="s">
        <v>2057</v>
      </c>
      <c r="C374" s="163" t="s">
        <v>2463</v>
      </c>
      <c r="D374" s="163" t="s">
        <v>1459</v>
      </c>
      <c r="E374" s="163" t="s">
        <v>3516</v>
      </c>
      <c r="F374" s="163" t="s">
        <v>1463</v>
      </c>
      <c r="G374" s="163" t="s">
        <v>2464</v>
      </c>
      <c r="H374" s="163" t="s">
        <v>4012</v>
      </c>
      <c r="I374" s="164">
        <v>25</v>
      </c>
      <c r="J374" s="164">
        <v>25</v>
      </c>
      <c r="K374" s="164">
        <v>25</v>
      </c>
      <c r="L374" s="164">
        <v>18</v>
      </c>
      <c r="M374" s="164">
        <v>25</v>
      </c>
      <c r="N374" s="164">
        <v>55</v>
      </c>
      <c r="O374" s="163" t="s">
        <v>4316</v>
      </c>
    </row>
    <row r="375" spans="1:15">
      <c r="A375" s="163" t="s">
        <v>2453</v>
      </c>
      <c r="B375" s="163" t="s">
        <v>2213</v>
      </c>
      <c r="C375" s="163" t="s">
        <v>2454</v>
      </c>
      <c r="D375" s="163" t="s">
        <v>2422</v>
      </c>
      <c r="E375" s="163" t="s">
        <v>3515</v>
      </c>
      <c r="F375" s="163" t="s">
        <v>2452</v>
      </c>
      <c r="G375" s="163" t="s">
        <v>2455</v>
      </c>
      <c r="H375" s="163" t="s">
        <v>4013</v>
      </c>
      <c r="I375" s="164">
        <v>25</v>
      </c>
      <c r="J375" s="164">
        <v>25</v>
      </c>
      <c r="K375" s="164">
        <v>25</v>
      </c>
      <c r="L375" s="164">
        <v>25</v>
      </c>
      <c r="M375" s="164">
        <v>25</v>
      </c>
      <c r="N375" s="164">
        <v>55</v>
      </c>
      <c r="O375" s="163" t="s">
        <v>4394</v>
      </c>
    </row>
    <row r="376" spans="1:15">
      <c r="A376" s="163" t="s">
        <v>2418</v>
      </c>
      <c r="B376" s="163" t="s">
        <v>2213</v>
      </c>
      <c r="C376" s="163" t="s">
        <v>2419</v>
      </c>
      <c r="D376" s="163" t="s">
        <v>2422</v>
      </c>
      <c r="E376" s="163" t="s">
        <v>3515</v>
      </c>
      <c r="F376" s="163" t="s">
        <v>2421</v>
      </c>
      <c r="G376" s="163" t="s">
        <v>2420</v>
      </c>
      <c r="H376" s="163" t="s">
        <v>4014</v>
      </c>
      <c r="I376" s="164">
        <v>25</v>
      </c>
      <c r="J376" s="164">
        <v>25</v>
      </c>
      <c r="K376" s="164">
        <v>25</v>
      </c>
      <c r="L376" s="164">
        <v>25</v>
      </c>
      <c r="M376" s="164">
        <v>25</v>
      </c>
      <c r="N376" s="164">
        <v>55</v>
      </c>
      <c r="O376" s="163" t="s">
        <v>4395</v>
      </c>
    </row>
    <row r="377" spans="1:15">
      <c r="A377" s="163" t="s">
        <v>2823</v>
      </c>
      <c r="B377" s="163" t="s">
        <v>865</v>
      </c>
      <c r="C377" s="163" t="s">
        <v>2824</v>
      </c>
      <c r="D377" s="163" t="s">
        <v>864</v>
      </c>
      <c r="E377" s="163" t="s">
        <v>3511</v>
      </c>
      <c r="F377" s="163" t="s">
        <v>959</v>
      </c>
      <c r="G377" s="163" t="s">
        <v>2825</v>
      </c>
      <c r="H377" s="163" t="s">
        <v>3908</v>
      </c>
      <c r="I377" s="164">
        <v>25</v>
      </c>
      <c r="J377" s="164">
        <v>25</v>
      </c>
      <c r="K377" s="164">
        <v>25</v>
      </c>
      <c r="L377" s="164">
        <v>25</v>
      </c>
      <c r="M377" s="164">
        <v>25</v>
      </c>
      <c r="N377" s="164">
        <v>55</v>
      </c>
    </row>
    <row r="378" spans="1:15">
      <c r="A378" s="163" t="s">
        <v>2837</v>
      </c>
      <c r="B378" s="163" t="s">
        <v>874</v>
      </c>
      <c r="C378" s="163" t="s">
        <v>2838</v>
      </c>
      <c r="D378" s="163" t="s">
        <v>1306</v>
      </c>
      <c r="E378" s="163" t="s">
        <v>3525</v>
      </c>
      <c r="F378" s="163" t="s">
        <v>2840</v>
      </c>
      <c r="G378" s="163" t="s">
        <v>2839</v>
      </c>
      <c r="H378" s="163" t="s">
        <v>4015</v>
      </c>
      <c r="I378" s="164">
        <v>25</v>
      </c>
      <c r="J378" s="164">
        <v>18</v>
      </c>
      <c r="K378" s="164">
        <v>25</v>
      </c>
      <c r="L378" s="164">
        <v>18</v>
      </c>
      <c r="M378" s="164">
        <v>25</v>
      </c>
      <c r="N378" s="164">
        <v>55</v>
      </c>
      <c r="O378" s="163" t="s">
        <v>4309</v>
      </c>
    </row>
    <row r="379" spans="1:15">
      <c r="A379" s="163" t="s">
        <v>2826</v>
      </c>
      <c r="B379" s="163" t="s">
        <v>2213</v>
      </c>
      <c r="C379" s="163" t="s">
        <v>2827</v>
      </c>
      <c r="D379" s="163" t="s">
        <v>2221</v>
      </c>
      <c r="E379" s="163" t="s">
        <v>3511</v>
      </c>
      <c r="F379" s="163" t="s">
        <v>2287</v>
      </c>
      <c r="G379" s="163" t="s">
        <v>2828</v>
      </c>
      <c r="I379" s="164">
        <v>18</v>
      </c>
      <c r="J379" s="164">
        <v>18</v>
      </c>
      <c r="K379" s="164">
        <v>18</v>
      </c>
      <c r="L379" s="164">
        <v>18</v>
      </c>
      <c r="M379" s="164">
        <v>18</v>
      </c>
      <c r="N379" s="164">
        <v>55</v>
      </c>
    </row>
    <row r="380" spans="1:15">
      <c r="A380" s="163" t="s">
        <v>2829</v>
      </c>
      <c r="B380" s="163" t="s">
        <v>865</v>
      </c>
      <c r="C380" s="163" t="s">
        <v>2830</v>
      </c>
      <c r="D380" s="163" t="s">
        <v>864</v>
      </c>
      <c r="E380" s="163" t="s">
        <v>3511</v>
      </c>
      <c r="F380" s="163" t="s">
        <v>2242</v>
      </c>
      <c r="G380" s="163" t="s">
        <v>2831</v>
      </c>
      <c r="I380" s="164">
        <v>0</v>
      </c>
      <c r="J380" s="164">
        <v>0</v>
      </c>
      <c r="K380" s="164">
        <v>0</v>
      </c>
      <c r="L380" s="164">
        <v>0</v>
      </c>
      <c r="M380" s="164">
        <v>0</v>
      </c>
      <c r="N380" s="164">
        <v>55</v>
      </c>
      <c r="O380" s="163" t="s">
        <v>4316</v>
      </c>
    </row>
    <row r="381" spans="1:15">
      <c r="A381" s="163" t="s">
        <v>2841</v>
      </c>
      <c r="B381" s="163" t="s">
        <v>2057</v>
      </c>
      <c r="C381" s="163" t="s">
        <v>2842</v>
      </c>
      <c r="D381" s="163" t="s">
        <v>1459</v>
      </c>
      <c r="E381" s="163" t="s">
        <v>3530</v>
      </c>
      <c r="F381" s="163" t="s">
        <v>2844</v>
      </c>
      <c r="G381" s="163" t="s">
        <v>2843</v>
      </c>
      <c r="H381" s="163" t="s">
        <v>4016</v>
      </c>
      <c r="I381" s="164">
        <v>25</v>
      </c>
      <c r="J381" s="164">
        <v>25</v>
      </c>
      <c r="K381" s="164">
        <v>25</v>
      </c>
      <c r="L381" s="164">
        <v>25</v>
      </c>
      <c r="M381" s="164">
        <v>25</v>
      </c>
      <c r="N381" s="164">
        <v>55</v>
      </c>
      <c r="O381" s="163" t="s">
        <v>4396</v>
      </c>
    </row>
    <row r="382" spans="1:15">
      <c r="A382" s="163" t="s">
        <v>2833</v>
      </c>
      <c r="B382" s="163" t="s">
        <v>2213</v>
      </c>
      <c r="C382" s="163" t="s">
        <v>2834</v>
      </c>
      <c r="D382" s="163" t="s">
        <v>1086</v>
      </c>
      <c r="E382" s="163" t="s">
        <v>3511</v>
      </c>
      <c r="F382" s="163" t="s">
        <v>2836</v>
      </c>
      <c r="G382" s="163" t="s">
        <v>2835</v>
      </c>
      <c r="H382" s="163" t="s">
        <v>4017</v>
      </c>
      <c r="I382" s="164">
        <v>25</v>
      </c>
      <c r="J382" s="164">
        <v>25</v>
      </c>
      <c r="K382" s="164">
        <v>25</v>
      </c>
      <c r="L382" s="164">
        <v>25</v>
      </c>
      <c r="M382" s="164">
        <v>25</v>
      </c>
      <c r="N382" s="164">
        <v>55</v>
      </c>
      <c r="O382" s="163" t="s">
        <v>4397</v>
      </c>
    </row>
    <row r="383" spans="1:15">
      <c r="A383" s="163" t="s">
        <v>2848</v>
      </c>
      <c r="B383" s="163" t="s">
        <v>2213</v>
      </c>
      <c r="C383" s="163" t="s">
        <v>2849</v>
      </c>
      <c r="D383" s="163" t="s">
        <v>2221</v>
      </c>
      <c r="E383" s="163" t="s">
        <v>3511</v>
      </c>
      <c r="F383" s="163" t="s">
        <v>890</v>
      </c>
      <c r="G383" s="163" t="s">
        <v>2850</v>
      </c>
      <c r="H383" s="163" t="s">
        <v>4018</v>
      </c>
      <c r="I383" s="164">
        <v>25</v>
      </c>
      <c r="J383" s="164">
        <v>25</v>
      </c>
      <c r="K383" s="164">
        <v>25</v>
      </c>
      <c r="L383" s="164">
        <v>25</v>
      </c>
      <c r="M383" s="164">
        <v>25</v>
      </c>
      <c r="N383" s="164">
        <v>55</v>
      </c>
      <c r="O383" s="163" t="s">
        <v>4316</v>
      </c>
    </row>
    <row r="384" spans="1:15">
      <c r="A384" s="163" t="s">
        <v>2845</v>
      </c>
      <c r="B384" s="163" t="s">
        <v>2057</v>
      </c>
      <c r="C384" s="163" t="s">
        <v>2846</v>
      </c>
      <c r="D384" s="163" t="s">
        <v>1459</v>
      </c>
      <c r="E384" s="163" t="s">
        <v>3516</v>
      </c>
      <c r="F384" s="163" t="s">
        <v>1502</v>
      </c>
      <c r="G384" s="163" t="s">
        <v>2847</v>
      </c>
      <c r="H384" s="163" t="s">
        <v>3840</v>
      </c>
      <c r="I384" s="164">
        <v>25</v>
      </c>
      <c r="J384" s="164">
        <v>25</v>
      </c>
      <c r="K384" s="164">
        <v>25</v>
      </c>
      <c r="L384" s="164">
        <v>18</v>
      </c>
      <c r="M384" s="164">
        <v>25</v>
      </c>
      <c r="N384" s="164">
        <v>55</v>
      </c>
      <c r="O384" s="163" t="s">
        <v>4339</v>
      </c>
    </row>
    <row r="385" spans="1:15">
      <c r="A385" s="163" t="s">
        <v>2851</v>
      </c>
      <c r="B385" s="163" t="s">
        <v>865</v>
      </c>
      <c r="C385" s="163" t="s">
        <v>2852</v>
      </c>
      <c r="D385" s="163" t="s">
        <v>864</v>
      </c>
      <c r="E385" s="163" t="s">
        <v>3511</v>
      </c>
      <c r="F385" s="163" t="s">
        <v>2176</v>
      </c>
      <c r="G385" s="163" t="s">
        <v>2176</v>
      </c>
      <c r="I385" s="164">
        <v>0</v>
      </c>
      <c r="J385" s="164">
        <v>0</v>
      </c>
      <c r="K385" s="164">
        <v>0</v>
      </c>
      <c r="L385" s="164">
        <v>0</v>
      </c>
      <c r="M385" s="164">
        <v>0</v>
      </c>
      <c r="N385" s="164">
        <v>0</v>
      </c>
    </row>
    <row r="386" spans="1:15">
      <c r="A386" s="163" t="s">
        <v>2864</v>
      </c>
      <c r="B386" s="163" t="s">
        <v>2480</v>
      </c>
      <c r="C386" s="163" t="s">
        <v>2865</v>
      </c>
      <c r="D386" s="163" t="s">
        <v>2479</v>
      </c>
      <c r="E386" s="163" t="s">
        <v>3514</v>
      </c>
      <c r="F386" s="163" t="s">
        <v>993</v>
      </c>
      <c r="G386" s="163" t="s">
        <v>2866</v>
      </c>
      <c r="H386" s="163" t="s">
        <v>2176</v>
      </c>
      <c r="I386" s="164" t="s">
        <v>2796</v>
      </c>
      <c r="J386" s="164" t="s">
        <v>2796</v>
      </c>
      <c r="K386" s="164" t="s">
        <v>2796</v>
      </c>
      <c r="L386" s="164" t="s">
        <v>2796</v>
      </c>
      <c r="M386" s="164" t="s">
        <v>2796</v>
      </c>
      <c r="N386" s="164">
        <v>55</v>
      </c>
      <c r="O386" s="163" t="s">
        <v>4393</v>
      </c>
    </row>
    <row r="387" spans="1:15">
      <c r="A387" s="163" t="s">
        <v>2860</v>
      </c>
      <c r="B387" s="163" t="s">
        <v>2063</v>
      </c>
      <c r="C387" s="163" t="s">
        <v>2861</v>
      </c>
      <c r="D387" s="163" t="s">
        <v>868</v>
      </c>
      <c r="E387" s="163" t="s">
        <v>3511</v>
      </c>
      <c r="F387" s="163" t="s">
        <v>2863</v>
      </c>
      <c r="G387" s="163" t="s">
        <v>2862</v>
      </c>
      <c r="I387" s="164">
        <v>25</v>
      </c>
      <c r="J387" s="164">
        <v>25</v>
      </c>
      <c r="K387" s="164">
        <v>25</v>
      </c>
      <c r="L387" s="164">
        <v>25</v>
      </c>
      <c r="M387" s="164">
        <v>25</v>
      </c>
      <c r="N387" s="164">
        <v>55</v>
      </c>
    </row>
    <row r="388" spans="1:15">
      <c r="A388" s="163" t="s">
        <v>2856</v>
      </c>
      <c r="B388" s="163" t="s">
        <v>2057</v>
      </c>
      <c r="C388" s="163" t="s">
        <v>2857</v>
      </c>
      <c r="D388" s="163" t="s">
        <v>1608</v>
      </c>
      <c r="E388" s="163" t="s">
        <v>3533</v>
      </c>
      <c r="F388" s="163" t="s">
        <v>2859</v>
      </c>
      <c r="G388" s="163" t="s">
        <v>2858</v>
      </c>
      <c r="H388" s="163" t="s">
        <v>3742</v>
      </c>
      <c r="I388" s="164">
        <v>25</v>
      </c>
      <c r="J388" s="164">
        <v>25</v>
      </c>
      <c r="K388" s="164">
        <v>25</v>
      </c>
      <c r="L388" s="164">
        <v>25</v>
      </c>
      <c r="M388" s="164">
        <v>25</v>
      </c>
      <c r="N388" s="164">
        <v>55</v>
      </c>
    </row>
    <row r="389" spans="1:15">
      <c r="A389" s="163" t="s">
        <v>2853</v>
      </c>
      <c r="B389" s="163" t="s">
        <v>874</v>
      </c>
      <c r="C389" s="163" t="s">
        <v>2854</v>
      </c>
      <c r="D389" s="163" t="s">
        <v>1267</v>
      </c>
      <c r="E389" s="163" t="s">
        <v>3524</v>
      </c>
      <c r="F389" s="163" t="s">
        <v>2855</v>
      </c>
      <c r="G389" s="163" t="s">
        <v>2886</v>
      </c>
      <c r="H389" s="163" t="s">
        <v>4019</v>
      </c>
      <c r="I389" s="164">
        <v>25</v>
      </c>
      <c r="J389" s="164">
        <v>25</v>
      </c>
      <c r="K389" s="164">
        <v>25</v>
      </c>
      <c r="L389" s="164">
        <v>25</v>
      </c>
      <c r="M389" s="164">
        <v>25</v>
      </c>
      <c r="N389" s="164">
        <v>60</v>
      </c>
      <c r="O389" s="163" t="s">
        <v>4314</v>
      </c>
    </row>
    <row r="390" spans="1:15">
      <c r="A390" s="163" t="s">
        <v>2878</v>
      </c>
      <c r="B390" s="163" t="s">
        <v>2213</v>
      </c>
      <c r="C390" s="163" t="s">
        <v>2879</v>
      </c>
      <c r="D390" s="163" t="s">
        <v>953</v>
      </c>
      <c r="E390" s="163" t="s">
        <v>3511</v>
      </c>
      <c r="F390" s="163" t="s">
        <v>2881</v>
      </c>
      <c r="G390" s="163" t="s">
        <v>2880</v>
      </c>
      <c r="H390" s="163" t="s">
        <v>4020</v>
      </c>
      <c r="I390" s="164">
        <v>25</v>
      </c>
      <c r="J390" s="164">
        <v>25</v>
      </c>
      <c r="K390" s="164">
        <v>25</v>
      </c>
      <c r="L390" s="164">
        <v>25</v>
      </c>
      <c r="M390" s="164">
        <v>25</v>
      </c>
      <c r="N390" s="164">
        <v>55</v>
      </c>
      <c r="O390" s="163" t="s">
        <v>4398</v>
      </c>
    </row>
    <row r="391" spans="1:15">
      <c r="A391" s="163" t="s">
        <v>2882</v>
      </c>
      <c r="B391" s="163" t="s">
        <v>2213</v>
      </c>
      <c r="C391" s="163" t="s">
        <v>2883</v>
      </c>
      <c r="D391" s="163" t="s">
        <v>953</v>
      </c>
      <c r="E391" s="163" t="s">
        <v>3511</v>
      </c>
      <c r="F391" s="163" t="s">
        <v>2885</v>
      </c>
      <c r="G391" s="163" t="s">
        <v>2884</v>
      </c>
      <c r="H391" s="163" t="s">
        <v>4021</v>
      </c>
      <c r="I391" s="164">
        <v>25</v>
      </c>
      <c r="J391" s="164">
        <v>25</v>
      </c>
      <c r="K391" s="164">
        <v>25</v>
      </c>
      <c r="L391" s="164">
        <v>25</v>
      </c>
      <c r="M391" s="164">
        <v>25</v>
      </c>
      <c r="N391" s="164">
        <v>55</v>
      </c>
      <c r="O391" s="163" t="s">
        <v>4316</v>
      </c>
    </row>
    <row r="392" spans="1:15">
      <c r="A392" s="163" t="s">
        <v>2887</v>
      </c>
      <c r="B392" s="163" t="s">
        <v>2063</v>
      </c>
      <c r="C392" s="163" t="s">
        <v>2888</v>
      </c>
      <c r="D392" s="163" t="s">
        <v>868</v>
      </c>
      <c r="E392" s="163" t="s">
        <v>3511</v>
      </c>
      <c r="F392" s="163" t="s">
        <v>2890</v>
      </c>
      <c r="G392" s="163" t="s">
        <v>2889</v>
      </c>
      <c r="I392" s="164">
        <v>25</v>
      </c>
      <c r="J392" s="164">
        <v>25</v>
      </c>
      <c r="K392" s="164">
        <v>25</v>
      </c>
      <c r="L392" s="164">
        <v>25</v>
      </c>
      <c r="M392" s="164">
        <v>25</v>
      </c>
      <c r="N392" s="164">
        <v>55</v>
      </c>
    </row>
    <row r="393" spans="1:15">
      <c r="A393" s="163" t="s">
        <v>2869</v>
      </c>
      <c r="B393" s="163" t="s">
        <v>2213</v>
      </c>
      <c r="C393" s="163" t="s">
        <v>2870</v>
      </c>
      <c r="D393" s="163" t="s">
        <v>2221</v>
      </c>
      <c r="E393" s="163" t="s">
        <v>3511</v>
      </c>
      <c r="F393" s="163" t="s">
        <v>940</v>
      </c>
      <c r="G393" s="163" t="s">
        <v>2871</v>
      </c>
      <c r="H393" s="163" t="s">
        <v>4022</v>
      </c>
      <c r="I393" s="164">
        <v>25</v>
      </c>
      <c r="J393" s="164">
        <v>25</v>
      </c>
      <c r="K393" s="164">
        <v>25</v>
      </c>
      <c r="L393" s="164">
        <v>25</v>
      </c>
      <c r="M393" s="164">
        <v>25</v>
      </c>
      <c r="N393" s="164">
        <v>55</v>
      </c>
      <c r="O393" s="163" t="s">
        <v>4316</v>
      </c>
    </row>
    <row r="394" spans="1:15">
      <c r="A394" s="163" t="s">
        <v>3016</v>
      </c>
      <c r="B394" s="163" t="s">
        <v>2213</v>
      </c>
      <c r="C394" s="163" t="s">
        <v>3020</v>
      </c>
      <c r="D394" s="163" t="s">
        <v>1086</v>
      </c>
      <c r="E394" s="163" t="s">
        <v>3511</v>
      </c>
      <c r="F394" s="163" t="s">
        <v>2868</v>
      </c>
      <c r="G394" s="163" t="s">
        <v>2867</v>
      </c>
      <c r="I394" s="164">
        <v>25</v>
      </c>
      <c r="J394" s="164">
        <v>25</v>
      </c>
      <c r="K394" s="164">
        <v>25</v>
      </c>
      <c r="L394" s="164">
        <v>25</v>
      </c>
      <c r="M394" s="164">
        <v>25</v>
      </c>
      <c r="N394" s="164">
        <v>55</v>
      </c>
    </row>
    <row r="395" spans="1:15">
      <c r="A395" s="163" t="s">
        <v>3017</v>
      </c>
      <c r="B395" s="163" t="s">
        <v>2063</v>
      </c>
      <c r="C395" s="163" t="s">
        <v>3018</v>
      </c>
      <c r="D395" s="163" t="s">
        <v>868</v>
      </c>
      <c r="E395" s="163" t="s">
        <v>3511</v>
      </c>
      <c r="F395" s="163" t="s">
        <v>1347</v>
      </c>
      <c r="G395" s="163" t="s">
        <v>3019</v>
      </c>
      <c r="H395" s="163" t="s">
        <v>4023</v>
      </c>
      <c r="I395" s="164">
        <v>25</v>
      </c>
      <c r="J395" s="164">
        <v>25</v>
      </c>
      <c r="K395" s="164">
        <v>25</v>
      </c>
      <c r="L395" s="164">
        <v>25</v>
      </c>
      <c r="M395" s="164">
        <v>25</v>
      </c>
      <c r="N395" s="164">
        <v>55</v>
      </c>
      <c r="O395" s="163" t="s">
        <v>4375</v>
      </c>
    </row>
    <row r="396" spans="1:15">
      <c r="A396" s="163" t="s">
        <v>3021</v>
      </c>
      <c r="B396" s="163" t="s">
        <v>2480</v>
      </c>
      <c r="C396" s="163" t="s">
        <v>3022</v>
      </c>
      <c r="D396" s="163" t="s">
        <v>2479</v>
      </c>
      <c r="E396" s="163" t="s">
        <v>3514</v>
      </c>
      <c r="F396" s="163" t="s">
        <v>3024</v>
      </c>
      <c r="G396" s="163" t="s">
        <v>3023</v>
      </c>
      <c r="I396" s="164" t="s">
        <v>2796</v>
      </c>
      <c r="J396" s="164" t="s">
        <v>2796</v>
      </c>
      <c r="K396" s="164" t="s">
        <v>2796</v>
      </c>
      <c r="L396" s="164" t="s">
        <v>2796</v>
      </c>
      <c r="M396" s="164" t="s">
        <v>2796</v>
      </c>
      <c r="N396" s="164">
        <v>55</v>
      </c>
      <c r="O396" s="163" t="s">
        <v>4393</v>
      </c>
    </row>
    <row r="397" spans="1:15">
      <c r="A397" s="163" t="s">
        <v>3027</v>
      </c>
      <c r="B397" s="163" t="s">
        <v>2480</v>
      </c>
      <c r="C397" s="163" t="s">
        <v>3025</v>
      </c>
      <c r="D397" s="163" t="s">
        <v>2479</v>
      </c>
      <c r="E397" s="163" t="s">
        <v>3514</v>
      </c>
      <c r="F397" s="163" t="s">
        <v>3024</v>
      </c>
      <c r="G397" s="163" t="s">
        <v>3026</v>
      </c>
      <c r="I397" s="164" t="s">
        <v>2796</v>
      </c>
      <c r="J397" s="164" t="s">
        <v>2796</v>
      </c>
      <c r="K397" s="164" t="s">
        <v>2796</v>
      </c>
      <c r="L397" s="164" t="s">
        <v>2796</v>
      </c>
      <c r="M397" s="164" t="s">
        <v>2796</v>
      </c>
      <c r="N397" s="164">
        <v>55</v>
      </c>
      <c r="O397" s="163" t="s">
        <v>4393</v>
      </c>
    </row>
    <row r="398" spans="1:15">
      <c r="A398" s="163" t="s">
        <v>3287</v>
      </c>
      <c r="B398" s="163" t="s">
        <v>2063</v>
      </c>
      <c r="C398" s="163" t="s">
        <v>3288</v>
      </c>
      <c r="D398" s="163" t="s">
        <v>868</v>
      </c>
      <c r="E398" s="163" t="s">
        <v>3511</v>
      </c>
      <c r="F398" s="163" t="s">
        <v>2276</v>
      </c>
      <c r="G398" s="163" t="s">
        <v>3289</v>
      </c>
      <c r="H398" s="163" t="s">
        <v>4024</v>
      </c>
      <c r="I398" s="164">
        <v>25</v>
      </c>
      <c r="J398" s="164">
        <v>25</v>
      </c>
      <c r="K398" s="164">
        <v>25</v>
      </c>
      <c r="L398" s="164">
        <v>25</v>
      </c>
      <c r="M398" s="164">
        <v>25</v>
      </c>
      <c r="N398" s="164">
        <v>55</v>
      </c>
      <c r="O398" s="163" t="s">
        <v>4375</v>
      </c>
    </row>
    <row r="399" spans="1:15">
      <c r="A399" s="163" t="s">
        <v>3028</v>
      </c>
      <c r="B399" s="163" t="s">
        <v>2063</v>
      </c>
      <c r="C399" s="163" t="s">
        <v>3029</v>
      </c>
      <c r="D399" s="163" t="s">
        <v>868</v>
      </c>
      <c r="E399" s="163" t="s">
        <v>3511</v>
      </c>
      <c r="F399" s="163" t="s">
        <v>2242</v>
      </c>
      <c r="G399" s="163" t="s">
        <v>3030</v>
      </c>
      <c r="I399" s="164">
        <v>25</v>
      </c>
      <c r="J399" s="164">
        <v>25</v>
      </c>
      <c r="K399" s="164">
        <v>25</v>
      </c>
      <c r="L399" s="164">
        <v>25</v>
      </c>
      <c r="M399" s="164">
        <v>25</v>
      </c>
      <c r="N399" s="164">
        <v>55</v>
      </c>
    </row>
    <row r="400" spans="1:15">
      <c r="A400" s="163" t="s">
        <v>3295</v>
      </c>
      <c r="B400" s="163" t="s">
        <v>2213</v>
      </c>
      <c r="C400" s="163" t="s">
        <v>3296</v>
      </c>
      <c r="D400" s="163" t="s">
        <v>1086</v>
      </c>
      <c r="E400" s="163" t="s">
        <v>3511</v>
      </c>
      <c r="F400" s="163" t="s">
        <v>1085</v>
      </c>
      <c r="G400" s="163" t="s">
        <v>3297</v>
      </c>
      <c r="I400" s="164">
        <v>25</v>
      </c>
      <c r="J400" s="164">
        <v>25</v>
      </c>
      <c r="K400" s="164">
        <v>25</v>
      </c>
      <c r="L400" s="164">
        <v>25</v>
      </c>
      <c r="M400" s="164">
        <v>25</v>
      </c>
      <c r="N400" s="164">
        <v>55</v>
      </c>
    </row>
    <row r="401" spans="1:15">
      <c r="A401" s="163" t="s">
        <v>3312</v>
      </c>
      <c r="B401" s="163" t="s">
        <v>2480</v>
      </c>
      <c r="C401" s="163" t="s">
        <v>3313</v>
      </c>
      <c r="D401" s="163" t="s">
        <v>2479</v>
      </c>
      <c r="E401" s="163" t="s">
        <v>3514</v>
      </c>
      <c r="F401" s="163" t="s">
        <v>3024</v>
      </c>
      <c r="G401" s="163" t="s">
        <v>3314</v>
      </c>
      <c r="I401" s="164" t="s">
        <v>2796</v>
      </c>
      <c r="J401" s="164" t="s">
        <v>2796</v>
      </c>
      <c r="K401" s="164" t="s">
        <v>2796</v>
      </c>
      <c r="L401" s="164" t="s">
        <v>2796</v>
      </c>
      <c r="M401" s="164" t="s">
        <v>2796</v>
      </c>
      <c r="N401" s="164">
        <v>55</v>
      </c>
      <c r="O401" s="163" t="s">
        <v>4393</v>
      </c>
    </row>
    <row r="402" spans="1:15">
      <c r="A402" s="163" t="s">
        <v>3306</v>
      </c>
      <c r="B402" s="163" t="s">
        <v>3307</v>
      </c>
      <c r="C402" s="163" t="s">
        <v>3308</v>
      </c>
      <c r="D402" s="163" t="s">
        <v>3309</v>
      </c>
      <c r="E402" s="163" t="s">
        <v>3534</v>
      </c>
      <c r="F402" s="163" t="s">
        <v>3310</v>
      </c>
      <c r="G402" s="163" t="s">
        <v>3311</v>
      </c>
      <c r="H402" s="163" t="s">
        <v>4025</v>
      </c>
      <c r="I402" s="164">
        <v>25</v>
      </c>
      <c r="J402" s="164">
        <v>25</v>
      </c>
      <c r="K402" s="164">
        <v>25</v>
      </c>
      <c r="L402" s="164">
        <v>25</v>
      </c>
      <c r="M402" s="164">
        <v>25</v>
      </c>
      <c r="N402" s="164">
        <v>55</v>
      </c>
      <c r="O402" s="163" t="s">
        <v>4399</v>
      </c>
    </row>
    <row r="403" spans="1:15">
      <c r="A403" s="163" t="s">
        <v>3290</v>
      </c>
      <c r="B403" s="163" t="s">
        <v>865</v>
      </c>
      <c r="C403" s="163" t="s">
        <v>3291</v>
      </c>
      <c r="D403" s="163" t="s">
        <v>868</v>
      </c>
      <c r="E403" s="163" t="s">
        <v>3511</v>
      </c>
      <c r="F403" s="163" t="s">
        <v>1012</v>
      </c>
      <c r="G403" s="163" t="s">
        <v>3292</v>
      </c>
      <c r="I403" s="164">
        <v>25</v>
      </c>
      <c r="J403" s="164">
        <v>25</v>
      </c>
      <c r="K403" s="164">
        <v>25</v>
      </c>
      <c r="L403" s="164">
        <v>25</v>
      </c>
      <c r="M403" s="164">
        <v>25</v>
      </c>
      <c r="N403" s="164">
        <v>55</v>
      </c>
      <c r="O403" s="163" t="s">
        <v>4375</v>
      </c>
    </row>
    <row r="404" spans="1:15">
      <c r="A404" s="163" t="s">
        <v>3298</v>
      </c>
      <c r="B404" s="163" t="s">
        <v>2057</v>
      </c>
      <c r="C404" s="163" t="s">
        <v>3299</v>
      </c>
      <c r="D404" s="163" t="s">
        <v>1459</v>
      </c>
      <c r="E404" s="163" t="s">
        <v>3531</v>
      </c>
      <c r="F404" s="163" t="s">
        <v>1591</v>
      </c>
      <c r="G404" s="163" t="s">
        <v>3300</v>
      </c>
      <c r="H404" s="163" t="s">
        <v>3771</v>
      </c>
      <c r="I404" s="164">
        <v>25</v>
      </c>
      <c r="J404" s="164">
        <v>25</v>
      </c>
      <c r="K404" s="164">
        <v>25</v>
      </c>
      <c r="L404" s="164">
        <v>25</v>
      </c>
      <c r="M404" s="164">
        <v>25</v>
      </c>
      <c r="N404" s="164">
        <v>55</v>
      </c>
      <c r="O404" s="163" t="s">
        <v>4345</v>
      </c>
    </row>
    <row r="405" spans="1:15">
      <c r="A405" s="163" t="s">
        <v>3303</v>
      </c>
      <c r="B405" s="163" t="s">
        <v>2063</v>
      </c>
      <c r="C405" s="163" t="s">
        <v>3304</v>
      </c>
      <c r="D405" s="163" t="s">
        <v>868</v>
      </c>
      <c r="E405" s="163" t="s">
        <v>3511</v>
      </c>
      <c r="F405" s="163" t="s">
        <v>3352</v>
      </c>
      <c r="G405" s="163" t="s">
        <v>3305</v>
      </c>
      <c r="H405" s="163" t="s">
        <v>3961</v>
      </c>
      <c r="I405" s="164">
        <v>25</v>
      </c>
      <c r="J405" s="164">
        <v>25</v>
      </c>
      <c r="K405" s="164">
        <v>25</v>
      </c>
      <c r="L405" s="164">
        <v>25</v>
      </c>
      <c r="M405" s="164">
        <v>25</v>
      </c>
      <c r="N405" s="164">
        <v>55</v>
      </c>
      <c r="O405" s="163" t="s">
        <v>4316</v>
      </c>
    </row>
    <row r="406" spans="1:15">
      <c r="A406" s="163" t="s">
        <v>3293</v>
      </c>
      <c r="B406" s="163" t="s">
        <v>2057</v>
      </c>
      <c r="C406" s="163" t="s">
        <v>3294</v>
      </c>
      <c r="D406" s="163" t="s">
        <v>1459</v>
      </c>
      <c r="E406" s="163" t="s">
        <v>3516</v>
      </c>
      <c r="F406" s="163" t="s">
        <v>3364</v>
      </c>
      <c r="G406" s="163" t="s">
        <v>3365</v>
      </c>
      <c r="I406" s="164">
        <v>25</v>
      </c>
      <c r="J406" s="164">
        <v>25</v>
      </c>
      <c r="K406" s="164">
        <v>25</v>
      </c>
      <c r="L406" s="164">
        <v>25</v>
      </c>
      <c r="M406" s="164">
        <v>25</v>
      </c>
      <c r="N406" s="164">
        <v>55</v>
      </c>
      <c r="O406" s="163" t="s">
        <v>4319</v>
      </c>
    </row>
    <row r="407" spans="1:15">
      <c r="A407" s="163" t="s">
        <v>3315</v>
      </c>
      <c r="B407" s="163" t="s">
        <v>3307</v>
      </c>
      <c r="C407" s="163" t="s">
        <v>3317</v>
      </c>
      <c r="D407" s="163" t="s">
        <v>3309</v>
      </c>
      <c r="E407" s="163" t="s">
        <v>3534</v>
      </c>
      <c r="F407" s="163" t="s">
        <v>3310</v>
      </c>
      <c r="G407" s="163" t="s">
        <v>3319</v>
      </c>
      <c r="H407" s="163" t="s">
        <v>4027</v>
      </c>
      <c r="I407" s="164">
        <v>25</v>
      </c>
      <c r="J407" s="164">
        <v>25</v>
      </c>
      <c r="K407" s="164">
        <v>25</v>
      </c>
      <c r="L407" s="164">
        <v>25</v>
      </c>
      <c r="M407" s="164">
        <v>25</v>
      </c>
      <c r="N407" s="164">
        <v>55</v>
      </c>
      <c r="O407" s="163" t="s">
        <v>4399</v>
      </c>
    </row>
    <row r="408" spans="1:15">
      <c r="A408" s="163" t="s">
        <v>3316</v>
      </c>
      <c r="B408" s="163" t="s">
        <v>3307</v>
      </c>
      <c r="C408" s="163" t="s">
        <v>3318</v>
      </c>
      <c r="D408" s="163" t="s">
        <v>3309</v>
      </c>
      <c r="E408" s="163" t="s">
        <v>3535</v>
      </c>
      <c r="F408" s="163" t="s">
        <v>3353</v>
      </c>
      <c r="G408" s="163" t="s">
        <v>3320</v>
      </c>
      <c r="H408" s="163" t="s">
        <v>4028</v>
      </c>
      <c r="I408" s="164">
        <v>25</v>
      </c>
      <c r="J408" s="164">
        <v>25</v>
      </c>
      <c r="K408" s="164">
        <v>25</v>
      </c>
      <c r="L408" s="164">
        <v>25</v>
      </c>
      <c r="M408" s="164">
        <v>25</v>
      </c>
      <c r="N408" s="164">
        <v>55</v>
      </c>
      <c r="O408" s="163" t="s">
        <v>4399</v>
      </c>
    </row>
    <row r="409" spans="1:15">
      <c r="A409" s="163" t="s">
        <v>3333</v>
      </c>
      <c r="B409" s="163" t="s">
        <v>2063</v>
      </c>
      <c r="C409" s="163" t="s">
        <v>3334</v>
      </c>
      <c r="D409" s="163" t="s">
        <v>868</v>
      </c>
      <c r="E409" s="163" t="s">
        <v>3511</v>
      </c>
      <c r="F409" s="163" t="s">
        <v>3335</v>
      </c>
      <c r="G409" s="163" t="s">
        <v>3336</v>
      </c>
      <c r="I409" s="164">
        <v>25</v>
      </c>
      <c r="J409" s="164">
        <v>25</v>
      </c>
      <c r="K409" s="164">
        <v>25</v>
      </c>
      <c r="L409" s="164">
        <v>25</v>
      </c>
      <c r="M409" s="164">
        <v>25</v>
      </c>
      <c r="N409" s="164">
        <v>55</v>
      </c>
      <c r="O409" s="163" t="s">
        <v>4316</v>
      </c>
    </row>
    <row r="410" spans="1:15">
      <c r="A410" s="163" t="s">
        <v>3330</v>
      </c>
      <c r="B410" s="163" t="s">
        <v>2213</v>
      </c>
      <c r="C410" s="163" t="s">
        <v>3331</v>
      </c>
      <c r="D410" s="163" t="s">
        <v>2221</v>
      </c>
      <c r="E410" s="163" t="s">
        <v>3511</v>
      </c>
      <c r="F410" s="163" t="s">
        <v>908</v>
      </c>
      <c r="G410" s="163" t="s">
        <v>3332</v>
      </c>
      <c r="H410" s="163" t="s">
        <v>4029</v>
      </c>
      <c r="I410" s="164">
        <v>25</v>
      </c>
      <c r="J410" s="164">
        <v>25</v>
      </c>
      <c r="K410" s="164">
        <v>25</v>
      </c>
      <c r="L410" s="164">
        <v>25</v>
      </c>
      <c r="M410" s="164">
        <v>25</v>
      </c>
      <c r="N410" s="164">
        <v>55</v>
      </c>
      <c r="O410" s="163" t="s">
        <v>4316</v>
      </c>
    </row>
    <row r="411" spans="1:15">
      <c r="A411" s="163" t="s">
        <v>3337</v>
      </c>
      <c r="B411" s="163" t="s">
        <v>865</v>
      </c>
      <c r="C411" s="163" t="s">
        <v>3338</v>
      </c>
      <c r="D411" s="163" t="s">
        <v>868</v>
      </c>
      <c r="E411" s="163" t="s">
        <v>3511</v>
      </c>
      <c r="F411" s="163" t="s">
        <v>868</v>
      </c>
      <c r="G411" s="163" t="s">
        <v>3339</v>
      </c>
      <c r="I411" s="164">
        <v>25</v>
      </c>
      <c r="J411" s="164">
        <v>25</v>
      </c>
      <c r="K411" s="164">
        <v>25</v>
      </c>
      <c r="L411" s="164">
        <v>25</v>
      </c>
      <c r="M411" s="164">
        <v>25</v>
      </c>
      <c r="N411" s="164">
        <v>55</v>
      </c>
      <c r="O411" s="163" t="s">
        <v>4375</v>
      </c>
    </row>
    <row r="412" spans="1:15">
      <c r="A412" s="163" t="s">
        <v>3340</v>
      </c>
      <c r="B412" s="163" t="s">
        <v>865</v>
      </c>
      <c r="C412" s="163" t="s">
        <v>3341</v>
      </c>
      <c r="D412" s="163" t="s">
        <v>868</v>
      </c>
      <c r="E412" s="163" t="s">
        <v>3511</v>
      </c>
      <c r="F412" s="163" t="s">
        <v>868</v>
      </c>
      <c r="G412" s="163" t="s">
        <v>3342</v>
      </c>
      <c r="I412" s="164" t="s">
        <v>2796</v>
      </c>
      <c r="J412" s="164" t="s">
        <v>2796</v>
      </c>
      <c r="K412" s="164" t="s">
        <v>2796</v>
      </c>
      <c r="L412" s="164" t="s">
        <v>2796</v>
      </c>
      <c r="M412" s="164" t="s">
        <v>2796</v>
      </c>
      <c r="N412" s="164">
        <v>55</v>
      </c>
      <c r="O412" s="163" t="s">
        <v>4375</v>
      </c>
    </row>
    <row r="413" spans="1:15">
      <c r="A413" s="163" t="s">
        <v>3343</v>
      </c>
      <c r="B413" s="163" t="s">
        <v>865</v>
      </c>
      <c r="C413" s="163" t="s">
        <v>3344</v>
      </c>
      <c r="D413" s="163" t="s">
        <v>868</v>
      </c>
      <c r="E413" s="163" t="s">
        <v>3511</v>
      </c>
      <c r="F413" s="163" t="s">
        <v>868</v>
      </c>
      <c r="G413" s="163" t="s">
        <v>3345</v>
      </c>
      <c r="H413" s="163" t="s">
        <v>4030</v>
      </c>
      <c r="I413" s="164">
        <v>25</v>
      </c>
      <c r="J413" s="164">
        <v>25</v>
      </c>
      <c r="K413" s="164">
        <v>25</v>
      </c>
      <c r="L413" s="164">
        <v>25</v>
      </c>
      <c r="M413" s="164">
        <v>25</v>
      </c>
      <c r="N413" s="164">
        <v>55</v>
      </c>
      <c r="O413" s="163" t="s">
        <v>4375</v>
      </c>
    </row>
    <row r="414" spans="1:15">
      <c r="A414" s="163" t="s">
        <v>3346</v>
      </c>
      <c r="B414" s="163" t="s">
        <v>865</v>
      </c>
      <c r="C414" s="163" t="s">
        <v>3347</v>
      </c>
      <c r="D414" s="163" t="s">
        <v>868</v>
      </c>
      <c r="E414" s="163" t="s">
        <v>3511</v>
      </c>
      <c r="F414" s="163" t="s">
        <v>868</v>
      </c>
      <c r="G414" s="163" t="s">
        <v>3348</v>
      </c>
      <c r="H414" s="163" t="s">
        <v>4031</v>
      </c>
      <c r="I414" s="164">
        <v>25</v>
      </c>
      <c r="J414" s="164">
        <v>25</v>
      </c>
      <c r="K414" s="164">
        <v>25</v>
      </c>
      <c r="L414" s="164">
        <v>25</v>
      </c>
      <c r="M414" s="164">
        <v>25</v>
      </c>
      <c r="N414" s="164">
        <v>60</v>
      </c>
      <c r="O414" s="163" t="s">
        <v>4375</v>
      </c>
    </row>
    <row r="415" spans="1:15">
      <c r="A415" s="163" t="s">
        <v>3322</v>
      </c>
      <c r="B415" s="163" t="s">
        <v>2213</v>
      </c>
      <c r="C415" s="163" t="s">
        <v>3323</v>
      </c>
      <c r="D415" s="163" t="s">
        <v>953</v>
      </c>
      <c r="E415" s="163" t="s">
        <v>3511</v>
      </c>
      <c r="F415" s="163" t="s">
        <v>1206</v>
      </c>
      <c r="G415" s="163" t="s">
        <v>3324</v>
      </c>
      <c r="H415" s="163" t="s">
        <v>4032</v>
      </c>
      <c r="I415" s="164">
        <v>25</v>
      </c>
      <c r="J415" s="164">
        <v>25</v>
      </c>
      <c r="K415" s="164">
        <v>25</v>
      </c>
      <c r="L415" s="164">
        <v>25</v>
      </c>
      <c r="M415" s="164">
        <v>25</v>
      </c>
      <c r="N415" s="164">
        <v>55</v>
      </c>
      <c r="O415" s="163" t="s">
        <v>4347</v>
      </c>
    </row>
    <row r="416" spans="1:15">
      <c r="A416" s="163" t="s">
        <v>3379</v>
      </c>
      <c r="B416" s="163" t="s">
        <v>2213</v>
      </c>
      <c r="C416" s="163" t="s">
        <v>3380</v>
      </c>
      <c r="D416" s="163" t="s">
        <v>953</v>
      </c>
      <c r="E416" s="163" t="s">
        <v>3511</v>
      </c>
      <c r="F416" s="163" t="s">
        <v>1214</v>
      </c>
      <c r="G416" s="163" t="s">
        <v>3381</v>
      </c>
      <c r="H416" s="163" t="s">
        <v>4033</v>
      </c>
      <c r="I416" s="164">
        <v>18</v>
      </c>
      <c r="J416" s="164">
        <v>18</v>
      </c>
      <c r="K416" s="164">
        <v>18</v>
      </c>
      <c r="L416" s="164">
        <v>18</v>
      </c>
      <c r="M416" s="164">
        <v>18</v>
      </c>
      <c r="N416" s="164">
        <v>55</v>
      </c>
      <c r="O416" s="163" t="s">
        <v>4347</v>
      </c>
    </row>
    <row r="417" spans="1:15">
      <c r="A417" s="163" t="s">
        <v>3383</v>
      </c>
      <c r="B417" s="163" t="s">
        <v>3382</v>
      </c>
      <c r="C417" s="163" t="s">
        <v>3384</v>
      </c>
      <c r="D417" s="163" t="s">
        <v>1306</v>
      </c>
      <c r="E417" s="163" t="s">
        <v>3525</v>
      </c>
      <c r="F417" s="163" t="s">
        <v>3385</v>
      </c>
      <c r="G417" s="163" t="s">
        <v>3386</v>
      </c>
      <c r="I417" s="164">
        <v>25</v>
      </c>
      <c r="J417" s="164">
        <v>25</v>
      </c>
      <c r="K417" s="164">
        <v>25</v>
      </c>
      <c r="L417" s="164">
        <v>25</v>
      </c>
      <c r="M417" s="164">
        <v>25</v>
      </c>
      <c r="N417" s="164">
        <v>55</v>
      </c>
      <c r="O417" s="163" t="s">
        <v>4309</v>
      </c>
    </row>
    <row r="418" spans="1:15">
      <c r="A418" s="163" t="s">
        <v>3424</v>
      </c>
      <c r="B418" s="163" t="s">
        <v>874</v>
      </c>
      <c r="C418" s="163" t="s">
        <v>3425</v>
      </c>
      <c r="D418" s="163" t="s">
        <v>1409</v>
      </c>
      <c r="E418" s="163" t="s">
        <v>3516</v>
      </c>
      <c r="F418" s="163" t="s">
        <v>3426</v>
      </c>
      <c r="G418" s="163" t="s">
        <v>3427</v>
      </c>
      <c r="H418" s="163" t="s">
        <v>4034</v>
      </c>
      <c r="I418" s="164">
        <v>25</v>
      </c>
      <c r="J418" s="164">
        <v>25</v>
      </c>
      <c r="K418" s="164">
        <v>25</v>
      </c>
      <c r="L418" s="164">
        <v>25</v>
      </c>
      <c r="M418" s="164">
        <v>25</v>
      </c>
      <c r="N418" s="164">
        <v>55</v>
      </c>
      <c r="O418" s="163" t="s">
        <v>4400</v>
      </c>
    </row>
    <row r="419" spans="1:15">
      <c r="A419" s="163" t="s">
        <v>3440</v>
      </c>
      <c r="B419" s="163" t="s">
        <v>3382</v>
      </c>
      <c r="C419" s="163" t="s">
        <v>3441</v>
      </c>
      <c r="D419" s="163" t="s">
        <v>3442</v>
      </c>
      <c r="E419" s="163" t="s">
        <v>3514</v>
      </c>
      <c r="F419" s="163" t="s">
        <v>3443</v>
      </c>
      <c r="G419" s="163" t="s">
        <v>3444</v>
      </c>
      <c r="H419" s="163" t="s">
        <v>4035</v>
      </c>
      <c r="I419" s="164">
        <v>25</v>
      </c>
      <c r="J419" s="164">
        <v>25</v>
      </c>
      <c r="K419" s="164">
        <v>25</v>
      </c>
      <c r="L419" s="164">
        <v>25</v>
      </c>
      <c r="M419" s="164">
        <v>25</v>
      </c>
      <c r="N419" s="164">
        <v>55</v>
      </c>
      <c r="O419" s="163" t="s">
        <v>4393</v>
      </c>
    </row>
    <row r="420" spans="1:15">
      <c r="A420" s="163" t="s">
        <v>3445</v>
      </c>
      <c r="B420" s="163" t="s">
        <v>3382</v>
      </c>
      <c r="C420" s="163" t="s">
        <v>3446</v>
      </c>
      <c r="D420" s="163" t="s">
        <v>3442</v>
      </c>
      <c r="E420" s="163" t="s">
        <v>3514</v>
      </c>
      <c r="F420" s="163" t="s">
        <v>3447</v>
      </c>
      <c r="G420" s="163" t="s">
        <v>3448</v>
      </c>
      <c r="H420" s="163" t="s">
        <v>4036</v>
      </c>
      <c r="I420" s="164">
        <v>25</v>
      </c>
      <c r="J420" s="164">
        <v>25</v>
      </c>
      <c r="K420" s="164" t="s">
        <v>2796</v>
      </c>
      <c r="L420" s="164" t="s">
        <v>2796</v>
      </c>
      <c r="M420" s="164" t="s">
        <v>2796</v>
      </c>
      <c r="N420" s="164">
        <v>55</v>
      </c>
      <c r="O420" s="163" t="s">
        <v>4393</v>
      </c>
    </row>
    <row r="421" spans="1:15">
      <c r="A421" s="163" t="s">
        <v>3373</v>
      </c>
      <c r="B421" s="163" t="s">
        <v>2213</v>
      </c>
      <c r="C421" s="163" t="s">
        <v>3374</v>
      </c>
      <c r="D421" s="163" t="s">
        <v>1086</v>
      </c>
      <c r="E421" s="163" t="s">
        <v>3517</v>
      </c>
      <c r="F421" s="163" t="s">
        <v>1138</v>
      </c>
      <c r="G421" s="163" t="s">
        <v>3375</v>
      </c>
      <c r="H421" s="163" t="s">
        <v>4037</v>
      </c>
      <c r="I421" s="164">
        <v>25</v>
      </c>
      <c r="J421" s="164">
        <v>25</v>
      </c>
      <c r="K421" s="164">
        <v>25</v>
      </c>
      <c r="L421" s="164">
        <v>25</v>
      </c>
      <c r="M421" s="164">
        <v>25</v>
      </c>
      <c r="N421" s="164">
        <v>55</v>
      </c>
      <c r="O421" s="163" t="s">
        <v>4316</v>
      </c>
    </row>
    <row r="422" spans="1:15">
      <c r="A422" s="163" t="s">
        <v>3471</v>
      </c>
      <c r="B422" s="163" t="s">
        <v>3382</v>
      </c>
      <c r="C422" s="163" t="s">
        <v>3472</v>
      </c>
      <c r="D422" s="163" t="s">
        <v>3442</v>
      </c>
      <c r="E422" s="163" t="s">
        <v>3514</v>
      </c>
      <c r="F422" s="163" t="s">
        <v>3473</v>
      </c>
      <c r="G422" s="163" t="s">
        <v>3474</v>
      </c>
      <c r="H422" s="163" t="s">
        <v>4038</v>
      </c>
      <c r="I422" s="164">
        <v>25</v>
      </c>
      <c r="J422" s="164">
        <v>25</v>
      </c>
      <c r="K422" s="164" t="s">
        <v>2796</v>
      </c>
      <c r="L422" s="164" t="s">
        <v>2796</v>
      </c>
      <c r="M422" s="164" t="s">
        <v>2796</v>
      </c>
      <c r="N422" s="164">
        <v>55</v>
      </c>
      <c r="O422" s="163" t="s">
        <v>4393</v>
      </c>
    </row>
    <row r="423" spans="1:15">
      <c r="A423" s="163" t="s">
        <v>3417</v>
      </c>
      <c r="B423" s="163" t="s">
        <v>3382</v>
      </c>
      <c r="C423" s="163" t="s">
        <v>3418</v>
      </c>
      <c r="D423" s="163" t="s">
        <v>1306</v>
      </c>
      <c r="E423" s="163" t="s">
        <v>3525</v>
      </c>
      <c r="F423" s="163" t="s">
        <v>1383</v>
      </c>
      <c r="G423" s="163" t="s">
        <v>3419</v>
      </c>
      <c r="I423" s="164">
        <v>25</v>
      </c>
      <c r="J423" s="164">
        <v>25</v>
      </c>
      <c r="K423" s="164">
        <v>25</v>
      </c>
      <c r="L423" s="164">
        <v>25</v>
      </c>
      <c r="M423" s="164">
        <v>25</v>
      </c>
      <c r="N423" s="164">
        <v>55</v>
      </c>
      <c r="O423" s="163" t="s">
        <v>4309</v>
      </c>
    </row>
    <row r="424" spans="1:15">
      <c r="A424" s="163" t="s">
        <v>3394</v>
      </c>
      <c r="B424" s="163" t="s">
        <v>3382</v>
      </c>
      <c r="C424" s="163" t="s">
        <v>3395</v>
      </c>
      <c r="D424" s="163" t="s">
        <v>1306</v>
      </c>
      <c r="E424" s="163" t="s">
        <v>3525</v>
      </c>
      <c r="F424" s="163" t="s">
        <v>1371</v>
      </c>
      <c r="G424" s="163" t="s">
        <v>3396</v>
      </c>
      <c r="I424" s="164">
        <v>25</v>
      </c>
      <c r="J424" s="164">
        <v>25</v>
      </c>
      <c r="K424" s="164">
        <v>25</v>
      </c>
      <c r="L424" s="164">
        <v>25</v>
      </c>
      <c r="M424" s="164">
        <v>25</v>
      </c>
      <c r="N424" s="164">
        <v>55</v>
      </c>
      <c r="O424" s="163" t="s">
        <v>4309</v>
      </c>
    </row>
    <row r="425" spans="1:15">
      <c r="A425" s="163" t="s">
        <v>3397</v>
      </c>
      <c r="B425" s="163" t="s">
        <v>3382</v>
      </c>
      <c r="C425" s="163" t="s">
        <v>3398</v>
      </c>
      <c r="D425" s="163" t="s">
        <v>1306</v>
      </c>
      <c r="E425" s="163" t="s">
        <v>3525</v>
      </c>
      <c r="F425" s="163" t="s">
        <v>1371</v>
      </c>
      <c r="G425" s="163" t="s">
        <v>3399</v>
      </c>
      <c r="I425" s="164">
        <v>25</v>
      </c>
      <c r="J425" s="164">
        <v>25</v>
      </c>
      <c r="K425" s="164">
        <v>25</v>
      </c>
      <c r="L425" s="164">
        <v>25</v>
      </c>
      <c r="M425" s="164">
        <v>25</v>
      </c>
      <c r="N425" s="164">
        <v>55</v>
      </c>
      <c r="O425" s="163" t="s">
        <v>4309</v>
      </c>
    </row>
    <row r="426" spans="1:15">
      <c r="A426" s="163" t="s">
        <v>3400</v>
      </c>
      <c r="B426" s="163" t="s">
        <v>3382</v>
      </c>
      <c r="C426" s="163" t="s">
        <v>3401</v>
      </c>
      <c r="D426" s="163" t="s">
        <v>1306</v>
      </c>
      <c r="E426" s="163" t="s">
        <v>3525</v>
      </c>
      <c r="F426" s="163" t="s">
        <v>3402</v>
      </c>
      <c r="G426" s="163" t="s">
        <v>3403</v>
      </c>
      <c r="I426" s="164">
        <v>25</v>
      </c>
      <c r="J426" s="164">
        <v>25</v>
      </c>
      <c r="K426" s="164">
        <v>25</v>
      </c>
      <c r="L426" s="164">
        <v>25</v>
      </c>
      <c r="M426" s="164">
        <v>25</v>
      </c>
      <c r="N426" s="164">
        <v>55</v>
      </c>
      <c r="O426" s="163" t="s">
        <v>4313</v>
      </c>
    </row>
    <row r="427" spans="1:15">
      <c r="A427" s="163" t="s">
        <v>3420</v>
      </c>
      <c r="B427" s="163" t="s">
        <v>3382</v>
      </c>
      <c r="C427" s="163" t="s">
        <v>3421</v>
      </c>
      <c r="D427" s="163" t="s">
        <v>1306</v>
      </c>
      <c r="E427" s="163" t="s">
        <v>3525</v>
      </c>
      <c r="F427" s="163" t="s">
        <v>3422</v>
      </c>
      <c r="G427" s="163" t="s">
        <v>3423</v>
      </c>
      <c r="H427" s="163" t="s">
        <v>4039</v>
      </c>
      <c r="I427" s="164">
        <v>25</v>
      </c>
      <c r="J427" s="164">
        <v>25</v>
      </c>
      <c r="K427" s="164">
        <v>25</v>
      </c>
      <c r="L427" s="164">
        <v>25</v>
      </c>
      <c r="M427" s="164">
        <v>25</v>
      </c>
      <c r="N427" s="164">
        <v>55</v>
      </c>
      <c r="O427" s="163" t="s">
        <v>4309</v>
      </c>
    </row>
    <row r="428" spans="1:15">
      <c r="A428" s="163" t="s">
        <v>3404</v>
      </c>
      <c r="B428" s="163" t="s">
        <v>3382</v>
      </c>
      <c r="C428" s="163" t="s">
        <v>3405</v>
      </c>
      <c r="D428" s="163" t="s">
        <v>1306</v>
      </c>
      <c r="E428" s="163" t="s">
        <v>3525</v>
      </c>
      <c r="F428" s="163" t="s">
        <v>3406</v>
      </c>
      <c r="G428" s="163" t="s">
        <v>3407</v>
      </c>
      <c r="I428" s="164">
        <v>25</v>
      </c>
      <c r="J428" s="164">
        <v>25</v>
      </c>
      <c r="K428" s="164">
        <v>25</v>
      </c>
      <c r="L428" s="164">
        <v>25</v>
      </c>
      <c r="M428" s="164">
        <v>25</v>
      </c>
      <c r="N428" s="164">
        <v>55</v>
      </c>
      <c r="O428" s="163" t="s">
        <v>4309</v>
      </c>
    </row>
    <row r="429" spans="1:15">
      <c r="A429" s="163" t="s">
        <v>3432</v>
      </c>
      <c r="B429" s="163" t="s">
        <v>2057</v>
      </c>
      <c r="C429" s="163" t="s">
        <v>3433</v>
      </c>
      <c r="D429" s="163" t="s">
        <v>1608</v>
      </c>
      <c r="E429" s="163" t="s">
        <v>3532</v>
      </c>
      <c r="F429" s="163" t="s">
        <v>1668</v>
      </c>
      <c r="G429" s="163" t="s">
        <v>3434</v>
      </c>
      <c r="H429" s="163" t="s">
        <v>3734</v>
      </c>
      <c r="I429" s="164">
        <v>25</v>
      </c>
      <c r="J429" s="164">
        <v>18</v>
      </c>
      <c r="K429" s="164">
        <v>25</v>
      </c>
      <c r="L429" s="164">
        <v>18</v>
      </c>
      <c r="M429" s="164">
        <v>25</v>
      </c>
      <c r="N429" s="164">
        <v>55</v>
      </c>
      <c r="O429" s="163" t="s">
        <v>4332</v>
      </c>
    </row>
    <row r="430" spans="1:15">
      <c r="A430" s="163" t="s">
        <v>3435</v>
      </c>
      <c r="B430" s="163" t="s">
        <v>3382</v>
      </c>
      <c r="C430" s="163" t="s">
        <v>3436</v>
      </c>
      <c r="D430" s="163" t="s">
        <v>3437</v>
      </c>
      <c r="E430" s="163" t="s">
        <v>3514</v>
      </c>
      <c r="F430" s="163" t="s">
        <v>3438</v>
      </c>
      <c r="G430" s="163" t="s">
        <v>3439</v>
      </c>
      <c r="H430" s="163" t="s">
        <v>4040</v>
      </c>
      <c r="I430" s="164">
        <v>0</v>
      </c>
      <c r="J430" s="164">
        <v>0</v>
      </c>
      <c r="K430" s="164">
        <v>0</v>
      </c>
      <c r="L430" s="164" t="s">
        <v>2796</v>
      </c>
      <c r="M430" s="164" t="s">
        <v>2796</v>
      </c>
      <c r="N430" s="164">
        <v>55</v>
      </c>
      <c r="O430" s="163" t="s">
        <v>4393</v>
      </c>
    </row>
    <row r="431" spans="1:15">
      <c r="A431" s="163" t="s">
        <v>3391</v>
      </c>
      <c r="B431" s="163" t="s">
        <v>3382</v>
      </c>
      <c r="C431" s="163" t="s">
        <v>3392</v>
      </c>
      <c r="D431" s="163" t="s">
        <v>1306</v>
      </c>
      <c r="E431" s="163" t="s">
        <v>3525</v>
      </c>
      <c r="F431" s="163" t="s">
        <v>1355</v>
      </c>
      <c r="G431" s="163" t="s">
        <v>3393</v>
      </c>
      <c r="H431" s="163" t="s">
        <v>4041</v>
      </c>
      <c r="I431" s="164">
        <v>25</v>
      </c>
      <c r="J431" s="164">
        <v>25</v>
      </c>
      <c r="K431" s="164">
        <v>25</v>
      </c>
      <c r="L431" s="164">
        <v>25</v>
      </c>
      <c r="M431" s="164">
        <v>25</v>
      </c>
      <c r="N431" s="164">
        <v>55</v>
      </c>
      <c r="O431" s="163" t="s">
        <v>4313</v>
      </c>
    </row>
    <row r="432" spans="1:15">
      <c r="A432" s="163" t="s">
        <v>3366</v>
      </c>
      <c r="B432" s="163" t="s">
        <v>865</v>
      </c>
      <c r="C432" s="163" t="s">
        <v>3367</v>
      </c>
      <c r="D432" s="163" t="s">
        <v>868</v>
      </c>
      <c r="E432" s="163" t="s">
        <v>3511</v>
      </c>
      <c r="F432" s="163" t="s">
        <v>3368</v>
      </c>
      <c r="G432" s="163" t="s">
        <v>3369</v>
      </c>
      <c r="H432" s="163" t="s">
        <v>4042</v>
      </c>
      <c r="I432" s="164">
        <v>25</v>
      </c>
      <c r="J432" s="164">
        <v>25</v>
      </c>
      <c r="K432" s="164">
        <v>25</v>
      </c>
      <c r="L432" s="164">
        <v>25</v>
      </c>
      <c r="M432" s="164">
        <v>25</v>
      </c>
      <c r="N432" s="164">
        <v>55</v>
      </c>
      <c r="O432" s="163" t="s">
        <v>4375</v>
      </c>
    </row>
    <row r="433" spans="1:15">
      <c r="A433" s="163" t="s">
        <v>3370</v>
      </c>
      <c r="B433" s="163" t="s">
        <v>865</v>
      </c>
      <c r="C433" s="163" t="s">
        <v>3371</v>
      </c>
      <c r="D433" s="163" t="s">
        <v>868</v>
      </c>
      <c r="E433" s="163" t="s">
        <v>3517</v>
      </c>
      <c r="F433" s="163" t="s">
        <v>1400</v>
      </c>
      <c r="G433" s="163" t="s">
        <v>3372</v>
      </c>
      <c r="H433" s="163" t="s">
        <v>4042</v>
      </c>
      <c r="I433" s="164">
        <v>25</v>
      </c>
      <c r="J433" s="164">
        <v>25</v>
      </c>
      <c r="K433" s="164">
        <v>25</v>
      </c>
      <c r="L433" s="164">
        <v>25</v>
      </c>
      <c r="M433" s="164">
        <v>25</v>
      </c>
      <c r="N433" s="164">
        <v>55</v>
      </c>
      <c r="O433" s="163" t="s">
        <v>4375</v>
      </c>
    </row>
    <row r="434" spans="1:15">
      <c r="A434" s="163" t="s">
        <v>3450</v>
      </c>
      <c r="B434" s="163" t="s">
        <v>2213</v>
      </c>
      <c r="C434" s="163" t="s">
        <v>3451</v>
      </c>
      <c r="D434" s="163" t="s">
        <v>2221</v>
      </c>
      <c r="E434" s="163" t="s">
        <v>3511</v>
      </c>
      <c r="F434" s="163" t="s">
        <v>2414</v>
      </c>
      <c r="G434" s="163" t="s">
        <v>3452</v>
      </c>
      <c r="I434" s="164">
        <v>25</v>
      </c>
      <c r="J434" s="164">
        <v>25</v>
      </c>
      <c r="K434" s="164">
        <v>25</v>
      </c>
      <c r="L434" s="164">
        <v>25</v>
      </c>
      <c r="M434" s="164">
        <v>25</v>
      </c>
      <c r="N434" s="164">
        <v>55</v>
      </c>
    </row>
    <row r="435" spans="1:15">
      <c r="A435" s="163" t="s">
        <v>3459</v>
      </c>
      <c r="B435" s="163" t="s">
        <v>2213</v>
      </c>
      <c r="C435" s="163" t="s">
        <v>3460</v>
      </c>
      <c r="D435" s="163" t="s">
        <v>1147</v>
      </c>
      <c r="E435" s="163" t="s">
        <v>3511</v>
      </c>
      <c r="F435" s="163" t="s">
        <v>1164</v>
      </c>
      <c r="G435" s="163" t="s">
        <v>3461</v>
      </c>
      <c r="H435" s="163" t="s">
        <v>4043</v>
      </c>
      <c r="I435" s="164">
        <v>18</v>
      </c>
      <c r="J435" s="164">
        <v>18</v>
      </c>
      <c r="K435" s="164">
        <v>18</v>
      </c>
      <c r="L435" s="164">
        <v>18</v>
      </c>
      <c r="M435" s="164">
        <v>18</v>
      </c>
      <c r="N435" s="164">
        <v>55</v>
      </c>
    </row>
    <row r="436" spans="1:15">
      <c r="A436" s="163" t="s">
        <v>3485</v>
      </c>
      <c r="B436" s="163" t="s">
        <v>2213</v>
      </c>
      <c r="C436" s="163" t="s">
        <v>3486</v>
      </c>
      <c r="D436" s="163" t="s">
        <v>953</v>
      </c>
      <c r="E436" s="163" t="s">
        <v>3511</v>
      </c>
      <c r="F436" s="163" t="s">
        <v>1206</v>
      </c>
      <c r="G436" s="163" t="s">
        <v>3487</v>
      </c>
      <c r="H436" s="163" t="s">
        <v>4044</v>
      </c>
      <c r="I436" s="164">
        <v>25</v>
      </c>
      <c r="J436" s="164">
        <v>25</v>
      </c>
      <c r="K436" s="164">
        <v>25</v>
      </c>
      <c r="L436" s="164">
        <v>25</v>
      </c>
      <c r="M436" s="164">
        <v>25</v>
      </c>
      <c r="N436" s="164">
        <v>55</v>
      </c>
      <c r="O436" s="163" t="s">
        <v>4380</v>
      </c>
    </row>
    <row r="437" spans="1:15">
      <c r="A437" s="163" t="s">
        <v>3468</v>
      </c>
      <c r="B437" s="163" t="s">
        <v>3382</v>
      </c>
      <c r="C437" s="163" t="s">
        <v>3469</v>
      </c>
      <c r="D437" s="163" t="s">
        <v>1306</v>
      </c>
      <c r="E437" s="163" t="s">
        <v>3525</v>
      </c>
      <c r="F437" s="163" t="s">
        <v>1396</v>
      </c>
      <c r="G437" s="163" t="s">
        <v>3470</v>
      </c>
      <c r="H437" s="163" t="s">
        <v>4045</v>
      </c>
      <c r="I437" s="164">
        <v>18</v>
      </c>
      <c r="J437" s="164">
        <v>18</v>
      </c>
      <c r="K437" s="164">
        <v>18</v>
      </c>
      <c r="L437" s="164">
        <v>18</v>
      </c>
      <c r="M437" s="164">
        <v>18</v>
      </c>
      <c r="N437" s="164">
        <v>55</v>
      </c>
      <c r="O437" s="163" t="s">
        <v>4309</v>
      </c>
    </row>
    <row r="438" spans="1:15">
      <c r="A438" s="163" t="s">
        <v>3465</v>
      </c>
      <c r="B438" s="163" t="s">
        <v>2213</v>
      </c>
      <c r="C438" s="163" t="s">
        <v>3466</v>
      </c>
      <c r="D438" s="163" t="s">
        <v>953</v>
      </c>
      <c r="E438" s="163" t="s">
        <v>3511</v>
      </c>
      <c r="F438" s="163" t="s">
        <v>1262</v>
      </c>
      <c r="G438" s="163" t="s">
        <v>3467</v>
      </c>
      <c r="I438" s="164">
        <v>25</v>
      </c>
      <c r="J438" s="164">
        <v>25</v>
      </c>
      <c r="K438" s="164">
        <v>25</v>
      </c>
      <c r="L438" s="164">
        <v>25</v>
      </c>
      <c r="M438" s="164">
        <v>25</v>
      </c>
      <c r="N438" s="164">
        <v>55</v>
      </c>
    </row>
    <row r="439" spans="1:15">
      <c r="A439" s="163" t="s">
        <v>3457</v>
      </c>
      <c r="B439" s="163" t="s">
        <v>2213</v>
      </c>
      <c r="C439" s="163" t="s">
        <v>3458</v>
      </c>
      <c r="D439" s="163" t="s">
        <v>1086</v>
      </c>
      <c r="E439" s="163" t="s">
        <v>3511</v>
      </c>
      <c r="F439" s="163" t="s">
        <v>944</v>
      </c>
      <c r="G439" s="163" t="s">
        <v>3484</v>
      </c>
      <c r="I439" s="164">
        <v>25</v>
      </c>
      <c r="J439" s="164">
        <v>25</v>
      </c>
      <c r="K439" s="164">
        <v>25</v>
      </c>
      <c r="L439" s="164">
        <v>25</v>
      </c>
      <c r="M439" s="164">
        <v>25</v>
      </c>
      <c r="N439" s="164">
        <v>55</v>
      </c>
    </row>
    <row r="440" spans="1:15">
      <c r="A440" s="163" t="s">
        <v>3453</v>
      </c>
      <c r="B440" s="163" t="s">
        <v>2213</v>
      </c>
      <c r="C440" s="163" t="s">
        <v>3454</v>
      </c>
      <c r="D440" s="163" t="s">
        <v>1086</v>
      </c>
      <c r="E440" s="163" t="s">
        <v>3511</v>
      </c>
      <c r="F440" s="163" t="s">
        <v>3455</v>
      </c>
      <c r="G440" s="163" t="s">
        <v>3456</v>
      </c>
      <c r="I440" s="164">
        <v>25</v>
      </c>
      <c r="J440" s="164">
        <v>25</v>
      </c>
      <c r="K440" s="164">
        <v>25</v>
      </c>
      <c r="L440" s="164">
        <v>25</v>
      </c>
      <c r="M440" s="164">
        <v>25</v>
      </c>
      <c r="N440" s="164">
        <v>55</v>
      </c>
      <c r="O440" s="163" t="s">
        <v>4316</v>
      </c>
    </row>
    <row r="441" spans="1:15">
      <c r="A441" s="163" t="s">
        <v>3462</v>
      </c>
      <c r="B441" s="163" t="s">
        <v>2213</v>
      </c>
      <c r="C441" s="163" t="s">
        <v>3463</v>
      </c>
      <c r="D441" s="163" t="s">
        <v>953</v>
      </c>
      <c r="E441" s="163" t="s">
        <v>3511</v>
      </c>
      <c r="F441" s="163" t="s">
        <v>1246</v>
      </c>
      <c r="G441" s="163" t="s">
        <v>3464</v>
      </c>
      <c r="H441" s="163" t="s">
        <v>4046</v>
      </c>
      <c r="I441" s="164">
        <v>25</v>
      </c>
      <c r="J441" s="164">
        <v>25</v>
      </c>
      <c r="K441" s="164">
        <v>25</v>
      </c>
      <c r="L441" s="164">
        <v>25</v>
      </c>
      <c r="M441" s="164">
        <v>25</v>
      </c>
      <c r="N441" s="164">
        <v>55</v>
      </c>
      <c r="O441" s="163" t="s">
        <v>4316</v>
      </c>
    </row>
    <row r="442" spans="1:15">
      <c r="A442" s="163" t="s">
        <v>3488</v>
      </c>
      <c r="B442" s="163" t="s">
        <v>3489</v>
      </c>
      <c r="C442" s="163" t="s">
        <v>3490</v>
      </c>
      <c r="D442" s="163" t="s">
        <v>3491</v>
      </c>
      <c r="E442" s="163" t="s">
        <v>3519</v>
      </c>
      <c r="F442" s="163" t="s">
        <v>3492</v>
      </c>
      <c r="G442" s="163" t="s">
        <v>3493</v>
      </c>
      <c r="H442" s="163" t="s">
        <v>4047</v>
      </c>
      <c r="I442" s="164">
        <v>25</v>
      </c>
      <c r="J442" s="164">
        <v>25</v>
      </c>
      <c r="K442" s="164">
        <v>25</v>
      </c>
      <c r="L442" s="164">
        <v>25</v>
      </c>
      <c r="M442" s="164">
        <v>25</v>
      </c>
      <c r="N442" s="164">
        <v>55</v>
      </c>
      <c r="O442" s="163" t="s">
        <v>4401</v>
      </c>
    </row>
    <row r="443" spans="1:15">
      <c r="A443" s="163" t="s">
        <v>3494</v>
      </c>
      <c r="B443" s="163" t="s">
        <v>3489</v>
      </c>
      <c r="C443" s="163" t="s">
        <v>3495</v>
      </c>
      <c r="D443" s="163" t="s">
        <v>3491</v>
      </c>
      <c r="E443" s="163" t="s">
        <v>3519</v>
      </c>
      <c r="F443" s="163" t="s">
        <v>3496</v>
      </c>
      <c r="G443" s="163" t="s">
        <v>3497</v>
      </c>
      <c r="H443" s="163" t="s">
        <v>4048</v>
      </c>
      <c r="I443" s="164">
        <v>25</v>
      </c>
      <c r="J443" s="164">
        <v>25</v>
      </c>
      <c r="K443" s="164">
        <v>25</v>
      </c>
      <c r="L443" s="164">
        <v>25</v>
      </c>
      <c r="M443" s="164">
        <v>25</v>
      </c>
      <c r="N443" s="164">
        <v>55</v>
      </c>
      <c r="O443" s="163" t="s">
        <v>4401</v>
      </c>
    </row>
    <row r="444" spans="1:15">
      <c r="A444" s="163" t="s">
        <v>3476</v>
      </c>
      <c r="B444" s="163" t="s">
        <v>2213</v>
      </c>
      <c r="C444" s="163" t="s">
        <v>3477</v>
      </c>
      <c r="D444" s="163" t="s">
        <v>1086</v>
      </c>
      <c r="E444" s="163" t="s">
        <v>3511</v>
      </c>
      <c r="F444" s="163" t="s">
        <v>3478</v>
      </c>
      <c r="G444" s="163" t="s">
        <v>3479</v>
      </c>
      <c r="H444" s="163" t="s">
        <v>4049</v>
      </c>
      <c r="I444" s="164">
        <v>25</v>
      </c>
      <c r="J444" s="164">
        <v>25</v>
      </c>
      <c r="K444" s="164">
        <v>25</v>
      </c>
      <c r="L444" s="164">
        <v>25</v>
      </c>
      <c r="M444" s="164">
        <v>25</v>
      </c>
      <c r="N444" s="164">
        <v>55</v>
      </c>
    </row>
    <row r="445" spans="1:15">
      <c r="A445" s="163" t="s">
        <v>3480</v>
      </c>
      <c r="B445" s="163" t="s">
        <v>2213</v>
      </c>
      <c r="C445" s="163" t="s">
        <v>3481</v>
      </c>
      <c r="D445" s="163" t="s">
        <v>1086</v>
      </c>
      <c r="E445" s="163" t="s">
        <v>3517</v>
      </c>
      <c r="F445" s="163" t="s">
        <v>3482</v>
      </c>
      <c r="G445" s="163" t="s">
        <v>3483</v>
      </c>
      <c r="H445" s="163" t="s">
        <v>4050</v>
      </c>
      <c r="I445" s="164">
        <v>25</v>
      </c>
      <c r="J445" s="164">
        <v>25</v>
      </c>
      <c r="K445" s="164">
        <v>25</v>
      </c>
      <c r="L445" s="164">
        <v>25</v>
      </c>
      <c r="M445" s="164">
        <v>25</v>
      </c>
      <c r="N445" s="164">
        <v>55</v>
      </c>
      <c r="O445" s="163" t="s">
        <v>4316</v>
      </c>
    </row>
    <row r="446" spans="1:15">
      <c r="A446" s="163" t="s">
        <v>3502</v>
      </c>
      <c r="B446" s="163" t="s">
        <v>3382</v>
      </c>
      <c r="C446" s="163" t="s">
        <v>3503</v>
      </c>
      <c r="D446" s="163" t="s">
        <v>1306</v>
      </c>
      <c r="E446" s="163" t="s">
        <v>3525</v>
      </c>
      <c r="F446" s="163" t="s">
        <v>3504</v>
      </c>
      <c r="G446" s="163" t="s">
        <v>3505</v>
      </c>
      <c r="H446" s="163" t="s">
        <v>4051</v>
      </c>
      <c r="I446" s="164">
        <v>25</v>
      </c>
      <c r="J446" s="164">
        <v>25</v>
      </c>
      <c r="K446" s="164">
        <v>25</v>
      </c>
      <c r="L446" s="164">
        <v>25</v>
      </c>
      <c r="M446" s="164">
        <v>25</v>
      </c>
      <c r="N446" s="164">
        <v>55</v>
      </c>
      <c r="O446" s="163" t="s">
        <v>4309</v>
      </c>
    </row>
    <row r="447" spans="1:15">
      <c r="A447" s="163" t="s">
        <v>3498</v>
      </c>
      <c r="B447" s="163" t="s">
        <v>3489</v>
      </c>
      <c r="C447" s="163" t="s">
        <v>3499</v>
      </c>
      <c r="D447" s="163" t="s">
        <v>3491</v>
      </c>
      <c r="E447" s="163" t="s">
        <v>3519</v>
      </c>
      <c r="F447" s="163" t="s">
        <v>3500</v>
      </c>
      <c r="G447" s="163" t="s">
        <v>3501</v>
      </c>
      <c r="H447" s="163" t="s">
        <v>4052</v>
      </c>
      <c r="I447" s="164">
        <v>25</v>
      </c>
      <c r="J447" s="164">
        <v>25</v>
      </c>
      <c r="K447" s="164">
        <v>25</v>
      </c>
      <c r="L447" s="164">
        <v>25</v>
      </c>
      <c r="M447" s="164">
        <v>25</v>
      </c>
      <c r="N447" s="164">
        <v>55</v>
      </c>
      <c r="O447" s="163" t="s">
        <v>4401</v>
      </c>
    </row>
    <row r="448" spans="1:15">
      <c r="A448" s="163" t="s">
        <v>3506</v>
      </c>
      <c r="B448" s="163" t="s">
        <v>3489</v>
      </c>
      <c r="C448" s="163" t="s">
        <v>3507</v>
      </c>
      <c r="D448" s="163" t="s">
        <v>1409</v>
      </c>
      <c r="E448" s="163" t="s">
        <v>3516</v>
      </c>
      <c r="F448" s="163" t="s">
        <v>3508</v>
      </c>
      <c r="G448" s="163" t="s">
        <v>3509</v>
      </c>
      <c r="H448" s="163" t="s">
        <v>4053</v>
      </c>
      <c r="I448" s="164">
        <v>25</v>
      </c>
      <c r="J448" s="164">
        <v>25</v>
      </c>
      <c r="K448" s="164">
        <v>25</v>
      </c>
      <c r="L448" s="164">
        <v>25</v>
      </c>
      <c r="M448" s="164">
        <v>25</v>
      </c>
      <c r="N448" s="164">
        <v>55</v>
      </c>
      <c r="O448" s="163" t="s">
        <v>4338</v>
      </c>
    </row>
    <row r="449" spans="1:15">
      <c r="A449" s="163" t="s">
        <v>3536</v>
      </c>
      <c r="B449" s="163" t="s">
        <v>3382</v>
      </c>
      <c r="C449" s="163" t="s">
        <v>3537</v>
      </c>
      <c r="D449" s="163" t="s">
        <v>3538</v>
      </c>
      <c r="E449" s="163" t="s">
        <v>3539</v>
      </c>
      <c r="F449" s="163" t="s">
        <v>3659</v>
      </c>
      <c r="G449" s="163" t="s">
        <v>3540</v>
      </c>
      <c r="H449" s="163" t="s">
        <v>4054</v>
      </c>
      <c r="I449" s="164">
        <v>25</v>
      </c>
      <c r="J449" s="164">
        <v>25</v>
      </c>
      <c r="K449" s="164">
        <v>25</v>
      </c>
      <c r="L449" s="164">
        <v>25</v>
      </c>
      <c r="M449" s="164">
        <v>0</v>
      </c>
      <c r="N449" s="164">
        <v>55</v>
      </c>
      <c r="O449" s="163" t="s">
        <v>4393</v>
      </c>
    </row>
    <row r="450" spans="1:15">
      <c r="A450" s="163" t="s">
        <v>3526</v>
      </c>
      <c r="B450" s="163" t="s">
        <v>3382</v>
      </c>
      <c r="C450" s="163" t="s">
        <v>3527</v>
      </c>
      <c r="D450" s="163" t="s">
        <v>1306</v>
      </c>
      <c r="E450" s="163" t="s">
        <v>3525</v>
      </c>
      <c r="F450" s="163" t="s">
        <v>1371</v>
      </c>
      <c r="G450" s="163" t="s">
        <v>3528</v>
      </c>
      <c r="H450" s="163" t="s">
        <v>4055</v>
      </c>
      <c r="I450" s="164">
        <v>25</v>
      </c>
      <c r="J450" s="164">
        <v>25</v>
      </c>
      <c r="K450" s="164">
        <v>25</v>
      </c>
      <c r="L450" s="164">
        <v>25</v>
      </c>
      <c r="M450" s="164">
        <v>25</v>
      </c>
      <c r="N450" s="164">
        <v>55</v>
      </c>
      <c r="O450" s="163" t="s">
        <v>4402</v>
      </c>
    </row>
    <row r="451" spans="1:15">
      <c r="A451" s="163" t="s">
        <v>3520</v>
      </c>
      <c r="B451" s="163" t="s">
        <v>3489</v>
      </c>
      <c r="C451" s="163" t="s">
        <v>3521</v>
      </c>
      <c r="D451" s="163" t="s">
        <v>3491</v>
      </c>
      <c r="E451" s="163" t="s">
        <v>3519</v>
      </c>
      <c r="F451" s="163" t="s">
        <v>3522</v>
      </c>
      <c r="G451" s="163" t="s">
        <v>3523</v>
      </c>
      <c r="H451" s="163" t="s">
        <v>4056</v>
      </c>
      <c r="I451" s="164">
        <v>25</v>
      </c>
      <c r="J451" s="164">
        <v>25</v>
      </c>
      <c r="K451" s="164">
        <v>25</v>
      </c>
      <c r="L451" s="164">
        <v>25</v>
      </c>
      <c r="M451" s="164">
        <v>25</v>
      </c>
      <c r="N451" s="164">
        <v>55</v>
      </c>
      <c r="O451" s="163" t="s">
        <v>4403</v>
      </c>
    </row>
    <row r="452" spans="1:15">
      <c r="A452" s="163" t="s">
        <v>3542</v>
      </c>
      <c r="B452" s="163" t="s">
        <v>3489</v>
      </c>
      <c r="C452" s="163" t="s">
        <v>3543</v>
      </c>
      <c r="D452" s="163" t="s">
        <v>1459</v>
      </c>
      <c r="E452" s="163" t="s">
        <v>3516</v>
      </c>
      <c r="F452" s="163" t="s">
        <v>3544</v>
      </c>
      <c r="G452" s="163" t="s">
        <v>3545</v>
      </c>
      <c r="I452" s="164">
        <v>25</v>
      </c>
      <c r="J452" s="164">
        <v>25</v>
      </c>
      <c r="K452" s="164">
        <v>25</v>
      </c>
      <c r="L452" s="164">
        <v>25</v>
      </c>
      <c r="M452" s="164">
        <v>25</v>
      </c>
      <c r="N452" s="164">
        <v>55</v>
      </c>
      <c r="O452" s="163" t="s">
        <v>4341</v>
      </c>
    </row>
    <row r="453" spans="1:15">
      <c r="A453" s="163" t="s">
        <v>3546</v>
      </c>
      <c r="B453" s="163" t="s">
        <v>3489</v>
      </c>
      <c r="C453" s="163" t="s">
        <v>3547</v>
      </c>
      <c r="D453" s="163" t="s">
        <v>3491</v>
      </c>
      <c r="E453" s="163" t="s">
        <v>3519</v>
      </c>
      <c r="F453" s="163" t="s">
        <v>3548</v>
      </c>
      <c r="G453" s="163" t="s">
        <v>3549</v>
      </c>
      <c r="I453" s="164">
        <v>25</v>
      </c>
      <c r="J453" s="164">
        <v>25</v>
      </c>
      <c r="K453" s="164">
        <v>25</v>
      </c>
      <c r="L453" s="164">
        <v>25</v>
      </c>
      <c r="M453" s="164">
        <v>25</v>
      </c>
      <c r="N453" s="164">
        <v>55</v>
      </c>
      <c r="O453" s="163" t="s">
        <v>4404</v>
      </c>
    </row>
    <row r="454" spans="1:15">
      <c r="A454" s="163" t="s">
        <v>3550</v>
      </c>
      <c r="B454" s="163" t="s">
        <v>3489</v>
      </c>
      <c r="C454" s="163" t="s">
        <v>3551</v>
      </c>
      <c r="D454" s="163" t="s">
        <v>3491</v>
      </c>
      <c r="E454" s="163" t="s">
        <v>3519</v>
      </c>
      <c r="F454" s="163" t="s">
        <v>3496</v>
      </c>
      <c r="G454" s="163" t="s">
        <v>3552</v>
      </c>
      <c r="H454" s="163" t="s">
        <v>3553</v>
      </c>
      <c r="I454" s="164">
        <v>25</v>
      </c>
      <c r="J454" s="164">
        <v>25</v>
      </c>
      <c r="K454" s="164">
        <v>25</v>
      </c>
      <c r="L454" s="164">
        <v>25</v>
      </c>
      <c r="M454" s="164">
        <v>25</v>
      </c>
      <c r="N454" s="164">
        <v>55</v>
      </c>
    </row>
    <row r="455" spans="1:15">
      <c r="A455" s="163" t="s">
        <v>3636</v>
      </c>
      <c r="B455" s="163" t="s">
        <v>3489</v>
      </c>
      <c r="C455" s="163" t="s">
        <v>3637</v>
      </c>
      <c r="D455" s="163" t="s">
        <v>1459</v>
      </c>
      <c r="E455" s="163" t="s">
        <v>3516</v>
      </c>
      <c r="F455" s="163" t="s">
        <v>3638</v>
      </c>
      <c r="G455" s="163" t="s">
        <v>3639</v>
      </c>
      <c r="H455" s="163" t="s">
        <v>4057</v>
      </c>
      <c r="I455" s="164">
        <v>25</v>
      </c>
      <c r="J455" s="164">
        <v>25</v>
      </c>
      <c r="K455" s="164">
        <v>25</v>
      </c>
      <c r="L455" s="164">
        <v>25</v>
      </c>
      <c r="M455" s="164">
        <v>25</v>
      </c>
      <c r="N455" s="164">
        <v>55</v>
      </c>
      <c r="O455" s="163" t="s">
        <v>4405</v>
      </c>
    </row>
    <row r="456" spans="1:15">
      <c r="A456" s="163" t="s">
        <v>3655</v>
      </c>
      <c r="B456" s="163" t="s">
        <v>3489</v>
      </c>
      <c r="C456" s="163" t="s">
        <v>3637</v>
      </c>
      <c r="D456" s="163" t="s">
        <v>1459</v>
      </c>
      <c r="E456" s="163" t="s">
        <v>3516</v>
      </c>
      <c r="F456" s="163" t="s">
        <v>3638</v>
      </c>
      <c r="G456" s="163" t="s">
        <v>3639</v>
      </c>
      <c r="H456" s="163" t="s">
        <v>4057</v>
      </c>
      <c r="I456" s="164">
        <v>25</v>
      </c>
      <c r="J456" s="164">
        <v>25</v>
      </c>
      <c r="K456" s="164">
        <v>25</v>
      </c>
      <c r="L456" s="164">
        <v>25</v>
      </c>
      <c r="M456" s="164">
        <v>25</v>
      </c>
      <c r="N456" s="164">
        <v>55</v>
      </c>
      <c r="O456" s="163" t="s">
        <v>4405</v>
      </c>
    </row>
    <row r="457" spans="1:15">
      <c r="A457" s="163" t="s">
        <v>3646</v>
      </c>
      <c r="B457" s="163" t="s">
        <v>3489</v>
      </c>
      <c r="C457" s="163" t="s">
        <v>3647</v>
      </c>
      <c r="D457" s="163" t="s">
        <v>1459</v>
      </c>
      <c r="E457" s="163" t="s">
        <v>3516</v>
      </c>
      <c r="F457" s="163" t="s">
        <v>3544</v>
      </c>
      <c r="G457" s="163" t="s">
        <v>3648</v>
      </c>
      <c r="I457" s="164">
        <v>25</v>
      </c>
      <c r="J457" s="164">
        <v>25</v>
      </c>
      <c r="K457" s="164">
        <v>25</v>
      </c>
      <c r="L457" s="164">
        <v>25</v>
      </c>
      <c r="M457" s="164">
        <v>25</v>
      </c>
      <c r="N457" s="164">
        <v>55</v>
      </c>
      <c r="O457" s="163" t="s">
        <v>4338</v>
      </c>
    </row>
    <row r="458" spans="1:15">
      <c r="A458" s="163" t="s">
        <v>3611</v>
      </c>
      <c r="B458" s="163" t="s">
        <v>865</v>
      </c>
      <c r="C458" s="163" t="s">
        <v>3612</v>
      </c>
      <c r="D458" s="163" t="s">
        <v>864</v>
      </c>
      <c r="E458" s="163" t="s">
        <v>3511</v>
      </c>
      <c r="F458" s="163" t="s">
        <v>868</v>
      </c>
      <c r="G458" s="163" t="s">
        <v>3613</v>
      </c>
      <c r="I458" s="164">
        <v>25</v>
      </c>
      <c r="J458" s="164">
        <v>25</v>
      </c>
      <c r="K458" s="164">
        <v>25</v>
      </c>
      <c r="L458" s="164">
        <v>25</v>
      </c>
      <c r="M458" s="164">
        <v>25</v>
      </c>
      <c r="N458" s="164">
        <v>55</v>
      </c>
      <c r="O458" s="163" t="s">
        <v>4316</v>
      </c>
    </row>
    <row r="459" spans="1:15">
      <c r="A459" s="163" t="s">
        <v>3614</v>
      </c>
      <c r="B459" s="163" t="s">
        <v>865</v>
      </c>
      <c r="C459" s="163" t="s">
        <v>3615</v>
      </c>
      <c r="D459" s="163" t="s">
        <v>864</v>
      </c>
      <c r="E459" s="163" t="s">
        <v>3514</v>
      </c>
      <c r="F459" s="163" t="s">
        <v>3616</v>
      </c>
      <c r="G459" s="163" t="s">
        <v>3617</v>
      </c>
      <c r="I459" s="164">
        <v>25</v>
      </c>
      <c r="J459" s="164">
        <v>25</v>
      </c>
      <c r="K459" s="164">
        <v>25</v>
      </c>
      <c r="L459" s="164">
        <v>25</v>
      </c>
      <c r="M459" s="164">
        <v>25</v>
      </c>
      <c r="N459" s="164">
        <v>55</v>
      </c>
      <c r="O459" s="163" t="s">
        <v>4406</v>
      </c>
    </row>
    <row r="460" spans="1:15">
      <c r="A460" s="163" t="s">
        <v>3660</v>
      </c>
      <c r="B460" s="163" t="s">
        <v>865</v>
      </c>
      <c r="C460" s="163" t="s">
        <v>3661</v>
      </c>
      <c r="D460" s="163" t="s">
        <v>3538</v>
      </c>
      <c r="E460" s="163" t="s">
        <v>3514</v>
      </c>
      <c r="F460" s="163" t="s">
        <v>3662</v>
      </c>
      <c r="G460" s="163" t="s">
        <v>3663</v>
      </c>
      <c r="I460" s="164">
        <v>25</v>
      </c>
      <c r="J460" s="164">
        <v>25</v>
      </c>
      <c r="K460" s="164">
        <v>25</v>
      </c>
      <c r="L460" s="164">
        <v>25</v>
      </c>
      <c r="M460" s="164">
        <v>25</v>
      </c>
      <c r="N460" s="164">
        <v>55</v>
      </c>
    </row>
    <row r="461" spans="1:15">
      <c r="A461" s="163" t="s">
        <v>3624</v>
      </c>
      <c r="B461" s="163" t="s">
        <v>2213</v>
      </c>
      <c r="C461" s="163" t="s">
        <v>3625</v>
      </c>
      <c r="D461" s="163" t="s">
        <v>1086</v>
      </c>
      <c r="E461" s="163" t="s">
        <v>3511</v>
      </c>
      <c r="F461" s="163" t="s">
        <v>1085</v>
      </c>
      <c r="G461" s="163" t="s">
        <v>1093</v>
      </c>
      <c r="H461" s="163" t="s">
        <v>4058</v>
      </c>
      <c r="I461" s="164">
        <v>25</v>
      </c>
      <c r="J461" s="164">
        <v>18</v>
      </c>
      <c r="K461" s="164">
        <v>25</v>
      </c>
      <c r="L461" s="164">
        <v>18</v>
      </c>
      <c r="M461" s="164">
        <v>25</v>
      </c>
      <c r="N461" s="164">
        <v>55</v>
      </c>
    </row>
    <row r="462" spans="1:15">
      <c r="A462" s="163" t="s">
        <v>3629</v>
      </c>
      <c r="B462" s="163" t="s">
        <v>3382</v>
      </c>
      <c r="C462" s="163" t="s">
        <v>3630</v>
      </c>
      <c r="D462" s="163" t="s">
        <v>1306</v>
      </c>
      <c r="E462" s="163" t="s">
        <v>3525</v>
      </c>
      <c r="F462" s="163" t="s">
        <v>1355</v>
      </c>
      <c r="G462" s="163" t="s">
        <v>3631</v>
      </c>
      <c r="H462" s="163" t="s">
        <v>3680</v>
      </c>
      <c r="I462" s="164">
        <v>18</v>
      </c>
      <c r="J462" s="164">
        <v>9</v>
      </c>
      <c r="K462" s="164">
        <v>18</v>
      </c>
      <c r="L462" s="164">
        <v>9</v>
      </c>
      <c r="M462" s="164">
        <v>18</v>
      </c>
      <c r="N462" s="164">
        <v>50</v>
      </c>
      <c r="O462" s="163" t="s">
        <v>4313</v>
      </c>
    </row>
    <row r="463" spans="1:15">
      <c r="A463" s="163" t="s">
        <v>3640</v>
      </c>
      <c r="B463" s="163" t="s">
        <v>3489</v>
      </c>
      <c r="C463" s="163" t="s">
        <v>3641</v>
      </c>
      <c r="D463" s="163" t="s">
        <v>1459</v>
      </c>
      <c r="E463" s="163" t="s">
        <v>3516</v>
      </c>
      <c r="F463" s="163" t="s">
        <v>1458</v>
      </c>
      <c r="G463" s="163" t="s">
        <v>3642</v>
      </c>
      <c r="I463" s="164">
        <v>25</v>
      </c>
      <c r="J463" s="164">
        <v>25</v>
      </c>
      <c r="K463" s="164">
        <v>25</v>
      </c>
      <c r="L463" s="164">
        <v>25</v>
      </c>
      <c r="M463" s="164">
        <v>25</v>
      </c>
      <c r="N463" s="164">
        <v>55</v>
      </c>
      <c r="O463" s="163" t="s">
        <v>4338</v>
      </c>
    </row>
    <row r="464" spans="1:15">
      <c r="A464" s="163" t="s">
        <v>3618</v>
      </c>
      <c r="B464" s="163" t="s">
        <v>2213</v>
      </c>
      <c r="C464" s="163" t="s">
        <v>3619</v>
      </c>
      <c r="D464" s="163" t="s">
        <v>2221</v>
      </c>
      <c r="E464" s="163" t="s">
        <v>3511</v>
      </c>
      <c r="F464" s="163" t="s">
        <v>3620</v>
      </c>
      <c r="G464" s="163" t="s">
        <v>3621</v>
      </c>
      <c r="I464" s="164">
        <v>25</v>
      </c>
      <c r="J464" s="164">
        <v>25</v>
      </c>
      <c r="K464" s="164">
        <v>25</v>
      </c>
      <c r="L464" s="164">
        <v>25</v>
      </c>
      <c r="M464" s="164">
        <v>25</v>
      </c>
      <c r="N464" s="164">
        <v>55</v>
      </c>
      <c r="O464" s="163" t="s">
        <v>4316</v>
      </c>
    </row>
    <row r="465" spans="1:15">
      <c r="A465" s="163" t="s">
        <v>3626</v>
      </c>
      <c r="B465" s="163" t="s">
        <v>2213</v>
      </c>
      <c r="C465" s="163" t="s">
        <v>3627</v>
      </c>
      <c r="D465" s="163" t="s">
        <v>953</v>
      </c>
      <c r="E465" s="163" t="s">
        <v>3511</v>
      </c>
      <c r="F465" s="163" t="s">
        <v>1206</v>
      </c>
      <c r="G465" s="163" t="s">
        <v>3628</v>
      </c>
      <c r="H465" s="163" t="s">
        <v>4059</v>
      </c>
      <c r="I465" s="164">
        <v>25</v>
      </c>
      <c r="J465" s="164">
        <v>25</v>
      </c>
      <c r="K465" s="164">
        <v>25</v>
      </c>
      <c r="L465" s="164">
        <v>25</v>
      </c>
      <c r="M465" s="164">
        <v>25</v>
      </c>
      <c r="N465" s="164">
        <v>55</v>
      </c>
      <c r="O465" s="163" t="s">
        <v>4380</v>
      </c>
    </row>
    <row r="466" spans="1:15">
      <c r="A466" s="163" t="s">
        <v>3649</v>
      </c>
      <c r="B466" s="163" t="s">
        <v>2057</v>
      </c>
      <c r="C466" s="163" t="s">
        <v>3650</v>
      </c>
      <c r="D466" s="163" t="s">
        <v>1608</v>
      </c>
      <c r="E466" s="163" t="s">
        <v>3532</v>
      </c>
      <c r="F466" s="163" t="s">
        <v>1668</v>
      </c>
      <c r="G466" s="163" t="s">
        <v>3651</v>
      </c>
      <c r="H466" s="163" t="s">
        <v>4060</v>
      </c>
      <c r="I466" s="164">
        <v>25</v>
      </c>
      <c r="J466" s="164">
        <v>25</v>
      </c>
      <c r="K466" s="164">
        <v>25</v>
      </c>
      <c r="L466" s="164">
        <v>25</v>
      </c>
      <c r="M466" s="164">
        <v>25</v>
      </c>
      <c r="N466" s="164">
        <v>55</v>
      </c>
      <c r="O466" s="163" t="s">
        <v>4407</v>
      </c>
    </row>
    <row r="467" spans="1:15">
      <c r="A467" s="163" t="s">
        <v>3622</v>
      </c>
      <c r="B467" s="163" t="s">
        <v>865</v>
      </c>
      <c r="C467" s="163" t="s">
        <v>3623</v>
      </c>
      <c r="D467" s="163" t="s">
        <v>864</v>
      </c>
      <c r="E467" s="163" t="s">
        <v>3511</v>
      </c>
      <c r="F467" s="163" t="s">
        <v>868</v>
      </c>
      <c r="G467" s="163" t="s">
        <v>869</v>
      </c>
      <c r="H467" s="163" t="s">
        <v>3678</v>
      </c>
      <c r="I467" s="164">
        <v>25</v>
      </c>
      <c r="J467" s="164">
        <v>25</v>
      </c>
      <c r="K467" s="164">
        <v>25</v>
      </c>
      <c r="L467" s="164">
        <v>25</v>
      </c>
      <c r="M467" s="164">
        <v>25</v>
      </c>
      <c r="N467" s="164">
        <v>55</v>
      </c>
    </row>
    <row r="468" spans="1:15">
      <c r="A468" s="163" t="s">
        <v>3656</v>
      </c>
      <c r="B468" s="163" t="s">
        <v>2063</v>
      </c>
      <c r="C468" s="163" t="s">
        <v>3657</v>
      </c>
      <c r="D468" s="163" t="s">
        <v>868</v>
      </c>
      <c r="E468" s="163" t="s">
        <v>3511</v>
      </c>
      <c r="F468" s="163" t="s">
        <v>868</v>
      </c>
      <c r="G468" s="163" t="s">
        <v>3658</v>
      </c>
      <c r="I468" s="164">
        <v>25</v>
      </c>
      <c r="J468" s="164">
        <v>25</v>
      </c>
      <c r="K468" s="164">
        <v>25</v>
      </c>
      <c r="L468" s="164">
        <v>25</v>
      </c>
      <c r="M468" s="164">
        <v>25</v>
      </c>
      <c r="N468" s="164">
        <v>55</v>
      </c>
      <c r="O468" s="163" t="s">
        <v>4316</v>
      </c>
    </row>
    <row r="469" spans="1:15">
      <c r="A469" s="163" t="s">
        <v>3643</v>
      </c>
      <c r="B469" s="163" t="s">
        <v>3489</v>
      </c>
      <c r="C469" s="163" t="s">
        <v>3644</v>
      </c>
      <c r="D469" s="163" t="s">
        <v>1459</v>
      </c>
      <c r="E469" s="163" t="s">
        <v>3516</v>
      </c>
      <c r="F469" s="163" t="s">
        <v>1458</v>
      </c>
      <c r="G469" s="163" t="s">
        <v>3645</v>
      </c>
      <c r="H469" s="163" t="s">
        <v>4061</v>
      </c>
      <c r="I469" s="164">
        <v>25</v>
      </c>
      <c r="J469" s="164">
        <v>25</v>
      </c>
      <c r="K469" s="164">
        <v>25</v>
      </c>
      <c r="L469" s="164">
        <v>25</v>
      </c>
      <c r="M469" s="164">
        <v>25</v>
      </c>
      <c r="N469" s="164">
        <v>55</v>
      </c>
      <c r="O469" s="163" t="s">
        <v>4335</v>
      </c>
    </row>
    <row r="470" spans="1:15">
      <c r="A470" s="163" t="s">
        <v>3632</v>
      </c>
      <c r="B470" s="163" t="s">
        <v>874</v>
      </c>
      <c r="C470" s="163" t="s">
        <v>3633</v>
      </c>
      <c r="D470" s="163" t="s">
        <v>1409</v>
      </c>
      <c r="E470" s="163" t="s">
        <v>3516</v>
      </c>
      <c r="F470" s="163" t="s">
        <v>3634</v>
      </c>
      <c r="G470" s="163" t="s">
        <v>3635</v>
      </c>
      <c r="H470" s="163" t="s">
        <v>4062</v>
      </c>
      <c r="I470" s="164">
        <v>25</v>
      </c>
      <c r="J470" s="164">
        <v>25</v>
      </c>
      <c r="K470" s="164">
        <v>25</v>
      </c>
      <c r="L470" s="164">
        <v>25</v>
      </c>
      <c r="M470" s="164">
        <v>25</v>
      </c>
      <c r="N470" s="164">
        <v>55</v>
      </c>
      <c r="O470" s="163" t="s">
        <v>4319</v>
      </c>
    </row>
    <row r="471" spans="1:15">
      <c r="A471" s="163" t="s">
        <v>3652</v>
      </c>
      <c r="B471" s="163" t="s">
        <v>2057</v>
      </c>
      <c r="C471" s="163" t="s">
        <v>3653</v>
      </c>
      <c r="D471" s="163" t="s">
        <v>1608</v>
      </c>
      <c r="E471" s="163" t="s">
        <v>3533</v>
      </c>
      <c r="F471" s="163" t="s">
        <v>1700</v>
      </c>
      <c r="G471" s="163" t="s">
        <v>3654</v>
      </c>
      <c r="H471" s="163" t="s">
        <v>4063</v>
      </c>
      <c r="I471" s="164">
        <v>25</v>
      </c>
      <c r="J471" s="164">
        <v>25</v>
      </c>
      <c r="K471" s="164">
        <v>25</v>
      </c>
      <c r="L471" s="164">
        <v>25</v>
      </c>
      <c r="M471" s="164">
        <v>25</v>
      </c>
      <c r="N471" s="164">
        <v>55</v>
      </c>
      <c r="O471" s="163" t="s">
        <v>4316</v>
      </c>
    </row>
    <row r="472" spans="1:15">
      <c r="A472" s="163" t="s">
        <v>4064</v>
      </c>
      <c r="B472" s="163" t="s">
        <v>865</v>
      </c>
      <c r="C472" s="163" t="s">
        <v>4065</v>
      </c>
      <c r="D472" s="163" t="s">
        <v>2221</v>
      </c>
      <c r="E472" s="163" t="s">
        <v>3511</v>
      </c>
      <c r="F472" s="163" t="s">
        <v>908</v>
      </c>
      <c r="G472" s="163" t="s">
        <v>4066</v>
      </c>
      <c r="H472" s="163" t="s">
        <v>2176</v>
      </c>
      <c r="I472" s="164">
        <v>25</v>
      </c>
      <c r="J472" s="164">
        <v>25</v>
      </c>
      <c r="K472" s="164">
        <v>25</v>
      </c>
      <c r="L472" s="164">
        <v>25</v>
      </c>
      <c r="M472" s="164">
        <v>25</v>
      </c>
      <c r="N472" s="164">
        <v>55</v>
      </c>
      <c r="O472" s="163" t="s">
        <v>4316</v>
      </c>
    </row>
    <row r="473" spans="1:15">
      <c r="A473" s="163" t="s">
        <v>4067</v>
      </c>
      <c r="B473" s="163" t="s">
        <v>3489</v>
      </c>
      <c r="C473" s="163" t="s">
        <v>4068</v>
      </c>
      <c r="D473" s="163" t="s">
        <v>3538</v>
      </c>
      <c r="E473" s="163" t="s">
        <v>3514</v>
      </c>
      <c r="F473" s="163" t="s">
        <v>4069</v>
      </c>
      <c r="G473" s="163" t="s">
        <v>4070</v>
      </c>
      <c r="H473" s="163" t="s">
        <v>4071</v>
      </c>
      <c r="I473" s="164">
        <v>25</v>
      </c>
      <c r="J473" s="164">
        <v>25</v>
      </c>
      <c r="K473" s="164">
        <v>25</v>
      </c>
      <c r="L473" s="164">
        <v>25</v>
      </c>
      <c r="M473" s="164">
        <v>25</v>
      </c>
      <c r="N473" s="164">
        <v>55</v>
      </c>
      <c r="O473" s="163" t="s">
        <v>4338</v>
      </c>
    </row>
    <row r="474" spans="1:15">
      <c r="A474" s="163" t="s">
        <v>4072</v>
      </c>
      <c r="B474" s="163" t="s">
        <v>2057</v>
      </c>
      <c r="C474" s="163" t="s">
        <v>4073</v>
      </c>
      <c r="D474" s="163" t="s">
        <v>1608</v>
      </c>
      <c r="E474" s="163" t="s">
        <v>863</v>
      </c>
      <c r="F474" s="163" t="s">
        <v>4074</v>
      </c>
      <c r="G474" s="163" t="s">
        <v>4075</v>
      </c>
      <c r="H474" s="163" t="s">
        <v>3948</v>
      </c>
      <c r="I474" s="164">
        <v>18</v>
      </c>
      <c r="J474" s="164">
        <v>18</v>
      </c>
      <c r="K474" s="164">
        <v>18</v>
      </c>
      <c r="L474" s="164">
        <v>18</v>
      </c>
      <c r="M474" s="164">
        <v>18</v>
      </c>
      <c r="N474" s="164">
        <v>50</v>
      </c>
    </row>
    <row r="475" spans="1:15">
      <c r="A475" s="163" t="s">
        <v>4076</v>
      </c>
      <c r="B475" s="163" t="s">
        <v>3382</v>
      </c>
      <c r="C475" s="163" t="s">
        <v>4077</v>
      </c>
      <c r="D475" s="163" t="s">
        <v>3538</v>
      </c>
      <c r="E475" s="163" t="s">
        <v>3514</v>
      </c>
      <c r="F475" s="163" t="s">
        <v>4078</v>
      </c>
      <c r="G475" s="163" t="s">
        <v>4079</v>
      </c>
      <c r="H475" s="163" t="s">
        <v>4080</v>
      </c>
      <c r="I475" s="164">
        <v>25</v>
      </c>
      <c r="J475" s="164">
        <v>0</v>
      </c>
      <c r="K475" s="164">
        <v>0</v>
      </c>
      <c r="L475" s="164">
        <v>0</v>
      </c>
      <c r="M475" s="164">
        <v>0</v>
      </c>
      <c r="N475" s="164">
        <v>55</v>
      </c>
      <c r="O475" s="163" t="s">
        <v>4393</v>
      </c>
    </row>
    <row r="476" spans="1:15">
      <c r="A476" s="163" t="s">
        <v>4081</v>
      </c>
      <c r="B476" s="163" t="s">
        <v>3489</v>
      </c>
      <c r="C476" s="163" t="s">
        <v>4082</v>
      </c>
      <c r="D476" s="163" t="s">
        <v>1409</v>
      </c>
      <c r="E476" s="163" t="s">
        <v>3516</v>
      </c>
      <c r="F476" s="163" t="s">
        <v>4083</v>
      </c>
      <c r="G476" s="163" t="s">
        <v>4084</v>
      </c>
      <c r="H476" s="163" t="s">
        <v>2176</v>
      </c>
      <c r="I476" s="164">
        <v>25</v>
      </c>
      <c r="J476" s="164">
        <v>25</v>
      </c>
      <c r="K476" s="164">
        <v>25</v>
      </c>
      <c r="L476" s="164">
        <v>25</v>
      </c>
      <c r="M476" s="164">
        <v>25</v>
      </c>
      <c r="N476" s="164">
        <v>55</v>
      </c>
      <c r="O476" s="163" t="s">
        <v>4408</v>
      </c>
    </row>
    <row r="477" spans="1:15">
      <c r="A477" s="163" t="s">
        <v>4085</v>
      </c>
      <c r="B477" s="163" t="s">
        <v>3489</v>
      </c>
      <c r="C477" s="163" t="s">
        <v>4086</v>
      </c>
      <c r="D477" s="163" t="s">
        <v>1409</v>
      </c>
      <c r="E477" s="163" t="s">
        <v>3516</v>
      </c>
      <c r="F477" s="163" t="s">
        <v>4087</v>
      </c>
      <c r="G477" s="163" t="s">
        <v>4088</v>
      </c>
      <c r="H477" s="163" t="s">
        <v>2176</v>
      </c>
      <c r="I477" s="164">
        <v>25</v>
      </c>
      <c r="J477" s="164">
        <v>25</v>
      </c>
      <c r="K477" s="164">
        <v>25</v>
      </c>
      <c r="L477" s="164">
        <v>25</v>
      </c>
      <c r="M477" s="164">
        <v>25</v>
      </c>
      <c r="N477" s="164">
        <v>55</v>
      </c>
      <c r="O477" s="163" t="s">
        <v>4408</v>
      </c>
    </row>
    <row r="478" spans="1:15">
      <c r="A478" s="163" t="s">
        <v>4089</v>
      </c>
      <c r="B478" s="163" t="s">
        <v>3489</v>
      </c>
      <c r="C478" s="163" t="s">
        <v>4090</v>
      </c>
      <c r="D478" s="163" t="s">
        <v>1459</v>
      </c>
      <c r="E478" s="163" t="s">
        <v>3516</v>
      </c>
      <c r="F478" s="163" t="s">
        <v>1474</v>
      </c>
      <c r="G478" s="163" t="s">
        <v>4091</v>
      </c>
      <c r="H478" s="163" t="s">
        <v>2176</v>
      </c>
      <c r="I478" s="164">
        <v>25</v>
      </c>
      <c r="J478" s="164">
        <v>25</v>
      </c>
      <c r="K478" s="164">
        <v>25</v>
      </c>
      <c r="L478" s="164">
        <v>25</v>
      </c>
      <c r="M478" s="164">
        <v>25</v>
      </c>
      <c r="N478" s="164">
        <v>55</v>
      </c>
      <c r="O478" s="163" t="s">
        <v>4341</v>
      </c>
    </row>
    <row r="479" spans="1:15">
      <c r="A479" s="163" t="s">
        <v>4092</v>
      </c>
      <c r="B479" s="163" t="s">
        <v>2063</v>
      </c>
      <c r="C479" s="163" t="s">
        <v>4093</v>
      </c>
      <c r="D479" s="163" t="s">
        <v>868</v>
      </c>
      <c r="E479" s="163" t="s">
        <v>3511</v>
      </c>
      <c r="F479" s="163" t="s">
        <v>868</v>
      </c>
      <c r="G479" s="163" t="s">
        <v>4094</v>
      </c>
      <c r="H479" s="163" t="s">
        <v>3961</v>
      </c>
      <c r="I479" s="164">
        <v>25</v>
      </c>
      <c r="J479" s="164">
        <v>25</v>
      </c>
      <c r="K479" s="164">
        <v>25</v>
      </c>
      <c r="L479" s="164">
        <v>25</v>
      </c>
      <c r="M479" s="164">
        <v>25</v>
      </c>
      <c r="N479" s="164">
        <v>55</v>
      </c>
      <c r="O479" s="163" t="s">
        <v>4316</v>
      </c>
    </row>
    <row r="480" spans="1:15">
      <c r="A480" s="163" t="s">
        <v>4095</v>
      </c>
      <c r="B480" s="163" t="s">
        <v>2213</v>
      </c>
      <c r="C480" s="163" t="s">
        <v>4096</v>
      </c>
      <c r="D480" s="163" t="s">
        <v>1086</v>
      </c>
      <c r="E480" s="163" t="s">
        <v>3511</v>
      </c>
      <c r="F480" s="163" t="s">
        <v>1085</v>
      </c>
      <c r="G480" s="163" t="s">
        <v>4097</v>
      </c>
      <c r="H480" s="163" t="s">
        <v>4098</v>
      </c>
      <c r="I480" s="164">
        <v>25</v>
      </c>
      <c r="J480" s="164">
        <v>25</v>
      </c>
      <c r="K480" s="164">
        <v>25</v>
      </c>
      <c r="L480" s="164">
        <v>25</v>
      </c>
      <c r="M480" s="164">
        <v>25</v>
      </c>
      <c r="N480" s="164">
        <v>55</v>
      </c>
    </row>
    <row r="481" spans="1:15">
      <c r="A481" s="163" t="s">
        <v>4099</v>
      </c>
      <c r="B481" s="163" t="s">
        <v>2213</v>
      </c>
      <c r="C481" s="163" t="s">
        <v>4100</v>
      </c>
      <c r="D481" s="163" t="s">
        <v>2221</v>
      </c>
      <c r="E481" s="163" t="s">
        <v>3511</v>
      </c>
      <c r="F481" s="163" t="s">
        <v>4101</v>
      </c>
      <c r="G481" s="163" t="s">
        <v>4102</v>
      </c>
      <c r="H481" s="163" t="s">
        <v>4103</v>
      </c>
      <c r="I481" s="164">
        <v>25</v>
      </c>
      <c r="J481" s="164">
        <v>25</v>
      </c>
      <c r="K481" s="164">
        <v>25</v>
      </c>
      <c r="L481" s="164">
        <v>25</v>
      </c>
      <c r="M481" s="164">
        <v>25</v>
      </c>
      <c r="N481" s="164">
        <v>55</v>
      </c>
      <c r="O481" s="163" t="s">
        <v>4316</v>
      </c>
    </row>
    <row r="482" spans="1:15">
      <c r="A482" s="163" t="s">
        <v>4104</v>
      </c>
      <c r="B482" s="163" t="s">
        <v>2213</v>
      </c>
      <c r="C482" s="163" t="s">
        <v>4105</v>
      </c>
      <c r="D482" s="163" t="s">
        <v>953</v>
      </c>
      <c r="E482" s="163" t="s">
        <v>3511</v>
      </c>
      <c r="F482" s="163" t="s">
        <v>4106</v>
      </c>
      <c r="G482" s="163" t="s">
        <v>4107</v>
      </c>
      <c r="I482" s="164">
        <v>25</v>
      </c>
      <c r="J482" s="164">
        <v>25</v>
      </c>
      <c r="K482" s="164">
        <v>25</v>
      </c>
      <c r="L482" s="164">
        <v>25</v>
      </c>
      <c r="M482" s="164">
        <v>25</v>
      </c>
      <c r="N482" s="164">
        <v>55</v>
      </c>
    </row>
    <row r="483" spans="1:15">
      <c r="A483" s="163" t="s">
        <v>4108</v>
      </c>
      <c r="B483" s="163" t="s">
        <v>2063</v>
      </c>
      <c r="C483" s="163" t="s">
        <v>4109</v>
      </c>
      <c r="D483" s="163" t="s">
        <v>868</v>
      </c>
      <c r="E483" s="163" t="s">
        <v>3511</v>
      </c>
      <c r="F483" s="163" t="s">
        <v>4110</v>
      </c>
      <c r="G483" s="163" t="s">
        <v>4111</v>
      </c>
      <c r="I483" s="164">
        <v>25</v>
      </c>
      <c r="J483" s="164">
        <v>25</v>
      </c>
      <c r="K483" s="164">
        <v>25</v>
      </c>
      <c r="L483" s="164">
        <v>25</v>
      </c>
      <c r="M483" s="164">
        <v>25</v>
      </c>
      <c r="N483" s="164">
        <v>55</v>
      </c>
      <c r="O483" s="163" t="s">
        <v>4316</v>
      </c>
    </row>
    <row r="484" spans="1:15">
      <c r="A484" s="163" t="s">
        <v>4112</v>
      </c>
      <c r="B484" s="163" t="s">
        <v>2213</v>
      </c>
      <c r="C484" s="163" t="s">
        <v>4113</v>
      </c>
      <c r="D484" s="163" t="s">
        <v>2221</v>
      </c>
      <c r="E484" s="163" t="s">
        <v>3511</v>
      </c>
      <c r="F484" s="163" t="s">
        <v>897</v>
      </c>
      <c r="G484" s="163" t="s">
        <v>4114</v>
      </c>
      <c r="H484" s="163" t="s">
        <v>4115</v>
      </c>
      <c r="I484" s="164">
        <v>25</v>
      </c>
      <c r="J484" s="164">
        <v>25</v>
      </c>
      <c r="K484" s="164">
        <v>25</v>
      </c>
      <c r="L484" s="164">
        <v>25</v>
      </c>
      <c r="M484" s="164">
        <v>25</v>
      </c>
      <c r="N484" s="164">
        <v>55</v>
      </c>
    </row>
    <row r="485" spans="1:15">
      <c r="A485" s="163" t="s">
        <v>4127</v>
      </c>
      <c r="B485" s="163" t="s">
        <v>2213</v>
      </c>
      <c r="C485" s="163" t="s">
        <v>4128</v>
      </c>
      <c r="D485" s="163" t="s">
        <v>2422</v>
      </c>
      <c r="E485" s="163" t="s">
        <v>863</v>
      </c>
      <c r="F485" s="163" t="s">
        <v>1633</v>
      </c>
      <c r="G485" s="163" t="s">
        <v>4129</v>
      </c>
      <c r="H485" s="163" t="s">
        <v>4130</v>
      </c>
      <c r="I485" s="164">
        <v>25</v>
      </c>
      <c r="J485" s="164">
        <v>25</v>
      </c>
      <c r="K485" s="164">
        <v>25</v>
      </c>
      <c r="L485" s="164">
        <v>25</v>
      </c>
      <c r="M485" s="164">
        <v>25</v>
      </c>
      <c r="N485" s="164">
        <v>55</v>
      </c>
      <c r="O485" s="163" t="s">
        <v>4316</v>
      </c>
    </row>
    <row r="486" spans="1:15">
      <c r="A486" s="163" t="s">
        <v>4116</v>
      </c>
      <c r="B486" s="163" t="s">
        <v>2213</v>
      </c>
      <c r="C486" s="163" t="s">
        <v>4117</v>
      </c>
      <c r="D486" s="163" t="s">
        <v>2221</v>
      </c>
      <c r="E486" s="163" t="s">
        <v>3511</v>
      </c>
      <c r="F486" s="163" t="s">
        <v>908</v>
      </c>
      <c r="G486" s="163" t="s">
        <v>3332</v>
      </c>
      <c r="H486" s="163" t="s">
        <v>4029</v>
      </c>
      <c r="I486" s="164">
        <v>25</v>
      </c>
      <c r="J486" s="164">
        <v>25</v>
      </c>
      <c r="K486" s="164">
        <v>25</v>
      </c>
      <c r="L486" s="164">
        <v>25</v>
      </c>
      <c r="M486" s="164">
        <v>25</v>
      </c>
      <c r="N486" s="164">
        <v>55</v>
      </c>
      <c r="O486" s="163" t="s">
        <v>4316</v>
      </c>
    </row>
    <row r="487" spans="1:15">
      <c r="A487" s="163" t="s">
        <v>4118</v>
      </c>
      <c r="B487" s="163" t="s">
        <v>2213</v>
      </c>
      <c r="C487" s="163" t="s">
        <v>4119</v>
      </c>
      <c r="D487" s="163" t="s">
        <v>953</v>
      </c>
      <c r="E487" s="163" t="s">
        <v>3511</v>
      </c>
      <c r="F487" s="163" t="s">
        <v>952</v>
      </c>
      <c r="G487" s="163" t="s">
        <v>4120</v>
      </c>
      <c r="H487" s="163" t="s">
        <v>2176</v>
      </c>
      <c r="I487" s="164">
        <v>25</v>
      </c>
      <c r="J487" s="164">
        <v>25</v>
      </c>
      <c r="K487" s="164">
        <v>25</v>
      </c>
      <c r="L487" s="164">
        <v>25</v>
      </c>
      <c r="M487" s="164">
        <v>25</v>
      </c>
      <c r="N487" s="164">
        <v>55</v>
      </c>
      <c r="O487" s="163" t="s">
        <v>4375</v>
      </c>
    </row>
    <row r="488" spans="1:15">
      <c r="A488" s="163" t="s">
        <v>4145</v>
      </c>
      <c r="B488" s="163" t="s">
        <v>2063</v>
      </c>
      <c r="C488" s="163" t="s">
        <v>4146</v>
      </c>
      <c r="D488" s="163" t="s">
        <v>868</v>
      </c>
      <c r="E488" s="163" t="s">
        <v>3511</v>
      </c>
      <c r="F488" s="163" t="s">
        <v>2863</v>
      </c>
      <c r="G488" s="163" t="s">
        <v>4147</v>
      </c>
      <c r="H488" s="163" t="s">
        <v>2176</v>
      </c>
      <c r="I488" s="164">
        <v>25</v>
      </c>
      <c r="J488" s="164">
        <v>25</v>
      </c>
      <c r="K488" s="164">
        <v>25</v>
      </c>
      <c r="L488" s="164">
        <v>25</v>
      </c>
      <c r="M488" s="164">
        <v>25</v>
      </c>
      <c r="N488" s="164">
        <v>55</v>
      </c>
      <c r="O488" s="163" t="s">
        <v>4316</v>
      </c>
    </row>
    <row r="489" spans="1:15">
      <c r="A489" s="163" t="s">
        <v>4138</v>
      </c>
      <c r="B489" s="163" t="s">
        <v>3489</v>
      </c>
      <c r="C489" s="163" t="s">
        <v>4139</v>
      </c>
      <c r="D489" s="163" t="s">
        <v>1409</v>
      </c>
      <c r="E489" s="163" t="s">
        <v>3516</v>
      </c>
      <c r="F489" s="163" t="s">
        <v>1421</v>
      </c>
      <c r="G489" s="163" t="s">
        <v>4140</v>
      </c>
      <c r="H489" s="163" t="s">
        <v>2176</v>
      </c>
      <c r="I489" s="164">
        <v>25</v>
      </c>
      <c r="J489" s="164">
        <v>25</v>
      </c>
      <c r="K489" s="164">
        <v>25</v>
      </c>
      <c r="L489" s="164">
        <v>25</v>
      </c>
      <c r="M489" s="164">
        <v>25</v>
      </c>
      <c r="N489" s="164">
        <v>55</v>
      </c>
      <c r="O489" s="163" t="s">
        <v>4319</v>
      </c>
    </row>
    <row r="490" spans="1:15">
      <c r="A490" s="163" t="s">
        <v>4121</v>
      </c>
      <c r="B490" s="163" t="s">
        <v>865</v>
      </c>
      <c r="C490" s="163" t="s">
        <v>4122</v>
      </c>
      <c r="D490" s="163" t="s">
        <v>864</v>
      </c>
      <c r="E490" s="163" t="s">
        <v>3511</v>
      </c>
      <c r="F490" s="163" t="s">
        <v>4123</v>
      </c>
      <c r="G490" s="163" t="s">
        <v>4409</v>
      </c>
      <c r="I490" s="164">
        <v>18</v>
      </c>
      <c r="J490" s="164">
        <v>18</v>
      </c>
      <c r="K490" s="164">
        <v>18</v>
      </c>
      <c r="L490" s="164">
        <v>18</v>
      </c>
      <c r="M490" s="164">
        <v>18</v>
      </c>
      <c r="N490" s="164">
        <v>55</v>
      </c>
      <c r="O490" s="163" t="s">
        <v>4316</v>
      </c>
    </row>
    <row r="491" spans="1:15">
      <c r="A491" s="163" t="s">
        <v>4135</v>
      </c>
      <c r="B491" s="163" t="s">
        <v>2213</v>
      </c>
      <c r="C491" s="163" t="s">
        <v>4136</v>
      </c>
      <c r="D491" s="163" t="s">
        <v>1086</v>
      </c>
      <c r="E491" s="163" t="s">
        <v>3511</v>
      </c>
      <c r="F491" s="163" t="s">
        <v>1115</v>
      </c>
      <c r="G491" s="163" t="s">
        <v>4137</v>
      </c>
      <c r="H491" s="163" t="s">
        <v>2176</v>
      </c>
      <c r="I491" s="164">
        <v>25</v>
      </c>
      <c r="J491" s="164">
        <v>25</v>
      </c>
      <c r="K491" s="164">
        <v>25</v>
      </c>
      <c r="L491" s="164">
        <v>25</v>
      </c>
      <c r="M491" s="164">
        <v>25</v>
      </c>
      <c r="N491" s="164">
        <v>55</v>
      </c>
    </row>
    <row r="492" spans="1:15">
      <c r="A492" s="163" t="s">
        <v>4148</v>
      </c>
      <c r="B492" s="163" t="s">
        <v>2063</v>
      </c>
      <c r="C492" s="163" t="s">
        <v>4149</v>
      </c>
      <c r="D492" s="163" t="s">
        <v>868</v>
      </c>
      <c r="E492" s="163" t="s">
        <v>3511</v>
      </c>
      <c r="F492" s="163" t="s">
        <v>4150</v>
      </c>
      <c r="G492" s="163" t="s">
        <v>4151</v>
      </c>
      <c r="H492" s="163" t="s">
        <v>2176</v>
      </c>
      <c r="I492" s="164">
        <v>25</v>
      </c>
      <c r="J492" s="164">
        <v>25</v>
      </c>
      <c r="K492" s="164">
        <v>25</v>
      </c>
      <c r="L492" s="164">
        <v>25</v>
      </c>
      <c r="M492" s="164">
        <v>25</v>
      </c>
      <c r="N492" s="164">
        <v>55</v>
      </c>
      <c r="O492" s="163" t="s">
        <v>4316</v>
      </c>
    </row>
    <row r="493" spans="1:15">
      <c r="A493" s="163" t="s">
        <v>4124</v>
      </c>
      <c r="B493" s="163" t="s">
        <v>2213</v>
      </c>
      <c r="C493" s="163" t="s">
        <v>4125</v>
      </c>
      <c r="D493" s="163" t="s">
        <v>2221</v>
      </c>
      <c r="E493" s="163" t="s">
        <v>3511</v>
      </c>
      <c r="F493" s="163" t="s">
        <v>935</v>
      </c>
      <c r="G493" s="163" t="s">
        <v>4126</v>
      </c>
      <c r="H493" s="163" t="s">
        <v>2176</v>
      </c>
      <c r="I493" s="164">
        <v>18</v>
      </c>
      <c r="J493" s="164">
        <v>18</v>
      </c>
      <c r="K493" s="164">
        <v>18</v>
      </c>
      <c r="L493" s="164">
        <v>18</v>
      </c>
      <c r="M493" s="164">
        <v>18</v>
      </c>
      <c r="N493" s="164">
        <v>55</v>
      </c>
    </row>
    <row r="494" spans="1:15">
      <c r="A494" s="163" t="s">
        <v>4141</v>
      </c>
      <c r="B494" s="163" t="s">
        <v>874</v>
      </c>
      <c r="C494" s="163" t="s">
        <v>4142</v>
      </c>
      <c r="D494" s="163" t="s">
        <v>1409</v>
      </c>
      <c r="E494" s="163" t="s">
        <v>3516</v>
      </c>
      <c r="F494" s="163" t="s">
        <v>1421</v>
      </c>
      <c r="G494" s="163" t="s">
        <v>4143</v>
      </c>
      <c r="H494" s="163" t="s">
        <v>4144</v>
      </c>
      <c r="I494" s="164">
        <v>25</v>
      </c>
      <c r="J494" s="164">
        <v>25</v>
      </c>
      <c r="K494" s="164">
        <v>25</v>
      </c>
      <c r="L494" s="164">
        <v>25</v>
      </c>
      <c r="M494" s="164">
        <v>25</v>
      </c>
      <c r="N494" s="164">
        <v>55</v>
      </c>
      <c r="O494" s="163" t="s">
        <v>4319</v>
      </c>
    </row>
    <row r="495" spans="1:15">
      <c r="A495" s="163" t="s">
        <v>4163</v>
      </c>
      <c r="B495" s="163" t="s">
        <v>874</v>
      </c>
      <c r="C495" s="163" t="s">
        <v>4164</v>
      </c>
      <c r="D495" s="163" t="s">
        <v>1306</v>
      </c>
      <c r="E495" s="163" t="s">
        <v>3525</v>
      </c>
      <c r="F495" s="163" t="s">
        <v>3410</v>
      </c>
      <c r="G495" s="163" t="s">
        <v>4165</v>
      </c>
      <c r="H495" s="163" t="s">
        <v>2176</v>
      </c>
      <c r="I495" s="164">
        <v>18</v>
      </c>
      <c r="J495" s="164">
        <v>18</v>
      </c>
      <c r="K495" s="164">
        <v>18</v>
      </c>
      <c r="L495" s="164">
        <v>18</v>
      </c>
      <c r="M495" s="164">
        <v>18</v>
      </c>
      <c r="N495" s="164">
        <v>55</v>
      </c>
      <c r="O495" s="163" t="s">
        <v>4316</v>
      </c>
    </row>
    <row r="496" spans="1:15">
      <c r="A496" s="163" t="s">
        <v>4152</v>
      </c>
      <c r="B496" s="163" t="s">
        <v>2213</v>
      </c>
      <c r="C496" s="163" t="s">
        <v>4153</v>
      </c>
      <c r="D496" s="163" t="s">
        <v>1086</v>
      </c>
      <c r="E496" s="163" t="s">
        <v>3511</v>
      </c>
      <c r="F496" s="163" t="s">
        <v>4154</v>
      </c>
      <c r="G496" s="163" t="s">
        <v>4155</v>
      </c>
      <c r="I496" s="164">
        <v>18</v>
      </c>
      <c r="J496" s="164">
        <v>18</v>
      </c>
      <c r="K496" s="164">
        <v>18</v>
      </c>
      <c r="L496" s="164">
        <v>18</v>
      </c>
      <c r="M496" s="164">
        <v>18</v>
      </c>
      <c r="N496" s="164">
        <v>55</v>
      </c>
    </row>
    <row r="497" spans="1:15">
      <c r="A497" s="163" t="s">
        <v>4171</v>
      </c>
      <c r="B497" s="163" t="s">
        <v>3307</v>
      </c>
      <c r="C497" s="163" t="s">
        <v>4172</v>
      </c>
      <c r="D497" s="163" t="s">
        <v>3309</v>
      </c>
      <c r="E497" s="163" t="s">
        <v>3534</v>
      </c>
      <c r="F497" s="163" t="s">
        <v>3310</v>
      </c>
      <c r="G497" s="163" t="s">
        <v>3321</v>
      </c>
      <c r="H497" s="163" t="s">
        <v>4173</v>
      </c>
      <c r="I497" s="164">
        <v>25</v>
      </c>
      <c r="J497" s="164">
        <v>25</v>
      </c>
      <c r="K497" s="164">
        <v>25</v>
      </c>
      <c r="L497" s="164">
        <v>25</v>
      </c>
      <c r="M497" s="164">
        <v>25</v>
      </c>
      <c r="N497" s="164">
        <v>55</v>
      </c>
      <c r="O497" s="163" t="s">
        <v>4399</v>
      </c>
    </row>
    <row r="498" spans="1:15">
      <c r="A498" s="163" t="s">
        <v>4174</v>
      </c>
      <c r="B498" s="163" t="s">
        <v>3307</v>
      </c>
      <c r="C498" s="163" t="s">
        <v>4175</v>
      </c>
      <c r="D498" s="163" t="s">
        <v>3309</v>
      </c>
      <c r="E498" s="163" t="s">
        <v>3534</v>
      </c>
      <c r="F498" s="163" t="s">
        <v>3310</v>
      </c>
      <c r="G498" s="163" t="s">
        <v>4176</v>
      </c>
      <c r="H498" s="163" t="s">
        <v>4026</v>
      </c>
      <c r="I498" s="164">
        <v>25</v>
      </c>
      <c r="J498" s="164">
        <v>25</v>
      </c>
      <c r="K498" s="164">
        <v>25</v>
      </c>
      <c r="L498" s="164">
        <v>25</v>
      </c>
      <c r="M498" s="164">
        <v>25</v>
      </c>
      <c r="N498" s="164">
        <v>55</v>
      </c>
      <c r="O498" s="163" t="s">
        <v>4316</v>
      </c>
    </row>
    <row r="499" spans="1:15">
      <c r="A499" s="163" t="s">
        <v>4159</v>
      </c>
      <c r="B499" s="163" t="s">
        <v>874</v>
      </c>
      <c r="C499" s="163" t="s">
        <v>4160</v>
      </c>
      <c r="D499" s="163" t="s">
        <v>1267</v>
      </c>
      <c r="E499" s="163" t="s">
        <v>3524</v>
      </c>
      <c r="F499" s="163" t="s">
        <v>4161</v>
      </c>
      <c r="G499" s="163" t="s">
        <v>4162</v>
      </c>
      <c r="H499" s="163" t="s">
        <v>1301</v>
      </c>
      <c r="I499" s="164">
        <v>0</v>
      </c>
      <c r="J499" s="164">
        <v>0</v>
      </c>
      <c r="K499" s="164">
        <v>0</v>
      </c>
      <c r="L499" s="164">
        <v>0</v>
      </c>
      <c r="M499" s="164">
        <v>0</v>
      </c>
      <c r="N499" s="164">
        <v>50</v>
      </c>
      <c r="O499" s="163" t="s">
        <v>4309</v>
      </c>
    </row>
    <row r="500" spans="1:15">
      <c r="A500" s="163" t="s">
        <v>4167</v>
      </c>
      <c r="B500" s="163" t="s">
        <v>2057</v>
      </c>
      <c r="C500" s="163" t="s">
        <v>4168</v>
      </c>
      <c r="D500" s="163" t="s">
        <v>1608</v>
      </c>
      <c r="E500" s="163" t="s">
        <v>3533</v>
      </c>
      <c r="F500" s="163" t="s">
        <v>4169</v>
      </c>
      <c r="G500" s="163" t="s">
        <v>4170</v>
      </c>
      <c r="H500" s="163" t="s">
        <v>3739</v>
      </c>
      <c r="I500" s="164">
        <v>25</v>
      </c>
      <c r="J500" s="164">
        <v>25</v>
      </c>
      <c r="K500" s="164">
        <v>25</v>
      </c>
      <c r="L500" s="164">
        <v>25</v>
      </c>
      <c r="M500" s="164">
        <v>25</v>
      </c>
      <c r="N500" s="164">
        <v>55</v>
      </c>
      <c r="O500" s="163" t="s">
        <v>4358</v>
      </c>
    </row>
    <row r="501" spans="1:15">
      <c r="A501" s="163" t="s">
        <v>4177</v>
      </c>
      <c r="B501" s="163" t="s">
        <v>3307</v>
      </c>
      <c r="C501" s="163" t="s">
        <v>4178</v>
      </c>
      <c r="D501" s="163" t="s">
        <v>3309</v>
      </c>
      <c r="E501" s="163" t="s">
        <v>3512</v>
      </c>
      <c r="F501" s="163" t="s">
        <v>1488</v>
      </c>
      <c r="G501" s="163" t="s">
        <v>4179</v>
      </c>
      <c r="H501" s="163" t="s">
        <v>4180</v>
      </c>
      <c r="I501" s="164">
        <v>25</v>
      </c>
      <c r="J501" s="164">
        <v>25</v>
      </c>
      <c r="K501" s="164">
        <v>25</v>
      </c>
      <c r="L501" s="164">
        <v>25</v>
      </c>
      <c r="M501" s="164">
        <v>25</v>
      </c>
      <c r="N501" s="164">
        <v>55</v>
      </c>
      <c r="O501" s="163" t="s">
        <v>4410</v>
      </c>
    </row>
    <row r="502" spans="1:15">
      <c r="A502" s="163" t="s">
        <v>4156</v>
      </c>
      <c r="B502" s="163" t="s">
        <v>2213</v>
      </c>
      <c r="C502" s="163" t="s">
        <v>4157</v>
      </c>
      <c r="D502" s="163" t="s">
        <v>953</v>
      </c>
      <c r="E502" s="163" t="s">
        <v>3511</v>
      </c>
      <c r="F502" s="163" t="s">
        <v>1246</v>
      </c>
      <c r="G502" s="163" t="s">
        <v>4158</v>
      </c>
      <c r="H502" s="163" t="s">
        <v>2176</v>
      </c>
      <c r="I502" s="164">
        <v>25</v>
      </c>
      <c r="J502" s="164">
        <v>25</v>
      </c>
      <c r="K502" s="164">
        <v>25</v>
      </c>
      <c r="L502" s="164">
        <v>25</v>
      </c>
      <c r="M502" s="164">
        <v>25</v>
      </c>
      <c r="N502" s="164">
        <v>55</v>
      </c>
      <c r="O502" s="163" t="s">
        <v>4351</v>
      </c>
    </row>
    <row r="503" spans="1:15">
      <c r="A503" s="163" t="s">
        <v>4183</v>
      </c>
      <c r="B503" s="163" t="s">
        <v>2213</v>
      </c>
      <c r="C503" s="163" t="s">
        <v>4184</v>
      </c>
      <c r="D503" s="163" t="s">
        <v>1086</v>
      </c>
      <c r="E503" s="163" t="s">
        <v>3511</v>
      </c>
      <c r="F503" s="163" t="s">
        <v>1005</v>
      </c>
      <c r="G503" s="163" t="s">
        <v>4185</v>
      </c>
      <c r="H503" s="163" t="s">
        <v>4186</v>
      </c>
      <c r="I503" s="164">
        <v>25</v>
      </c>
      <c r="J503" s="164">
        <v>25</v>
      </c>
      <c r="K503" s="164">
        <v>25</v>
      </c>
      <c r="L503" s="164">
        <v>25</v>
      </c>
      <c r="M503" s="164">
        <v>25</v>
      </c>
      <c r="N503" s="164">
        <v>55</v>
      </c>
      <c r="O503" s="163" t="s">
        <v>4411</v>
      </c>
    </row>
    <row r="504" spans="1:15">
      <c r="A504" s="163" t="s">
        <v>4190</v>
      </c>
      <c r="B504" s="163" t="s">
        <v>3382</v>
      </c>
      <c r="C504" s="163" t="s">
        <v>4191</v>
      </c>
      <c r="D504" s="163" t="s">
        <v>1306</v>
      </c>
      <c r="E504" s="163" t="s">
        <v>3525</v>
      </c>
      <c r="F504" s="163" t="s">
        <v>1371</v>
      </c>
      <c r="G504" s="163" t="s">
        <v>4192</v>
      </c>
      <c r="I504" s="164">
        <v>25</v>
      </c>
      <c r="J504" s="164">
        <v>25</v>
      </c>
      <c r="K504" s="164">
        <v>25</v>
      </c>
      <c r="L504" s="164">
        <v>25</v>
      </c>
      <c r="M504" s="164">
        <v>25</v>
      </c>
      <c r="N504" s="164" t="s">
        <v>2796</v>
      </c>
      <c r="O504" s="163" t="s">
        <v>4309</v>
      </c>
    </row>
    <row r="505" spans="1:15">
      <c r="A505" s="163" t="s">
        <v>4187</v>
      </c>
      <c r="B505" s="163" t="s">
        <v>2213</v>
      </c>
      <c r="C505" s="163" t="s">
        <v>4188</v>
      </c>
      <c r="D505" s="163" t="s">
        <v>1086</v>
      </c>
      <c r="E505" s="163" t="s">
        <v>3511</v>
      </c>
      <c r="F505" s="163" t="s">
        <v>1005</v>
      </c>
      <c r="G505" s="163" t="s">
        <v>4189</v>
      </c>
      <c r="I505" s="164">
        <v>25</v>
      </c>
      <c r="J505" s="164">
        <v>25</v>
      </c>
      <c r="K505" s="164">
        <v>25</v>
      </c>
      <c r="L505" s="164">
        <v>25</v>
      </c>
      <c r="M505" s="164">
        <v>25</v>
      </c>
      <c r="N505" s="164">
        <v>55</v>
      </c>
      <c r="O505" s="163" t="s">
        <v>4316</v>
      </c>
    </row>
    <row r="506" spans="1:15">
      <c r="A506" s="163" t="s">
        <v>4412</v>
      </c>
      <c r="B506" s="163" t="s">
        <v>865</v>
      </c>
      <c r="C506" s="163" t="s">
        <v>4413</v>
      </c>
      <c r="D506" s="163" t="s">
        <v>864</v>
      </c>
      <c r="E506" s="163" t="s">
        <v>3511</v>
      </c>
      <c r="F506" s="163" t="s">
        <v>4414</v>
      </c>
      <c r="G506" s="163" t="s">
        <v>4415</v>
      </c>
      <c r="I506" s="164" t="s">
        <v>2796</v>
      </c>
      <c r="J506" s="164" t="s">
        <v>2796</v>
      </c>
      <c r="K506" s="164" t="s">
        <v>2796</v>
      </c>
      <c r="L506" s="164" t="s">
        <v>2796</v>
      </c>
      <c r="M506" s="164" t="s">
        <v>2796</v>
      </c>
      <c r="N506" s="164" t="s">
        <v>2796</v>
      </c>
      <c r="O506" s="163" t="s">
        <v>4375</v>
      </c>
    </row>
    <row r="507" spans="1:15">
      <c r="A507" s="163" t="s">
        <v>4416</v>
      </c>
      <c r="B507" s="163" t="s">
        <v>865</v>
      </c>
      <c r="C507" s="163" t="s">
        <v>4417</v>
      </c>
      <c r="D507" s="163" t="s">
        <v>864</v>
      </c>
      <c r="E507" s="163" t="s">
        <v>3511</v>
      </c>
      <c r="F507" s="163" t="s">
        <v>4418</v>
      </c>
      <c r="G507" s="163" t="s">
        <v>4419</v>
      </c>
      <c r="H507" s="163" t="s">
        <v>4420</v>
      </c>
      <c r="I507" s="164">
        <v>25</v>
      </c>
      <c r="J507" s="164">
        <v>25</v>
      </c>
      <c r="K507" s="164">
        <v>25</v>
      </c>
      <c r="L507" s="164">
        <v>25</v>
      </c>
      <c r="M507" s="164">
        <v>25</v>
      </c>
      <c r="N507" s="164">
        <v>55</v>
      </c>
      <c r="O507" s="163" t="s">
        <v>4316</v>
      </c>
    </row>
    <row r="508" spans="1:15">
      <c r="A508" s="163" t="s">
        <v>4421</v>
      </c>
      <c r="B508" s="163" t="s">
        <v>865</v>
      </c>
      <c r="C508" s="163" t="s">
        <v>4422</v>
      </c>
      <c r="D508" s="163" t="s">
        <v>868</v>
      </c>
      <c r="E508" s="163" t="s">
        <v>3511</v>
      </c>
      <c r="F508" s="163" t="s">
        <v>1012</v>
      </c>
      <c r="G508" s="163" t="s">
        <v>4423</v>
      </c>
      <c r="I508" s="164">
        <v>25</v>
      </c>
      <c r="J508" s="164">
        <v>25</v>
      </c>
      <c r="K508" s="164">
        <v>25</v>
      </c>
      <c r="L508" s="164">
        <v>25</v>
      </c>
      <c r="M508" s="164">
        <v>25</v>
      </c>
      <c r="N508" s="164">
        <v>55</v>
      </c>
    </row>
    <row r="509" spans="1:15">
      <c r="A509" s="163" t="s">
        <v>4424</v>
      </c>
      <c r="B509" s="163" t="s">
        <v>865</v>
      </c>
      <c r="C509" s="163" t="s">
        <v>4425</v>
      </c>
      <c r="D509" s="163" t="s">
        <v>868</v>
      </c>
      <c r="E509" s="163" t="s">
        <v>3511</v>
      </c>
      <c r="F509" s="163" t="s">
        <v>4426</v>
      </c>
      <c r="G509" s="163" t="s">
        <v>4427</v>
      </c>
      <c r="I509" s="164">
        <v>25</v>
      </c>
      <c r="J509" s="164">
        <v>25</v>
      </c>
      <c r="K509" s="164">
        <v>25</v>
      </c>
      <c r="L509" s="164">
        <v>25</v>
      </c>
      <c r="M509" s="164">
        <v>25</v>
      </c>
      <c r="N509" s="164">
        <v>55</v>
      </c>
    </row>
    <row r="510" spans="1:15">
      <c r="A510" s="163" t="s">
        <v>4428</v>
      </c>
      <c r="B510" s="163" t="s">
        <v>865</v>
      </c>
      <c r="C510" s="163" t="s">
        <v>4429</v>
      </c>
      <c r="D510" s="163" t="s">
        <v>864</v>
      </c>
      <c r="E510" s="163" t="s">
        <v>3511</v>
      </c>
      <c r="F510" s="163" t="s">
        <v>4430</v>
      </c>
      <c r="G510" s="163" t="s">
        <v>4431</v>
      </c>
      <c r="I510" s="164" t="s">
        <v>2796</v>
      </c>
      <c r="J510" s="164" t="s">
        <v>2796</v>
      </c>
      <c r="K510" s="164" t="s">
        <v>2796</v>
      </c>
      <c r="L510" s="164" t="s">
        <v>2796</v>
      </c>
      <c r="M510" s="164" t="s">
        <v>2796</v>
      </c>
      <c r="N510" s="164" t="s">
        <v>2796</v>
      </c>
      <c r="O510" s="163" t="s">
        <v>4375</v>
      </c>
    </row>
    <row r="511" spans="1:15">
      <c r="A511" s="163" t="s">
        <v>4432</v>
      </c>
      <c r="B511" s="163" t="s">
        <v>2063</v>
      </c>
      <c r="C511" s="163" t="s">
        <v>4433</v>
      </c>
      <c r="D511" s="163" t="s">
        <v>868</v>
      </c>
      <c r="E511" s="163" t="s">
        <v>3511</v>
      </c>
      <c r="F511" s="163" t="s">
        <v>2474</v>
      </c>
      <c r="G511" s="163" t="s">
        <v>2473</v>
      </c>
      <c r="I511" s="164">
        <v>18</v>
      </c>
      <c r="J511" s="164">
        <v>18</v>
      </c>
      <c r="K511" s="164">
        <v>18</v>
      </c>
      <c r="L511" s="164">
        <v>18</v>
      </c>
      <c r="M511" s="164">
        <v>18</v>
      </c>
      <c r="N511" s="164">
        <v>55</v>
      </c>
    </row>
    <row r="512" spans="1:15">
      <c r="A512" s="163" t="s">
        <v>4434</v>
      </c>
      <c r="B512" s="163" t="s">
        <v>865</v>
      </c>
      <c r="C512" s="163" t="s">
        <v>4435</v>
      </c>
      <c r="D512" s="163" t="s">
        <v>864</v>
      </c>
      <c r="E512" s="163" t="s">
        <v>3511</v>
      </c>
      <c r="F512" s="163" t="s">
        <v>897</v>
      </c>
      <c r="G512" s="163" t="s">
        <v>4436</v>
      </c>
      <c r="I512" s="164" t="s">
        <v>2796</v>
      </c>
      <c r="J512" s="164" t="s">
        <v>2796</v>
      </c>
      <c r="K512" s="164" t="s">
        <v>2796</v>
      </c>
      <c r="L512" s="164" t="s">
        <v>2796</v>
      </c>
      <c r="M512" s="164" t="s">
        <v>2796</v>
      </c>
      <c r="N512" s="164" t="s">
        <v>2796</v>
      </c>
      <c r="O512" s="163" t="s">
        <v>4375</v>
      </c>
    </row>
    <row r="513" spans="1:15">
      <c r="A513" s="163" t="s">
        <v>4437</v>
      </c>
      <c r="B513" s="163" t="s">
        <v>3489</v>
      </c>
      <c r="C513" s="163" t="s">
        <v>4438</v>
      </c>
      <c r="D513" s="163" t="s">
        <v>1086</v>
      </c>
      <c r="E513" s="163" t="s">
        <v>3511</v>
      </c>
      <c r="F513" s="163" t="s">
        <v>4439</v>
      </c>
      <c r="G513" s="163" t="s">
        <v>4440</v>
      </c>
      <c r="I513" s="164">
        <v>25</v>
      </c>
      <c r="J513" s="164">
        <v>25</v>
      </c>
      <c r="K513" s="164">
        <v>25</v>
      </c>
      <c r="L513" s="164">
        <v>25</v>
      </c>
      <c r="M513" s="164">
        <v>25</v>
      </c>
      <c r="N513" s="164">
        <v>55</v>
      </c>
      <c r="O513" s="163" t="s">
        <v>4441</v>
      </c>
    </row>
    <row r="514" spans="1:15">
      <c r="A514" s="163" t="s">
        <v>4442</v>
      </c>
      <c r="B514" s="163" t="s">
        <v>2063</v>
      </c>
      <c r="C514" s="163" t="s">
        <v>4443</v>
      </c>
      <c r="D514" s="163" t="s">
        <v>868</v>
      </c>
      <c r="E514" s="163" t="s">
        <v>3511</v>
      </c>
      <c r="F514" s="163" t="s">
        <v>4444</v>
      </c>
      <c r="G514" s="163" t="s">
        <v>4445</v>
      </c>
      <c r="I514" s="164">
        <v>25</v>
      </c>
      <c r="J514" s="164">
        <v>25</v>
      </c>
      <c r="K514" s="164">
        <v>25</v>
      </c>
      <c r="L514" s="164">
        <v>25</v>
      </c>
      <c r="M514" s="164">
        <v>25</v>
      </c>
      <c r="N514" s="164">
        <v>55</v>
      </c>
    </row>
    <row r="515" spans="1:15">
      <c r="A515" s="163" t="s">
        <v>4446</v>
      </c>
      <c r="B515" s="163" t="s">
        <v>865</v>
      </c>
      <c r="C515" s="163" t="s">
        <v>4447</v>
      </c>
      <c r="D515" s="163" t="s">
        <v>864</v>
      </c>
      <c r="E515" s="163" t="s">
        <v>3511</v>
      </c>
      <c r="F515" s="163" t="s">
        <v>868</v>
      </c>
      <c r="G515" s="163" t="s">
        <v>4448</v>
      </c>
      <c r="I515" s="164" t="s">
        <v>2796</v>
      </c>
      <c r="J515" s="164" t="s">
        <v>2796</v>
      </c>
      <c r="K515" s="164" t="s">
        <v>2796</v>
      </c>
      <c r="L515" s="164" t="s">
        <v>2796</v>
      </c>
      <c r="M515" s="164" t="s">
        <v>2796</v>
      </c>
      <c r="N515" s="164">
        <v>55</v>
      </c>
      <c r="O515" s="163" t="s">
        <v>4316</v>
      </c>
    </row>
    <row r="516" spans="1:15">
      <c r="A516" s="163" t="s">
        <v>4449</v>
      </c>
      <c r="B516" s="163" t="s">
        <v>865</v>
      </c>
      <c r="C516" s="163" t="s">
        <v>4450</v>
      </c>
      <c r="D516" s="163" t="s">
        <v>864</v>
      </c>
      <c r="E516" s="163" t="s">
        <v>3511</v>
      </c>
      <c r="F516" s="163" t="s">
        <v>868</v>
      </c>
      <c r="G516" s="163" t="s">
        <v>4451</v>
      </c>
      <c r="I516" s="164" t="s">
        <v>2796</v>
      </c>
      <c r="J516" s="164" t="s">
        <v>2796</v>
      </c>
      <c r="K516" s="164" t="s">
        <v>2796</v>
      </c>
      <c r="L516" s="164" t="s">
        <v>2796</v>
      </c>
      <c r="M516" s="164" t="s">
        <v>2796</v>
      </c>
      <c r="N516" s="164" t="s">
        <v>2796</v>
      </c>
      <c r="O516" s="163" t="s">
        <v>4375</v>
      </c>
    </row>
    <row r="517" spans="1:15">
      <c r="A517" s="163" t="s">
        <v>4452</v>
      </c>
      <c r="B517" s="163" t="s">
        <v>2213</v>
      </c>
      <c r="C517" s="163" t="s">
        <v>4453</v>
      </c>
      <c r="D517" s="163" t="s">
        <v>2221</v>
      </c>
      <c r="E517" s="163" t="s">
        <v>3511</v>
      </c>
      <c r="F517" s="163" t="s">
        <v>890</v>
      </c>
      <c r="G517" s="163" t="s">
        <v>4454</v>
      </c>
      <c r="H517" s="163" t="s">
        <v>4455</v>
      </c>
      <c r="I517" s="164">
        <v>18</v>
      </c>
      <c r="J517" s="164">
        <v>18</v>
      </c>
      <c r="K517" s="164">
        <v>18</v>
      </c>
      <c r="L517" s="164">
        <v>18</v>
      </c>
      <c r="M517" s="164">
        <v>18</v>
      </c>
      <c r="N517" s="164">
        <v>55</v>
      </c>
    </row>
  </sheetData>
  <phoneticPr fontId="35" type="noConversion"/>
  <pageMargins left="0.7" right="0.7" top="0.75" bottom="0.75" header="0.3" footer="0.3"/>
  <pageSetup paperSize="9" scale="37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3</vt:i4>
      </vt:variant>
    </vt:vector>
  </HeadingPairs>
  <TitlesOfParts>
    <vt:vector size="6" baseType="lpstr">
      <vt:lpstr>nota de pedido</vt:lpstr>
      <vt:lpstr>TOLSEN</vt:lpstr>
      <vt:lpstr>nomina</vt:lpstr>
      <vt:lpstr>'nota de pedido'!Área_de_impresión</vt:lpstr>
      <vt:lpstr>TOLSEN!Área_de_impresión</vt:lpstr>
      <vt:lpstr>'nota de pedido'!Títulos_a_imprimir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2017-10-24T14:08:14Z</dcterms:created>
  <dcterms:modified xsi:type="dcterms:W3CDTF">2026-06-10T13:51:58Z</dcterms:modified>
</cp:coreProperties>
</file>